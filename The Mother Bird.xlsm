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scottrynewicz/Desktop/154Design/"/>
    </mc:Choice>
  </mc:AlternateContent>
  <bookViews>
    <workbookView xWindow="0" yWindow="0" windowWidth="25600" windowHeight="16000" tabRatio="500" activeTab="4"/>
  </bookViews>
  <sheets>
    <sheet name="Design Constraints" sheetId="2" r:id="rId1"/>
    <sheet name="Initial Estimates" sheetId="6" r:id="rId2"/>
    <sheet name="Cg Calcs" sheetId="7" r:id="rId3"/>
    <sheet name="Stability Constants" sheetId="8" r:id="rId4"/>
    <sheet name="Subsonic Stability" sheetId="9" r:id="rId5"/>
    <sheet name="Supersonic Stability" sheetId="12" r:id="rId6"/>
    <sheet name="AeroCalc" sheetId="4" r:id="rId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6" l="1"/>
  <c r="C39" i="9"/>
  <c r="M25" i="9"/>
  <c r="M26" i="9"/>
  <c r="C23" i="6"/>
  <c r="C37" i="7"/>
  <c r="C38" i="7"/>
  <c r="C41" i="7"/>
  <c r="C42" i="7"/>
  <c r="C8" i="6"/>
  <c r="C20" i="7"/>
  <c r="C22" i="7"/>
  <c r="C19" i="7"/>
  <c r="C10" i="6"/>
  <c r="C21" i="7"/>
  <c r="C23" i="7"/>
  <c r="C30" i="7"/>
  <c r="C31" i="7"/>
  <c r="C27" i="7"/>
  <c r="C32" i="7"/>
  <c r="C28" i="7"/>
  <c r="C33" i="7"/>
  <c r="C54" i="7"/>
  <c r="C55" i="7"/>
  <c r="C50" i="7"/>
  <c r="C51" i="7"/>
  <c r="C46" i="7"/>
  <c r="C47" i="7"/>
  <c r="C29" i="7"/>
  <c r="C88" i="7"/>
  <c r="C90" i="7"/>
  <c r="C9" i="8"/>
  <c r="C4" i="12"/>
  <c r="C8" i="8"/>
  <c r="C10" i="8"/>
  <c r="C11" i="8"/>
  <c r="C48" i="12"/>
  <c r="C90" i="12"/>
  <c r="C78" i="12"/>
  <c r="C66" i="12"/>
  <c r="C198" i="12"/>
  <c r="C186" i="12"/>
  <c r="C174" i="12"/>
  <c r="C200" i="12"/>
  <c r="C201" i="12"/>
  <c r="C202" i="12"/>
  <c r="C36" i="6"/>
  <c r="C35" i="6"/>
  <c r="C34" i="6"/>
  <c r="C38" i="6"/>
  <c r="C33" i="6"/>
  <c r="C37" i="6"/>
  <c r="C24" i="6"/>
  <c r="C27" i="6"/>
  <c r="C28" i="6"/>
  <c r="C89" i="7"/>
  <c r="C212" i="12"/>
  <c r="C188" i="12"/>
  <c r="C189" i="12"/>
  <c r="C190" i="12"/>
  <c r="C211" i="12"/>
  <c r="C176" i="12"/>
  <c r="C177" i="12"/>
  <c r="C178" i="12"/>
  <c r="C210" i="12"/>
  <c r="C203" i="12"/>
  <c r="C204" i="12"/>
  <c r="C209" i="12"/>
  <c r="C191" i="12"/>
  <c r="C192" i="12"/>
  <c r="C208" i="12"/>
  <c r="C179" i="12"/>
  <c r="C180" i="12"/>
  <c r="C207" i="12"/>
  <c r="C199" i="12"/>
  <c r="C187" i="12"/>
  <c r="C175" i="12"/>
  <c r="C168" i="12"/>
  <c r="C165" i="12"/>
  <c r="C132" i="12"/>
  <c r="C144" i="12"/>
  <c r="C120" i="12"/>
  <c r="C146" i="12"/>
  <c r="C147" i="12"/>
  <c r="C148" i="12"/>
  <c r="C158" i="12"/>
  <c r="C134" i="12"/>
  <c r="C135" i="12"/>
  <c r="C136" i="12"/>
  <c r="C157" i="12"/>
  <c r="C122" i="12"/>
  <c r="C123" i="12"/>
  <c r="C124" i="12"/>
  <c r="C156" i="12"/>
  <c r="C149" i="12"/>
  <c r="C150" i="12"/>
  <c r="C155" i="12"/>
  <c r="C137" i="12"/>
  <c r="C138" i="12"/>
  <c r="C154" i="12"/>
  <c r="C125" i="12"/>
  <c r="C126" i="12"/>
  <c r="C153" i="12"/>
  <c r="C145" i="12"/>
  <c r="C133" i="12"/>
  <c r="C121" i="12"/>
  <c r="C114" i="12"/>
  <c r="C111" i="12"/>
  <c r="C37" i="12"/>
  <c r="C25" i="12"/>
  <c r="C57" i="12"/>
  <c r="C60" i="12"/>
  <c r="C68" i="12"/>
  <c r="C69" i="12"/>
  <c r="C67" i="12"/>
  <c r="C7" i="12"/>
  <c r="C70" i="12"/>
  <c r="C71" i="12"/>
  <c r="C72" i="12"/>
  <c r="C80" i="12"/>
  <c r="C81" i="12"/>
  <c r="C79" i="12"/>
  <c r="C82" i="12"/>
  <c r="C83" i="12"/>
  <c r="C84" i="12"/>
  <c r="C92" i="12"/>
  <c r="C93" i="12"/>
  <c r="C91" i="12"/>
  <c r="C94" i="12"/>
  <c r="C95" i="12"/>
  <c r="C96" i="12"/>
  <c r="C99" i="12"/>
  <c r="C100" i="12"/>
  <c r="C101" i="12"/>
  <c r="C102" i="12"/>
  <c r="C103" i="12"/>
  <c r="C104" i="12"/>
  <c r="C13" i="12"/>
  <c r="C12" i="6"/>
  <c r="C39" i="12"/>
  <c r="C40" i="12"/>
  <c r="C41" i="12"/>
  <c r="C51" i="12"/>
  <c r="C16" i="7"/>
  <c r="C15" i="7"/>
  <c r="C14" i="7"/>
  <c r="C21" i="8"/>
  <c r="C20" i="8"/>
  <c r="C19" i="8"/>
  <c r="C17" i="6"/>
  <c r="C15" i="6"/>
  <c r="C12" i="8"/>
  <c r="C13" i="7"/>
  <c r="C12" i="7"/>
  <c r="Q15" i="7"/>
  <c r="Q14" i="7"/>
  <c r="Q13" i="7"/>
  <c r="Q12" i="7"/>
  <c r="Q11" i="7"/>
  <c r="Q10" i="7"/>
  <c r="Q9" i="7"/>
  <c r="Q8" i="7"/>
  <c r="Q7" i="7"/>
  <c r="Q6" i="7"/>
  <c r="Q5" i="7"/>
  <c r="Q3" i="7"/>
  <c r="Q4" i="7"/>
  <c r="Q2" i="7"/>
  <c r="O15" i="7"/>
  <c r="O14" i="7"/>
  <c r="O13" i="7"/>
  <c r="O12" i="7"/>
  <c r="O11" i="7"/>
  <c r="O10" i="7"/>
  <c r="O9" i="7"/>
  <c r="O8" i="7"/>
  <c r="O7" i="7"/>
  <c r="O6" i="7"/>
  <c r="O5" i="7"/>
  <c r="O3" i="7"/>
  <c r="O4" i="7"/>
  <c r="O2" i="7"/>
  <c r="N8" i="7"/>
  <c r="N15" i="7"/>
  <c r="N14" i="7"/>
  <c r="N13" i="7"/>
  <c r="N12" i="7"/>
  <c r="N11" i="7"/>
  <c r="N10" i="7"/>
  <c r="N9" i="7"/>
  <c r="N7" i="7"/>
  <c r="N6" i="7"/>
  <c r="N5" i="7"/>
  <c r="N3" i="7"/>
  <c r="N4" i="7"/>
  <c r="N2" i="7"/>
  <c r="C61" i="7"/>
  <c r="C58" i="7"/>
  <c r="C66" i="7"/>
  <c r="C62" i="7"/>
  <c r="C59" i="7"/>
  <c r="C67" i="7"/>
  <c r="C63" i="7"/>
  <c r="C60" i="7"/>
  <c r="C68" i="7"/>
  <c r="C64" i="7"/>
  <c r="C69" i="7"/>
  <c r="C65" i="7"/>
  <c r="C70" i="7"/>
  <c r="C4" i="9"/>
  <c r="C13" i="8"/>
  <c r="C18" i="9"/>
  <c r="C19" i="9"/>
  <c r="C46" i="9"/>
  <c r="C18" i="12"/>
  <c r="C19" i="12"/>
  <c r="C46" i="12"/>
  <c r="C76" i="7"/>
  <c r="C77" i="7"/>
  <c r="C78" i="7"/>
  <c r="C79" i="7"/>
  <c r="C80" i="7"/>
  <c r="C107" i="7"/>
  <c r="C84" i="7"/>
  <c r="C73" i="7"/>
  <c r="C81" i="7"/>
  <c r="C74" i="7"/>
  <c r="C82" i="7"/>
  <c r="C75" i="7"/>
  <c r="C83" i="7"/>
  <c r="C85" i="7"/>
  <c r="C34" i="7"/>
  <c r="C106" i="7"/>
  <c r="C101" i="7"/>
  <c r="C100" i="7"/>
  <c r="C102" i="7"/>
  <c r="C103" i="7"/>
  <c r="C108" i="7"/>
  <c r="C109" i="7"/>
  <c r="C94" i="7"/>
  <c r="C95" i="7"/>
  <c r="C96" i="7"/>
  <c r="C97" i="7"/>
  <c r="C91" i="7"/>
  <c r="C14" i="8"/>
  <c r="C27" i="12"/>
  <c r="C28" i="12"/>
  <c r="C29" i="12"/>
  <c r="C15" i="12"/>
  <c r="C16" i="12"/>
  <c r="C17" i="12"/>
  <c r="C42" i="12"/>
  <c r="C15" i="8"/>
  <c r="C43" i="12"/>
  <c r="C30" i="12"/>
  <c r="C31" i="12"/>
  <c r="C38" i="12"/>
  <c r="C26" i="12"/>
  <c r="C14" i="12"/>
  <c r="C37" i="9"/>
  <c r="C25" i="9"/>
  <c r="C40" i="9"/>
  <c r="C38" i="9"/>
  <c r="C27" i="9"/>
  <c r="C28" i="9"/>
  <c r="C26" i="9"/>
  <c r="C13" i="9"/>
  <c r="C15" i="9"/>
  <c r="C16" i="9"/>
  <c r="C14" i="9"/>
  <c r="C42" i="9"/>
  <c r="C43" i="9"/>
  <c r="C30" i="9"/>
  <c r="C31" i="9"/>
  <c r="C7" i="9"/>
  <c r="C29" i="9"/>
  <c r="C41" i="9"/>
  <c r="C17" i="9"/>
  <c r="C61" i="6"/>
  <c r="C62" i="6"/>
  <c r="C45" i="7"/>
  <c r="C16" i="6"/>
  <c r="H15" i="6"/>
  <c r="O31" i="4"/>
  <c r="U31" i="4"/>
  <c r="T31" i="4"/>
  <c r="S31" i="4"/>
  <c r="R31" i="4"/>
  <c r="Q31" i="4"/>
  <c r="P31" i="4"/>
  <c r="E31" i="4"/>
  <c r="F31" i="4"/>
  <c r="C16" i="4"/>
  <c r="C17" i="4"/>
  <c r="C18" i="4"/>
  <c r="G31" i="4"/>
  <c r="O30" i="4"/>
  <c r="U30" i="4"/>
  <c r="T30" i="4"/>
  <c r="S30" i="4"/>
  <c r="R30" i="4"/>
  <c r="Q30" i="4"/>
  <c r="P30" i="4"/>
  <c r="E30" i="4"/>
  <c r="F30" i="4"/>
  <c r="G30" i="4"/>
  <c r="O29" i="4"/>
  <c r="U29" i="4"/>
  <c r="T29" i="4"/>
  <c r="S29" i="4"/>
  <c r="R29" i="4"/>
  <c r="Q29" i="4"/>
  <c r="P29" i="4"/>
  <c r="E29" i="4"/>
  <c r="F29" i="4"/>
  <c r="G29" i="4"/>
  <c r="O28" i="4"/>
  <c r="U28" i="4"/>
  <c r="T28" i="4"/>
  <c r="S28" i="4"/>
  <c r="R28" i="4"/>
  <c r="Q28" i="4"/>
  <c r="P28" i="4"/>
  <c r="E28" i="4"/>
  <c r="F28" i="4"/>
  <c r="G28" i="4"/>
  <c r="O27" i="4"/>
  <c r="U27" i="4"/>
  <c r="T27" i="4"/>
  <c r="S27" i="4"/>
  <c r="R27" i="4"/>
  <c r="Q27" i="4"/>
  <c r="P27" i="4"/>
  <c r="E27" i="4"/>
  <c r="F27" i="4"/>
  <c r="G27" i="4"/>
  <c r="O26" i="4"/>
  <c r="U26" i="4"/>
  <c r="T26" i="4"/>
  <c r="S26" i="4"/>
  <c r="R26" i="4"/>
  <c r="Q26" i="4"/>
  <c r="P26" i="4"/>
  <c r="E26" i="4"/>
  <c r="F26" i="4"/>
  <c r="G26" i="4"/>
  <c r="O25" i="4"/>
  <c r="U25" i="4"/>
  <c r="T25" i="4"/>
  <c r="S25" i="4"/>
  <c r="R25" i="4"/>
  <c r="Q25" i="4"/>
  <c r="P25" i="4"/>
  <c r="E25" i="4"/>
  <c r="F25" i="4"/>
  <c r="G25" i="4"/>
  <c r="O24" i="4"/>
  <c r="U24" i="4"/>
  <c r="T24" i="4"/>
  <c r="S24" i="4"/>
  <c r="R24" i="4"/>
  <c r="Q24" i="4"/>
  <c r="P24" i="4"/>
  <c r="E24" i="4"/>
  <c r="F24" i="4"/>
  <c r="G24" i="4"/>
  <c r="O23" i="4"/>
  <c r="U23" i="4"/>
  <c r="T23" i="4"/>
  <c r="S23" i="4"/>
  <c r="R23" i="4"/>
  <c r="Q23" i="4"/>
  <c r="P23" i="4"/>
  <c r="E23" i="4"/>
  <c r="F23" i="4"/>
  <c r="G23" i="4"/>
  <c r="C20" i="4"/>
  <c r="G10" i="4"/>
  <c r="B10" i="4"/>
  <c r="B9" i="4"/>
  <c r="B8" i="4"/>
  <c r="B7" i="4"/>
  <c r="B6" i="4"/>
  <c r="B5" i="4"/>
  <c r="B4" i="4"/>
  <c r="B3" i="4"/>
  <c r="B2" i="4"/>
  <c r="C50" i="12"/>
  <c r="C49" i="12"/>
  <c r="C47" i="12"/>
  <c r="C48" i="9"/>
  <c r="C47" i="9"/>
  <c r="C65" i="6"/>
  <c r="C66" i="6"/>
  <c r="C68" i="6"/>
  <c r="C67" i="6"/>
  <c r="C51" i="9"/>
  <c r="C50" i="9"/>
  <c r="C49" i="9"/>
  <c r="C7" i="8"/>
  <c r="C7" i="6"/>
  <c r="C60" i="6"/>
  <c r="C30" i="6"/>
  <c r="C9" i="6"/>
  <c r="C11" i="6"/>
</calcChain>
</file>

<file path=xl/sharedStrings.xml><?xml version="1.0" encoding="utf-8"?>
<sst xmlns="http://schemas.openxmlformats.org/spreadsheetml/2006/main" count="3029" uniqueCount="558">
  <si>
    <t>Initial Estimates 06 Feb 2017</t>
  </si>
  <si>
    <t>Design Constraints</t>
  </si>
  <si>
    <t>Estimates and Calculations (in the order they were estimated or calculated)</t>
  </si>
  <si>
    <t>Crew</t>
  </si>
  <si>
    <t>2 Pilots to be included in dry weight of aircraft</t>
  </si>
  <si>
    <t>Altitude</t>
  </si>
  <si>
    <t>Fuselage</t>
  </si>
  <si>
    <t>Parameter</t>
  </si>
  <si>
    <t xml:space="preserve">Cowlings </t>
  </si>
  <si>
    <t xml:space="preserve">Wings </t>
  </si>
  <si>
    <t>Given</t>
  </si>
  <si>
    <t>Value</t>
  </si>
  <si>
    <t>Units</t>
  </si>
  <si>
    <t>Given / Estimate / Calculation</t>
  </si>
  <si>
    <t>Equation(s) Used</t>
  </si>
  <si>
    <t>Reference</t>
  </si>
  <si>
    <t>1 Stewardess</t>
  </si>
  <si>
    <t>Wing Loading [W/S]</t>
  </si>
  <si>
    <t>Estimate</t>
  </si>
  <si>
    <t>SSBJ Sample Data</t>
  </si>
  <si>
    <t>Maximum Takeoff Weight [MTOW] [W0]</t>
  </si>
  <si>
    <t>lbs</t>
  </si>
  <si>
    <t>Cabin Seating</t>
  </si>
  <si>
    <t>Max Range (Max Fuel): 8 + 1 jumpseat for Stewardess</t>
  </si>
  <si>
    <t>Wing Area [S]</t>
  </si>
  <si>
    <t>Calculation</t>
  </si>
  <si>
    <t>S = (S/W)*W</t>
  </si>
  <si>
    <t>Common Knowledge</t>
  </si>
  <si>
    <t>Max Seating: 12 + 1 jumpseat for Stewardess</t>
  </si>
  <si>
    <t>Aspect Ratio [AR]</t>
  </si>
  <si>
    <t>41000ft</t>
  </si>
  <si>
    <t>42000ft</t>
  </si>
  <si>
    <t>Length</t>
  </si>
  <si>
    <t>ft</t>
  </si>
  <si>
    <t>SSBJ Sample Data Ratio Estimations</t>
  </si>
  <si>
    <t>Project Handout, Appendix B, pg. 13</t>
  </si>
  <si>
    <t>Wing Span [b] (of one wing)</t>
  </si>
  <si>
    <t>43000ft</t>
  </si>
  <si>
    <t>Fuselage Length</t>
  </si>
  <si>
    <t>44000ft</t>
  </si>
  <si>
    <t>Range at Mach 1.6</t>
  </si>
  <si>
    <t>Tail Empennage Length</t>
  </si>
  <si>
    <t>45000ft</t>
  </si>
  <si>
    <t>Nose Length</t>
  </si>
  <si>
    <t>46000ft</t>
  </si>
  <si>
    <t>Width (Fuselage Diameter / Cabin Diameter)</t>
  </si>
  <si>
    <t>47000ft</t>
  </si>
  <si>
    <t>Aircraft speed for Mach1.6</t>
  </si>
  <si>
    <t>AR = b2/S : b/2 = 2.5Cr</t>
  </si>
  <si>
    <t>mach</t>
  </si>
  <si>
    <t>alpha</t>
  </si>
  <si>
    <t>48000ft</t>
  </si>
  <si>
    <t>49000ft</t>
  </si>
  <si>
    <t xml:space="preserve">Dynamic Viscosity </t>
  </si>
  <si>
    <t>Root Tail Chord Length [Cr_t]</t>
  </si>
  <si>
    <t>(lb s/ft2)</t>
  </si>
  <si>
    <t>Calcuation</t>
  </si>
  <si>
    <t>Cr_t = W_t/W_w*Cr</t>
  </si>
  <si>
    <t>Torenbeek Weight Assumptions for similar Aircraft</t>
  </si>
  <si>
    <t>Parasite Dradg Coeff</t>
  </si>
  <si>
    <t>Parasite Drag</t>
  </si>
  <si>
    <t xml:space="preserve">Induced Drag and wave drag </t>
  </si>
  <si>
    <t>f(ld)(fusselage)</t>
  </si>
  <si>
    <t>Superosonic Cruise Mach Range</t>
  </si>
  <si>
    <t>1.6 - 1.8</t>
  </si>
  <si>
    <t>Mean Aerodynamic Chord [MAC]</t>
  </si>
  <si>
    <t>unitless</t>
  </si>
  <si>
    <t>Cf (turbulent)</t>
  </si>
  <si>
    <t>fm</t>
  </si>
  <si>
    <t>unitless (M=1.6)</t>
  </si>
  <si>
    <t xml:space="preserve">wetted area </t>
  </si>
  <si>
    <t>Mean Tail Chord</t>
  </si>
  <si>
    <t>Subsonic Cruise Mach Range</t>
  </si>
  <si>
    <t>sqft</t>
  </si>
  <si>
    <t>0.9-0.95</t>
  </si>
  <si>
    <t>Area of wing</t>
  </si>
  <si>
    <t>f(ld)(engine)</t>
  </si>
  <si>
    <t>Tip Chord Length [Ct]</t>
  </si>
  <si>
    <t>Cf (laminar)</t>
  </si>
  <si>
    <t>Appendix B Data</t>
  </si>
  <si>
    <t>(mach 1.6)</t>
  </si>
  <si>
    <t>Density of Air</t>
  </si>
  <si>
    <t>1/hr</t>
  </si>
  <si>
    <t>Reynold Number</t>
  </si>
  <si>
    <t>Cf</t>
  </si>
  <si>
    <t>Parasite of fuselage</t>
  </si>
  <si>
    <t>Parasite Cowlings</t>
  </si>
  <si>
    <t>BruinJet BJ205 Performance Data</t>
  </si>
  <si>
    <t>Alpha</t>
  </si>
  <si>
    <t>Cl</t>
  </si>
  <si>
    <t>Altitude (ft)</t>
  </si>
  <si>
    <t>dyanmic pressure</t>
  </si>
  <si>
    <t>Lift (alpha=2)</t>
  </si>
  <si>
    <t>Lift(alpha=3)</t>
  </si>
  <si>
    <t>Lift(alpha=4)</t>
  </si>
  <si>
    <t>Maximum Operating Mach Number</t>
  </si>
  <si>
    <t>Lift(alpha=5)</t>
  </si>
  <si>
    <t>Lift(alpha=6)</t>
  </si>
  <si>
    <t>Lift(alpha=7)</t>
  </si>
  <si>
    <t>Lift to Drag Ratio [L/D]</t>
  </si>
  <si>
    <t>Project Handout, Appendix B, Table B-19, pg. 15</t>
  </si>
  <si>
    <t>Speed of Sound at Cruise Altitude [a]</t>
  </si>
  <si>
    <t>Cruise Altitude</t>
  </si>
  <si>
    <t>Cruise Speed [V]</t>
  </si>
  <si>
    <t>M = a/V</t>
  </si>
  <si>
    <t>Speed of Sound at Sea Level [a0]</t>
  </si>
  <si>
    <t>http://www.fighter-planes.com/jetmach1.htm</t>
  </si>
  <si>
    <t>Service Ceiling</t>
  </si>
  <si>
    <t>Ambient Temp at Crusing Altitude [Ta]</t>
  </si>
  <si>
    <t>Kelvin</t>
  </si>
  <si>
    <t>Standard Atmospheric Temperature [T0]</t>
  </si>
  <si>
    <t>Payload with Maximum Fuel (Max Range / Max Fuel Cabin Seating)</t>
  </si>
  <si>
    <t>O.O. Bendisken, Chapter 2 Slides, Equation 2.130</t>
  </si>
  <si>
    <t>Fuel Weight [Wfuel] (this is fuel needed to make trip)</t>
  </si>
  <si>
    <t xml:space="preserve">R/a0 = (M(L/D))/(Ctf/sqrt(Ta/T0))*ln(W0/W1)
Wfuel = W0 - W1    </t>
  </si>
  <si>
    <t>Fuel Requirements</t>
  </si>
  <si>
    <t>* aircraft must be stable in pitch without use of active controls</t>
  </si>
  <si>
    <t>Earlier Calculation</t>
  </si>
  <si>
    <t>Jet Fuel Density</t>
  </si>
  <si>
    <t>Wikipedia</t>
  </si>
  <si>
    <t>NACA 64A006 Airfoil Data                   See Project Handout, Appendix B, pg. 13</t>
  </si>
  <si>
    <t>Total Volume of Fuel Tank Storage Required</t>
  </si>
  <si>
    <t>Weight Group Breakdowns as a Function of MTOW</t>
  </si>
  <si>
    <t>Wing Group</t>
  </si>
  <si>
    <t>Tail Group</t>
  </si>
  <si>
    <t>Fuselage Group</t>
  </si>
  <si>
    <t>Landing Gear</t>
  </si>
  <si>
    <t>Surface Controls Group</t>
  </si>
  <si>
    <t>Nacelle Group</t>
  </si>
  <si>
    <t>Aircraft Dimensions</t>
  </si>
  <si>
    <t>Height</t>
  </si>
  <si>
    <t>Total Wing Span (of both wings and aircraft)</t>
  </si>
  <si>
    <t>Total Wing Span = 2*b + Width</t>
  </si>
  <si>
    <t>http://faculty.dwc.edu/sadraey/Chapter%203.%20Drag%20Force%20and%20its%20Coefficient.pdf</t>
  </si>
  <si>
    <t>http://adg.stanford.edu/aa241/drag/wettedarea.html</t>
  </si>
  <si>
    <t>http://onlinelibrary.wiley.com/doi/10.1002/9781118568101.app1/pdf</t>
  </si>
  <si>
    <t>Torenbeek appendix b</t>
  </si>
  <si>
    <t>Variable</t>
  </si>
  <si>
    <t xml:space="preserve">WL = </t>
  </si>
  <si>
    <t xml:space="preserve">MTOW = </t>
  </si>
  <si>
    <t xml:space="preserve">S = </t>
  </si>
  <si>
    <t xml:space="preserve">AR = </t>
  </si>
  <si>
    <t xml:space="preserve">MAC = </t>
  </si>
  <si>
    <t xml:space="preserve">Cr = </t>
  </si>
  <si>
    <t xml:space="preserve">Cr_t = </t>
  </si>
  <si>
    <t xml:space="preserve">** </t>
  </si>
  <si>
    <t xml:space="preserve">C_t = </t>
  </si>
  <si>
    <t>MAC_t =</t>
  </si>
  <si>
    <t xml:space="preserve">TSFC = </t>
  </si>
  <si>
    <t xml:space="preserve">L_D = </t>
  </si>
  <si>
    <t xml:space="preserve">a_cruise = </t>
  </si>
  <si>
    <t xml:space="preserve">V_1_6 = </t>
  </si>
  <si>
    <t xml:space="preserve">a0 = </t>
  </si>
  <si>
    <t xml:space="preserve">T_cruise = </t>
  </si>
  <si>
    <t xml:space="preserve">T0 = </t>
  </si>
  <si>
    <t xml:space="preserve">W_fuel = </t>
  </si>
  <si>
    <t>Project Handout, Appendix B, pg. 13: Assuming same airfoil for Wing and Tail</t>
  </si>
  <si>
    <t xml:space="preserve">rho_fuel = </t>
  </si>
  <si>
    <t xml:space="preserve">V_f = </t>
  </si>
  <si>
    <t xml:space="preserve">W_wing = </t>
  </si>
  <si>
    <t xml:space="preserve">W_tail = </t>
  </si>
  <si>
    <t xml:space="preserve">W_fus = </t>
  </si>
  <si>
    <t xml:space="preserve">W_land = </t>
  </si>
  <si>
    <t xml:space="preserve">W_Nac = </t>
  </si>
  <si>
    <t xml:space="preserve">W_eng = </t>
  </si>
  <si>
    <t xml:space="preserve">L_aircraft = </t>
  </si>
  <si>
    <t xml:space="preserve">; </t>
  </si>
  <si>
    <t xml:space="preserve">L_fus = </t>
  </si>
  <si>
    <t xml:space="preserve">L_emp = </t>
  </si>
  <si>
    <t xml:space="preserve">L_nose = </t>
  </si>
  <si>
    <t xml:space="preserve">D_aircraft = </t>
  </si>
  <si>
    <t xml:space="preserve">H = </t>
  </si>
  <si>
    <t xml:space="preserve">b_tot = </t>
  </si>
  <si>
    <t>41,000 - 49,000 ft</t>
  </si>
  <si>
    <t>51000 ft</t>
  </si>
  <si>
    <t>2000 lbs</t>
  </si>
  <si>
    <t>See above</t>
  </si>
  <si>
    <t>Torenbeek, Ch.8, pg. 280, Table 8-5, Aerospat. Caravelle VIR 2-Engine Aircraft</t>
  </si>
  <si>
    <t>**</t>
  </si>
  <si>
    <t>O.O. Bendiksen, Gas Turbine Engines, F414-GE-400</t>
  </si>
  <si>
    <t>See Right</t>
  </si>
  <si>
    <t>See Left</t>
  </si>
  <si>
    <t>Fuel Weight [Wfuel]</t>
  </si>
  <si>
    <t>lb/ft3</t>
  </si>
  <si>
    <t>ft3</t>
  </si>
  <si>
    <t>Volume = Wfuel / Jet Fuel Density</t>
  </si>
  <si>
    <t>lb/ft2</t>
  </si>
  <si>
    <t>ft2</t>
  </si>
  <si>
    <t>AR = b2/S</t>
  </si>
  <si>
    <t>Root Chord Length [Cr]</t>
  </si>
  <si>
    <t>MAC = 0.73917*Cr</t>
  </si>
  <si>
    <t>MAC = 0.73917*Cr_t</t>
  </si>
  <si>
    <t>Ct = 0.3886*Cr</t>
  </si>
  <si>
    <t>TSFC [Ctf]</t>
  </si>
  <si>
    <t>Engine Length</t>
  </si>
  <si>
    <t xml:space="preserve">L_eng = </t>
  </si>
  <si>
    <t>Seating Section 1 Length</t>
  </si>
  <si>
    <t xml:space="preserve">L_seat1 = </t>
  </si>
  <si>
    <t>Seating Section 2 Length</t>
  </si>
  <si>
    <t>Seating Section 3 Length</t>
  </si>
  <si>
    <t xml:space="preserve">L_seat2 = </t>
  </si>
  <si>
    <t xml:space="preserve">L_seat3 = </t>
  </si>
  <si>
    <t>Nacelle Length</t>
  </si>
  <si>
    <t>Locations for CG calcs: Connects to First Page for Aircraft Dimensions, and will auto update all other values associated with these lengths</t>
  </si>
  <si>
    <t>Leading Edge wing Placement</t>
  </si>
  <si>
    <t>Leading Edge Engine Placement</t>
  </si>
  <si>
    <t xml:space="preserve">x_eng = </t>
  </si>
  <si>
    <t xml:space="preserve">x_wing = </t>
  </si>
  <si>
    <t>Percent Length * Plane Length</t>
  </si>
  <si>
    <t>Leading Edge Nacelle Placement</t>
  </si>
  <si>
    <t xml:space="preserve">x_nac = </t>
  </si>
  <si>
    <t>Leading Edge Front Landing Gear Placement</t>
  </si>
  <si>
    <t xml:space="preserve">x_lg_front = </t>
  </si>
  <si>
    <t>Leading Edge Rear Landing Gear Placement</t>
  </si>
  <si>
    <t xml:space="preserve">x_lg_rear = </t>
  </si>
  <si>
    <t>Leading Edge Fuselage Placement</t>
  </si>
  <si>
    <t xml:space="preserve">x_fus = </t>
  </si>
  <si>
    <t>Leading Edge Empanage Placement</t>
  </si>
  <si>
    <t xml:space="preserve">x_emp = </t>
  </si>
  <si>
    <t>Leading Edge Vertical Tail Surfaces</t>
  </si>
  <si>
    <t xml:space="preserve">x_t_vert = </t>
  </si>
  <si>
    <t>Leading Edge Horizontal Tail Surfaces</t>
  </si>
  <si>
    <t xml:space="preserve">x_t_horiz = </t>
  </si>
  <si>
    <t>Leading Edge CockPit Placement</t>
  </si>
  <si>
    <t xml:space="preserve">x_cock = </t>
  </si>
  <si>
    <t>Leading Edge Jump Seat Placement</t>
  </si>
  <si>
    <t xml:space="preserve">x_js = </t>
  </si>
  <si>
    <t>Leading Edge Placement of Seating Section 1</t>
  </si>
  <si>
    <t>Leading Edge Placement of Seating Section 2</t>
  </si>
  <si>
    <t>Leading Edge Placement of Seating Section 3</t>
  </si>
  <si>
    <t xml:space="preserve">x_seat1 = </t>
  </si>
  <si>
    <t xml:space="preserve">x_seat2 = </t>
  </si>
  <si>
    <t xml:space="preserve">x_seat3 = </t>
  </si>
  <si>
    <t xml:space="preserve">Engine Group </t>
  </si>
  <si>
    <t>Number Of Engines</t>
  </si>
  <si>
    <t xml:space="preserve">N_engines = </t>
  </si>
  <si>
    <t xml:space="preserve">Will need to add a third engine eventually. Starting with 2 now. </t>
  </si>
  <si>
    <t>Weight of Luxury Passenger</t>
  </si>
  <si>
    <t>Weight of Jump Seat</t>
  </si>
  <si>
    <t>Weight of Pilot Seat</t>
  </si>
  <si>
    <t>Weight of Passenger + Luggage</t>
  </si>
  <si>
    <t xml:space="preserve">W_pass_seat = </t>
  </si>
  <si>
    <t xml:space="preserve">W_js = </t>
  </si>
  <si>
    <t xml:space="preserve">W_pilot_seat = </t>
  </si>
  <si>
    <t xml:space="preserve">W_pass = </t>
  </si>
  <si>
    <t>Leading Edge of MAC</t>
  </si>
  <si>
    <t xml:space="preserve">x_MAC = </t>
  </si>
  <si>
    <t>x_MAC = x_wing+((1-.8037)*Cr);</t>
  </si>
  <si>
    <t>Appendix B/C</t>
  </si>
  <si>
    <t>Placement of Wing CG</t>
  </si>
  <si>
    <t xml:space="preserve">x_wing_cg = </t>
  </si>
  <si>
    <t>Surface Control CG Placement</t>
  </si>
  <si>
    <t xml:space="preserve">x_sc = </t>
  </si>
  <si>
    <t>Wing Moment</t>
  </si>
  <si>
    <t xml:space="preserve">M_wing = </t>
  </si>
  <si>
    <t>Surface Control Moment</t>
  </si>
  <si>
    <t xml:space="preserve">M_sc = </t>
  </si>
  <si>
    <t>Fuel Tank Parameters</t>
  </si>
  <si>
    <t>Wing and Surface Controls Parameters</t>
  </si>
  <si>
    <t>Weight of Center Fuel Tank</t>
  </si>
  <si>
    <t xml:space="preserve">W_cent_fuel = </t>
  </si>
  <si>
    <t>Cross Section of Fuel In Center Tank</t>
  </si>
  <si>
    <t xml:space="preserve">A_cross_fuel = </t>
  </si>
  <si>
    <t>ft^2</t>
  </si>
  <si>
    <t>lb</t>
  </si>
  <si>
    <t>ft-lb</t>
  </si>
  <si>
    <t>x_wing_cg = x_wing+(.7*Cr);</t>
  </si>
  <si>
    <t>x_sc = x_MAC + MAC;</t>
  </si>
  <si>
    <t xml:space="preserve">M_wing = x_wing_xg *W_wing; </t>
  </si>
  <si>
    <t xml:space="preserve">M_sc = x_sc*W_sc; </t>
  </si>
  <si>
    <t xml:space="preserve">W_sc = </t>
  </si>
  <si>
    <t>** Ask Jordy **</t>
  </si>
  <si>
    <t xml:space="preserve">W_wing_fuel = </t>
  </si>
  <si>
    <t>Weight of Fuel in Both Wings</t>
  </si>
  <si>
    <t>CG Position for Center Fuel Tank</t>
  </si>
  <si>
    <t xml:space="preserve">x_cent_fuel_cg = </t>
  </si>
  <si>
    <t xml:space="preserve">W_wing_fuel= W_fuel - W_cent_fuel; </t>
  </si>
  <si>
    <t xml:space="preserve">x_cent_fuel_cg = x_wing + Cr/2; </t>
  </si>
  <si>
    <t>CG Position of Wing Fuel Tanks</t>
  </si>
  <si>
    <t xml:space="preserve">x_wing_fuel_cg = </t>
  </si>
  <si>
    <t>x_wing_fuel_cg = x_wing+0.5+0.7*0.4*Cr</t>
  </si>
  <si>
    <t>Moment of Center Fuel Tank</t>
  </si>
  <si>
    <t xml:space="preserve">M_cent_fuel = </t>
  </si>
  <si>
    <t xml:space="preserve">M_cent_fuel = x_cent_fuel_cg*W_cent_fuel; </t>
  </si>
  <si>
    <t>Moment of Wing with Fuel</t>
  </si>
  <si>
    <t xml:space="preserve">M_wing_fuel = </t>
  </si>
  <si>
    <t xml:space="preserve">M_wing_fuel = x_cent_fuel_cg*W_cent_fuel; </t>
  </si>
  <si>
    <t>Engine Group Parameters</t>
  </si>
  <si>
    <t xml:space="preserve">x_eng_cg = </t>
  </si>
  <si>
    <t>x_eng_cg = x_eng+ L_eng/2;</t>
  </si>
  <si>
    <t>Engine Moment</t>
  </si>
  <si>
    <t xml:space="preserve">M_eng = </t>
  </si>
  <si>
    <t>Weight of One Engine</t>
  </si>
  <si>
    <t xml:space="preserve">W_one_eng = </t>
  </si>
  <si>
    <t>Ask Janelle or Jordy</t>
  </si>
  <si>
    <t>Total Weight Of Engines</t>
  </si>
  <si>
    <t xml:space="preserve">M_eng = x_eng_cg*W_eng; </t>
  </si>
  <si>
    <t>Nacelle Group Parameters</t>
  </si>
  <si>
    <t>Nacelle Moment</t>
  </si>
  <si>
    <t xml:space="preserve">x_nac_cg = </t>
  </si>
  <si>
    <t xml:space="preserve">L_nac = </t>
  </si>
  <si>
    <t>x_nac_cg = x_nac+ L_nac*0.4;</t>
  </si>
  <si>
    <t xml:space="preserve">M_nac = </t>
  </si>
  <si>
    <t xml:space="preserve">M_nac = x_nac_cg*W_nac; </t>
  </si>
  <si>
    <t>Tail Group Parameters</t>
  </si>
  <si>
    <t>Fuselage Group Parameters</t>
  </si>
  <si>
    <t>Landing Gear Group Parameters</t>
  </si>
  <si>
    <t>Tail Moment</t>
  </si>
  <si>
    <t xml:space="preserve">M_tail = </t>
  </si>
  <si>
    <t>Vertical Tail CG</t>
  </si>
  <si>
    <t>Horizontal Tail CG</t>
  </si>
  <si>
    <t xml:space="preserve">x_vert_tail_cg = </t>
  </si>
  <si>
    <t xml:space="preserve">x_horz_tail_cg = </t>
  </si>
  <si>
    <t>Fuselage CG</t>
  </si>
  <si>
    <t>Engine CG</t>
  </si>
  <si>
    <t>Nacelle CG</t>
  </si>
  <si>
    <t xml:space="preserve">x_fus_cg = </t>
  </si>
  <si>
    <t>x_tail_cg = x_tail+ L_tail*0.42;</t>
  </si>
  <si>
    <t xml:space="preserve">M_tail = x_tail_cg*W_tail; </t>
  </si>
  <si>
    <t>x_fus_cg = x_fus+ L_fus*0.47;</t>
  </si>
  <si>
    <t>Fuselage Moment</t>
  </si>
  <si>
    <t xml:space="preserve">M_fus = </t>
  </si>
  <si>
    <t xml:space="preserve">M_fus = x_fus_cg*W_fus; </t>
  </si>
  <si>
    <t>Landing Gear CG</t>
  </si>
  <si>
    <t xml:space="preserve">x_lg_cg = </t>
  </si>
  <si>
    <t>Landing Gear Moment</t>
  </si>
  <si>
    <t xml:space="preserve">M_lg = </t>
  </si>
  <si>
    <t xml:space="preserve">M_lg = W_lg*x_cg_lg; </t>
  </si>
  <si>
    <t>Seat 1 CG</t>
  </si>
  <si>
    <t>Seat 2 CG</t>
  </si>
  <si>
    <t>CG</t>
  </si>
  <si>
    <t>Seat 3 CG</t>
  </si>
  <si>
    <t xml:space="preserve">x_seat1_cg = </t>
  </si>
  <si>
    <t xml:space="preserve">x_seat2_cg = </t>
  </si>
  <si>
    <t xml:space="preserve">x_seat3_cg = </t>
  </si>
  <si>
    <t>x_lg_cg = x_lg_front+(((2/3)*x_lg_rear)));</t>
  </si>
  <si>
    <t>x_seat1_cg = x_seat1 + L_seat1/2;</t>
  </si>
  <si>
    <t>Same As Seat 1</t>
  </si>
  <si>
    <t>Total Weight of Seating Section 1</t>
  </si>
  <si>
    <t>Total Weight of Seating Section 2</t>
  </si>
  <si>
    <t>Total Weight of Seating Section 3</t>
  </si>
  <si>
    <t xml:space="preserve">W_seat1 = </t>
  </si>
  <si>
    <t xml:space="preserve">W_seat2 = </t>
  </si>
  <si>
    <t xml:space="preserve">W_seat3 = </t>
  </si>
  <si>
    <t>Number Of Passengers in Section 1</t>
  </si>
  <si>
    <t>Number Of Passengers in Section 2</t>
  </si>
  <si>
    <t>Number Of Passengers in Section 3</t>
  </si>
  <si>
    <t xml:space="preserve">N_seat1 = </t>
  </si>
  <si>
    <t xml:space="preserve">N_seat2 = </t>
  </si>
  <si>
    <t xml:space="preserve">N_seat3 = </t>
  </si>
  <si>
    <t>Project Handout</t>
  </si>
  <si>
    <t>Sum weight of Passenger Seat, person and bags</t>
  </si>
  <si>
    <t>Total Weight of Pilots</t>
  </si>
  <si>
    <t xml:space="preserve">W_pilots = </t>
  </si>
  <si>
    <t>Sum weight of Pilot Seat, person and bags</t>
  </si>
  <si>
    <t>Total Weight of Jumper Seat</t>
  </si>
  <si>
    <t>Seating Section 1 Moment</t>
  </si>
  <si>
    <t xml:space="preserve">M_seat1 = </t>
  </si>
  <si>
    <t>Seating Section 2 Moment</t>
  </si>
  <si>
    <t>Seating Section 3 Moment</t>
  </si>
  <si>
    <t xml:space="preserve">M_seat2 = </t>
  </si>
  <si>
    <t xml:space="preserve">M_seat3 = </t>
  </si>
  <si>
    <t xml:space="preserve">M_seat = W_seat + x_seat_cg; </t>
  </si>
  <si>
    <t>Pilot Moment</t>
  </si>
  <si>
    <t xml:space="preserve">M_pilots = </t>
  </si>
  <si>
    <t>Jump Seat Moment</t>
  </si>
  <si>
    <t xml:space="preserve">M_js = </t>
  </si>
  <si>
    <t>See Seat Moment Calc</t>
  </si>
  <si>
    <t>Sum of Moments</t>
  </si>
  <si>
    <t xml:space="preserve">M_sum = </t>
  </si>
  <si>
    <t>Sum all Moments</t>
  </si>
  <si>
    <t>Sum of Weights</t>
  </si>
  <si>
    <t xml:space="preserve">W_sum = </t>
  </si>
  <si>
    <t>Sum all Weights</t>
  </si>
  <si>
    <t xml:space="preserve">CG = </t>
  </si>
  <si>
    <t>Sum_M/Sum_W</t>
  </si>
  <si>
    <t>CG Percent MAC</t>
  </si>
  <si>
    <t xml:space="preserve">CG_MAC = </t>
  </si>
  <si>
    <t>%</t>
  </si>
  <si>
    <t xml:space="preserve">(CG-x_MAC)/MAC; </t>
  </si>
  <si>
    <t>Correction Coefficient</t>
  </si>
  <si>
    <t xml:space="preserve">tau = </t>
  </si>
  <si>
    <t>Appendix C: Stability Calcs</t>
  </si>
  <si>
    <t>Fuselage Fineness Ratio 1</t>
  </si>
  <si>
    <t>Fuselage Fineness Ratio 2</t>
  </si>
  <si>
    <t>Nacelle Fineness Ratio 1</t>
  </si>
  <si>
    <t>Nacelle Fineness Ratio 2</t>
  </si>
  <si>
    <t xml:space="preserve">k1_f = </t>
  </si>
  <si>
    <t xml:space="preserve">k2_f = </t>
  </si>
  <si>
    <t xml:space="preserve">k1_n = </t>
  </si>
  <si>
    <t xml:space="preserve">k2_n = </t>
  </si>
  <si>
    <t>Placement of CG</t>
  </si>
  <si>
    <t xml:space="preserve">x_cg = </t>
  </si>
  <si>
    <t>See CG Calcs Page</t>
  </si>
  <si>
    <t>Moment Coefficient about AC</t>
  </si>
  <si>
    <t xml:space="preserve">CM_ac = </t>
  </si>
  <si>
    <t>Assume 0 to start</t>
  </si>
  <si>
    <t>Volume of Fuselage</t>
  </si>
  <si>
    <t xml:space="preserve">V_fus = </t>
  </si>
  <si>
    <t xml:space="preserve">V_emp = </t>
  </si>
  <si>
    <t>Volume of Emp</t>
  </si>
  <si>
    <t>ft^3</t>
  </si>
  <si>
    <t>Area of Circle*Length Fuselage</t>
  </si>
  <si>
    <t>Area of Circle*Length Empennage</t>
  </si>
  <si>
    <t xml:space="preserve">l_w = </t>
  </si>
  <si>
    <t>Length from Wing MAC to CG</t>
  </si>
  <si>
    <t>Length from Tail MAC to CG</t>
  </si>
  <si>
    <t xml:space="preserve">l_t = </t>
  </si>
  <si>
    <t xml:space="preserve">l_t = x_tail_MAC - x_cg; </t>
  </si>
  <si>
    <t xml:space="preserve">l_w= x_wing_MAC - x_cg; </t>
  </si>
  <si>
    <t>Number of Nacelle</t>
  </si>
  <si>
    <t xml:space="preserve">N_nac = </t>
  </si>
  <si>
    <t>Air Density at Cruise Altitude</t>
  </si>
  <si>
    <t xml:space="preserve">rho_cruise = </t>
  </si>
  <si>
    <t>slug/ft^3</t>
  </si>
  <si>
    <t>Standard Air Density</t>
  </si>
  <si>
    <t>Tail Surface Area</t>
  </si>
  <si>
    <t xml:space="preserve">S_t = </t>
  </si>
  <si>
    <t>Velocity of Aircraft at Mach 0.8</t>
  </si>
  <si>
    <t xml:space="preserve">V_plane = </t>
  </si>
  <si>
    <t>Mach Speed</t>
  </si>
  <si>
    <t xml:space="preserve">M = </t>
  </si>
  <si>
    <t>Subsonic Criuse</t>
  </si>
  <si>
    <t>Toohey Stability Slides for Tail Ratio</t>
  </si>
  <si>
    <t>V_plane = a_cruise*M_08</t>
  </si>
  <si>
    <t>Standard Calc</t>
  </si>
  <si>
    <t>Dynamic Pressure</t>
  </si>
  <si>
    <t xml:space="preserve">q = </t>
  </si>
  <si>
    <t>slugs/(ft*s^2)</t>
  </si>
  <si>
    <t>Standard Dynamic Pressure</t>
  </si>
  <si>
    <t>Volume Of Fuselage</t>
  </si>
  <si>
    <t>Volume Of Cylender</t>
  </si>
  <si>
    <t>Volume of Nacelle</t>
  </si>
  <si>
    <t xml:space="preserve">V_n = </t>
  </si>
  <si>
    <t>Will Add When Quang Calcs This</t>
  </si>
  <si>
    <t>Length from Tail MAC to Wing MAC</t>
  </si>
  <si>
    <t xml:space="preserve">l = </t>
  </si>
  <si>
    <t xml:space="preserve">l = l_w+l_t; </t>
  </si>
  <si>
    <t>Tail Efficiency</t>
  </si>
  <si>
    <t xml:space="preserve">n_t = </t>
  </si>
  <si>
    <t>given / Estimate / Calculation</t>
  </si>
  <si>
    <t xml:space="preserve">Given </t>
  </si>
  <si>
    <t>Assume 1</t>
  </si>
  <si>
    <t>Input Stability Parameters</t>
  </si>
  <si>
    <t>Angle Of Attack</t>
  </si>
  <si>
    <t>Constant Stability Parameters</t>
  </si>
  <si>
    <t>Lift Coefficient</t>
  </si>
  <si>
    <t xml:space="preserve">C_L = </t>
  </si>
  <si>
    <t>Rad</t>
  </si>
  <si>
    <t>See Appendix B: C_L = 0.3</t>
  </si>
  <si>
    <t>See Appendix Bfor C_L = 0.3</t>
  </si>
  <si>
    <t>Tail Volume Ratio</t>
  </si>
  <si>
    <t xml:space="preserve">V_h = </t>
  </si>
  <si>
    <t xml:space="preserve">Appendix C: Values range from 0.56-1.2 : See plots to right for Affects of varied Vh. </t>
  </si>
  <si>
    <t xml:space="preserve">150B Text, pg. 254: CM_ac varies from .008-.025 : Small contribution to calcs. </t>
  </si>
  <si>
    <t>DownWash Angle</t>
  </si>
  <si>
    <t xml:space="preserve">epsilon = </t>
  </si>
  <si>
    <t>epsilon = 2*C_L/(pi*AR)*(1+tau)</t>
  </si>
  <si>
    <t>See Appendix C: Use Values from McMormick</t>
  </si>
  <si>
    <t>Not sure what to assume here</t>
  </si>
  <si>
    <t>Lift Curve Slope for Wing</t>
  </si>
  <si>
    <t xml:space="preserve">a_w = </t>
  </si>
  <si>
    <t>1/Rad</t>
  </si>
  <si>
    <t>a_w = C_L/alpha</t>
  </si>
  <si>
    <t>Assuming C_L0 is negligible</t>
  </si>
  <si>
    <t>Appendix B Values: C_L= 0.3 : For Different Mach Values, update from AppendBix B</t>
  </si>
  <si>
    <t>Lift Curve Slope for Tail</t>
  </si>
  <si>
    <t xml:space="preserve">a_t = </t>
  </si>
  <si>
    <t>a_t = C_Lt/alpha_t</t>
  </si>
  <si>
    <t>Assuming a_w = a_wt</t>
  </si>
  <si>
    <t>Derivative Of Epsilon with alpha</t>
  </si>
  <si>
    <t xml:space="preserve">dev_epsilon = </t>
  </si>
  <si>
    <t>1/rad</t>
  </si>
  <si>
    <t>dev_eps = epsilon/alpha</t>
  </si>
  <si>
    <t>Using Assumptions that C_L = alpha*a_w</t>
  </si>
  <si>
    <t xml:space="preserve">Moment of Fuselage </t>
  </si>
  <si>
    <t xml:space="preserve">M_f = </t>
  </si>
  <si>
    <t xml:space="preserve">alpha_w = </t>
  </si>
  <si>
    <t>M_f = 2*q*(k2_f-k1_f)*Vol_f*alpha_w;</t>
  </si>
  <si>
    <t>Appendix C</t>
  </si>
  <si>
    <t>Moment of Nacelle</t>
  </si>
  <si>
    <t xml:space="preserve">M_n = </t>
  </si>
  <si>
    <t>Appendix C Data</t>
  </si>
  <si>
    <t>M_n = 2*q*(k2_n-k1_n)*Vol_n*alpha_w;</t>
  </si>
  <si>
    <t>Appendix B Values: C_L= 0.4 : For Different Mach Values, update from AppendBix B</t>
  </si>
  <si>
    <t>Appendix B Values: C_L= 0.5 : For Different Mach Values, update from AppendBix B</t>
  </si>
  <si>
    <t>Moment Coefficient and Derivatives</t>
  </si>
  <si>
    <t xml:space="preserve">C_M_cg = </t>
  </si>
  <si>
    <t>Lift Coefficient of Tail</t>
  </si>
  <si>
    <t xml:space="preserve">C_Lt = </t>
  </si>
  <si>
    <t>Assume C_Lt = C_L</t>
  </si>
  <si>
    <t>Moment Coefficients for C_L = 0.3 @ Initial Estimates</t>
  </si>
  <si>
    <t>Moment Coefficients for C_L = 0.4 @ Initial Estimates</t>
  </si>
  <si>
    <t>Moment Coefficients for C_L = 0.5 @ Initial Estimates</t>
  </si>
  <si>
    <t xml:space="preserve">C_M_cg_alpha = </t>
  </si>
  <si>
    <t xml:space="preserve">Derivate of C_M_cg with alpha for C_L = 0.3 @ Initial Est. </t>
  </si>
  <si>
    <t>Toohey's Slides</t>
  </si>
  <si>
    <t>S_t = S_w*MAC/l_t</t>
  </si>
  <si>
    <t xml:space="preserve">Derivate of C_M_cg with alpha for C_L = 0.4 @ Initial Est. </t>
  </si>
  <si>
    <t>See Appendix C or Stability Code, Very Long Equation</t>
  </si>
  <si>
    <t>Equation(s) Used / Variables Involved</t>
  </si>
  <si>
    <t>CL, l_w, MAC, CM_AC, CL_t, n_t, Vh, M_f, M_nS_w</t>
  </si>
  <si>
    <t xml:space="preserve">Estimate : Currently 50%, maybe too high? </t>
  </si>
  <si>
    <t>Loading Conditions</t>
  </si>
  <si>
    <t>Loading Conditions One</t>
  </si>
  <si>
    <t>Loading Conditions Two</t>
  </si>
  <si>
    <t>Loading Conditions Three</t>
  </si>
  <si>
    <t>Loading Condition Four</t>
  </si>
  <si>
    <t xml:space="preserve">W_1 = </t>
  </si>
  <si>
    <t xml:space="preserve">W_2 = </t>
  </si>
  <si>
    <t>fuel Weight 45 Mins</t>
  </si>
  <si>
    <t xml:space="preserve">W_fuel_45 = </t>
  </si>
  <si>
    <t>Wfuel45min = MTOW - (MTOW/(exp(E/((1/Ctsfc)*(CL_CD))))); </t>
  </si>
  <si>
    <t>Janelle Weight Code</t>
  </si>
  <si>
    <t xml:space="preserve">W_3 = </t>
  </si>
  <si>
    <t>MTOW</t>
  </si>
  <si>
    <t>MTOW - W_fuel + W_fuel_45</t>
  </si>
  <si>
    <t>MTOW - 13*W_passenger</t>
  </si>
  <si>
    <t>MTOW - (W_fuel + W_fuel_45) - 13*W_passenger</t>
  </si>
  <si>
    <t xml:space="preserve">b_2 = </t>
  </si>
  <si>
    <t>b/2</t>
  </si>
  <si>
    <t>Angle of Atttack Tail</t>
  </si>
  <si>
    <t xml:space="preserve">alpha_t = </t>
  </si>
  <si>
    <t>alpha_t = CL_t_trim/A_t</t>
  </si>
  <si>
    <t>Toohey's Slide  [246]</t>
  </si>
  <si>
    <t>Dynamic Pressure Mach 1.6</t>
  </si>
  <si>
    <t>Dynamic Pressure Mach 1.7</t>
  </si>
  <si>
    <t>Dynamic Pressure Mach 1.8</t>
  </si>
  <si>
    <t>Supersonic Cruise</t>
  </si>
  <si>
    <t xml:space="preserve">Taken Estimate from Appendix </t>
  </si>
  <si>
    <t>Appendix B</t>
  </si>
  <si>
    <t>Loading Condition One</t>
  </si>
  <si>
    <t>Loading Condition Two</t>
  </si>
  <si>
    <t xml:space="preserve">Weight of Min Fuel in Both Wings </t>
  </si>
  <si>
    <t>Pilot/Payload Group Parameters Full Payload</t>
  </si>
  <si>
    <t>Pilot/Payload Group Parameters Ferry Flight</t>
  </si>
  <si>
    <t xml:space="preserve">W_wing_fuel_min = </t>
  </si>
  <si>
    <t>Moment of Wing with Fuel_min</t>
  </si>
  <si>
    <t>Loading Condition Three</t>
  </si>
  <si>
    <t>x</t>
  </si>
  <si>
    <t>Moment Coefficient and Derivatives: Loading Condition 1</t>
  </si>
  <si>
    <t>2 Engines, .803, 2445</t>
  </si>
  <si>
    <t>2 Engines, (1 - .803), 2445</t>
  </si>
  <si>
    <t>2 Engines, (.803), 2445</t>
  </si>
  <si>
    <t>Loading Condition 1</t>
  </si>
  <si>
    <t>Appendix B, Mach 1.6</t>
  </si>
  <si>
    <t>Appendix B, Mach 1.8</t>
  </si>
  <si>
    <t>Appendix B, Mach 1.7</t>
  </si>
  <si>
    <t>ft/s</t>
  </si>
  <si>
    <t>Derivate of C_M_cg at M = 1.8</t>
  </si>
  <si>
    <t>Derivate of C_M_cg at M = 1.6</t>
  </si>
  <si>
    <t>Derivate of C_M_cg at M = 1.7</t>
  </si>
  <si>
    <t>Loading Condition 2</t>
  </si>
  <si>
    <t>Moment Coefficient and Derivatives: Loading Condition 2</t>
  </si>
  <si>
    <t>Loading Condition 3</t>
  </si>
  <si>
    <t>Moment Coefficient and Derivatives: Loading Condition 3</t>
  </si>
  <si>
    <t>Loading Condition 4</t>
  </si>
  <si>
    <t>Moment Coefficient and Derivatives: Loading Condition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</si>
</sst>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"/>
    <numFmt numFmtId="166" formatCode="0.00000"/>
    <numFmt numFmtId="167" formatCode="0.0000"/>
  </numFmts>
  <fonts count="27" x14ac:knownFonts="1">
    <font>
      <sz val="11"/>
      <color rgb="FF000000"/>
      <name val="Calibri"/>
    </font>
    <font>
      <sz val="11"/>
      <name val="Calibri"/>
    </font>
    <font>
      <b/>
      <sz val="12"/>
      <color rgb="FFFFFFFF"/>
      <name val="Times New Roman"/>
    </font>
    <font>
      <sz val="12"/>
      <color rgb="FF000000"/>
      <name val="Times New Roman"/>
    </font>
    <font>
      <b/>
      <sz val="12"/>
      <color rgb="FF000000"/>
      <name val="Times New Roman"/>
    </font>
    <font>
      <b/>
      <sz val="11"/>
      <color rgb="FF000000"/>
      <name val="&quot;bitstream vera sans&quot;"/>
    </font>
    <font>
      <b/>
      <sz val="11"/>
      <name val="Calibri"/>
    </font>
    <font>
      <sz val="11"/>
      <color rgb="FF000000"/>
      <name val="Inconsolata"/>
    </font>
    <font>
      <u/>
      <sz val="11"/>
      <color rgb="FF0000FF"/>
      <name val="Calibri"/>
    </font>
    <font>
      <u/>
      <sz val="11"/>
      <color theme="11"/>
      <name val="Calibri"/>
    </font>
    <font>
      <b/>
      <sz val="12"/>
      <color theme="7" tint="0.39997558519241921"/>
      <name val="Times New Roman"/>
    </font>
    <font>
      <sz val="11"/>
      <color theme="7" tint="0.39997558519241921"/>
      <name val="Calibri"/>
    </font>
    <font>
      <b/>
      <sz val="12"/>
      <color rgb="FF000000"/>
      <name val="Times Roman"/>
    </font>
    <font>
      <sz val="12"/>
      <color rgb="FF000000"/>
      <name val="Times Roman"/>
    </font>
    <font>
      <sz val="12"/>
      <name val="Times Roman"/>
    </font>
    <font>
      <u/>
      <sz val="12"/>
      <color rgb="FF0563C1"/>
      <name val="Times Roman"/>
    </font>
    <font>
      <u/>
      <sz val="12"/>
      <color rgb="FF0000FF"/>
      <name val="Times Roman"/>
    </font>
    <font>
      <b/>
      <sz val="16"/>
      <color theme="0"/>
      <name val="Times Roman"/>
    </font>
    <font>
      <sz val="12"/>
      <color rgb="FF000000"/>
      <name val="Calibri"/>
    </font>
    <font>
      <u/>
      <sz val="12"/>
      <name val="Times Roman"/>
    </font>
    <font>
      <i/>
      <sz val="12"/>
      <color rgb="FF000000"/>
      <name val="Times Roman"/>
    </font>
    <font>
      <b/>
      <i/>
      <sz val="12"/>
      <color rgb="FF000000"/>
      <name val="Times Roman"/>
    </font>
    <font>
      <i/>
      <sz val="12"/>
      <name val="Times Roman"/>
    </font>
    <font>
      <i/>
      <sz val="11"/>
      <color rgb="FF000000"/>
      <name val="Calibri"/>
    </font>
    <font>
      <sz val="15"/>
      <color rgb="FF000000"/>
      <name val="Courier"/>
    </font>
    <font>
      <sz val="12"/>
      <color theme="1"/>
      <name val="Times Roman"/>
    </font>
    <font>
      <sz val="11"/>
      <color rgb="FF000000"/>
      <name val="Calibri Light"/>
    </font>
  </fonts>
  <fills count="10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FFFFFF"/>
        <bgColor rgb="FFFFFFFF"/>
      </patternFill>
    </fill>
    <fill>
      <patternFill patternType="solid">
        <fgColor theme="4" tint="-0.249977111117893"/>
        <bgColor rgb="FFBDD6EE"/>
      </patternFill>
    </fill>
    <fill>
      <patternFill patternType="solid">
        <fgColor theme="5" tint="-0.249977111117893"/>
        <bgColor rgb="FFF7CAA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0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3" fillId="0" borderId="0" xfId="0" applyFont="1" applyAlignment="1"/>
    <xf numFmtId="0" fontId="0" fillId="0" borderId="0" xfId="0" applyFont="1" applyAlignment="1"/>
    <xf numFmtId="0" fontId="5" fillId="0" borderId="0" xfId="0" applyFont="1" applyAlignment="1">
      <alignment horizontal="center"/>
    </xf>
    <xf numFmtId="0" fontId="6" fillId="0" borderId="0" xfId="0" applyFont="1" applyAlignment="1"/>
    <xf numFmtId="3" fontId="1" fillId="0" borderId="0" xfId="0" applyNumberFormat="1" applyFont="1" applyAlignment="1"/>
    <xf numFmtId="0" fontId="7" fillId="3" borderId="0" xfId="0" applyFont="1" applyFill="1" applyAlignment="1"/>
    <xf numFmtId="0" fontId="7" fillId="3" borderId="0" xfId="0" applyFont="1" applyFill="1"/>
    <xf numFmtId="0" fontId="1" fillId="0" borderId="0" xfId="0" applyFont="1" applyBorder="1"/>
    <xf numFmtId="0" fontId="0" fillId="0" borderId="0" xfId="0" applyFont="1"/>
    <xf numFmtId="0" fontId="8" fillId="0" borderId="0" xfId="0" applyFont="1" applyAlignme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2" fillId="5" borderId="0" xfId="0" applyFont="1" applyFill="1" applyBorder="1" applyAlignment="1"/>
    <xf numFmtId="0" fontId="13" fillId="0" borderId="0" xfId="0" applyFont="1" applyAlignment="1">
      <alignment horizontal="left"/>
    </xf>
    <xf numFmtId="164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 applyFill="1" applyBorder="1" applyAlignment="1">
      <alignment horizontal="left"/>
    </xf>
    <xf numFmtId="164" fontId="14" fillId="0" borderId="0" xfId="0" applyNumberFormat="1" applyFont="1" applyAlignment="1">
      <alignment horizontal="left"/>
    </xf>
    <xf numFmtId="0" fontId="13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/>
    </xf>
    <xf numFmtId="164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wrapText="1"/>
    </xf>
    <xf numFmtId="165" fontId="13" fillId="0" borderId="0" xfId="0" applyNumberFormat="1" applyFont="1" applyAlignment="1">
      <alignment horizontal="left"/>
    </xf>
    <xf numFmtId="0" fontId="12" fillId="7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horizontal="left"/>
    </xf>
    <xf numFmtId="0" fontId="12" fillId="7" borderId="1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/>
    </xf>
    <xf numFmtId="0" fontId="20" fillId="0" borderId="0" xfId="0" applyFont="1" applyAlignment="1"/>
    <xf numFmtId="0" fontId="21" fillId="7" borderId="1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13" fillId="0" borderId="0" xfId="0" applyFont="1" applyAlignment="1"/>
    <xf numFmtId="166" fontId="13" fillId="0" borderId="0" xfId="0" applyNumberFormat="1" applyFont="1" applyAlignment="1">
      <alignment horizontal="left"/>
    </xf>
    <xf numFmtId="167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24" fillId="0" borderId="0" xfId="0" applyFont="1" applyAlignment="1"/>
    <xf numFmtId="0" fontId="12" fillId="7" borderId="1" xfId="0" applyFont="1" applyFill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164" fontId="25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3" fillId="8" borderId="1" xfId="0" applyFont="1" applyFill="1" applyBorder="1" applyAlignment="1">
      <alignment horizontal="left"/>
    </xf>
    <xf numFmtId="167" fontId="13" fillId="8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3" fillId="0" borderId="0" xfId="0" applyFont="1" applyAlignment="1"/>
    <xf numFmtId="0" fontId="13" fillId="7" borderId="1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1" fillId="6" borderId="0" xfId="0" applyFont="1" applyFill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10" fillId="4" borderId="0" xfId="0" applyFont="1" applyFill="1" applyBorder="1" applyAlignment="1">
      <alignment horizontal="left" wrapText="1"/>
    </xf>
    <xf numFmtId="3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wrapText="1"/>
    </xf>
    <xf numFmtId="0" fontId="0" fillId="0" borderId="0" xfId="0" applyFont="1" applyAlignment="1"/>
    <xf numFmtId="0" fontId="17" fillId="4" borderId="2" xfId="0" applyFont="1" applyFill="1" applyBorder="1" applyAlignment="1">
      <alignment horizontal="left"/>
    </xf>
    <xf numFmtId="0" fontId="17" fillId="4" borderId="3" xfId="0" applyFont="1" applyFill="1" applyBorder="1" applyAlignment="1">
      <alignment horizontal="left"/>
    </xf>
    <xf numFmtId="0" fontId="17" fillId="4" borderId="4" xfId="0" applyFont="1" applyFill="1" applyBorder="1" applyAlignment="1">
      <alignment horizontal="left"/>
    </xf>
    <xf numFmtId="0" fontId="1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7" fillId="4" borderId="1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/>
    </xf>
    <xf numFmtId="0" fontId="17" fillId="4" borderId="4" xfId="0" applyFont="1" applyFill="1" applyBorder="1" applyAlignment="1">
      <alignment horizontal="left" vertical="center"/>
    </xf>
    <xf numFmtId="0" fontId="17" fillId="4" borderId="7" xfId="0" applyFont="1" applyFill="1" applyBorder="1" applyAlignment="1">
      <alignment horizontal="left" vertical="center"/>
    </xf>
    <xf numFmtId="0" fontId="12" fillId="7" borderId="2" xfId="0" applyFont="1" applyFill="1" applyBorder="1" applyAlignment="1">
      <alignment horizontal="left"/>
    </xf>
    <xf numFmtId="0" fontId="12" fillId="7" borderId="3" xfId="0" applyFont="1" applyFill="1" applyBorder="1" applyAlignment="1">
      <alignment horizontal="left"/>
    </xf>
    <xf numFmtId="0" fontId="12" fillId="7" borderId="4" xfId="0" applyFont="1" applyFill="1" applyBorder="1" applyAlignment="1">
      <alignment horizontal="left"/>
    </xf>
    <xf numFmtId="0" fontId="17" fillId="4" borderId="8" xfId="0" applyFont="1" applyFill="1" applyBorder="1" applyAlignment="1">
      <alignment horizontal="left" vertical="center"/>
    </xf>
    <xf numFmtId="0" fontId="13" fillId="0" borderId="6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3" fillId="0" borderId="0" xfId="0" applyFont="1" applyAlignment="1"/>
    <xf numFmtId="0" fontId="13" fillId="9" borderId="0" xfId="0" applyFont="1" applyFill="1" applyAlignment="1">
      <alignment horizontal="center"/>
    </xf>
    <xf numFmtId="0" fontId="13" fillId="9" borderId="7" xfId="0" applyFont="1" applyFill="1" applyBorder="1" applyAlignment="1">
      <alignment horizontal="center"/>
    </xf>
    <xf numFmtId="0" fontId="3" fillId="0" borderId="0" xfId="0" applyFont="1" applyAlignment="1">
      <alignment horizontal="left" vertical="center" wrapText="1"/>
    </xf>
    <xf numFmtId="2" fontId="26" fillId="0" borderId="0" xfId="0" applyNumberFormat="1" applyFont="1" applyFill="1" applyBorder="1" applyAlignment="1">
      <alignment horizontal="left" vertical="center" wrapText="1"/>
    </xf>
  </cellXfs>
  <cellStyles count="36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Normal" xfId="0" builtinId="0"/>
  </cellStyles>
  <dxfs count="3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4" Type="http://schemas.openxmlformats.org/officeDocument/2006/relationships/image" Target="../media/image5.png"/><Relationship Id="rId5" Type="http://schemas.openxmlformats.org/officeDocument/2006/relationships/image" Target="../media/image6.png"/><Relationship Id="rId6" Type="http://schemas.openxmlformats.org/officeDocument/2006/relationships/image" Target="../media/image7.png"/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190500</xdr:rowOff>
    </xdr:from>
    <xdr:to>
      <xdr:col>3</xdr:col>
      <xdr:colOff>352425</xdr:colOff>
      <xdr:row>34</xdr:row>
      <xdr:rowOff>0</xdr:rowOff>
    </xdr:to>
    <xdr:pic>
      <xdr:nvPicPr>
        <xdr:cNvPr id="2" name="image01.jp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0" cy="2857500"/>
        </a:xfrm>
        <a:prstGeom prst="rect">
          <a:avLst/>
        </a:prstGeom>
        <a:noFill/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19050</xdr:rowOff>
    </xdr:from>
    <xdr:to>
      <xdr:col>0</xdr:col>
      <xdr:colOff>1123950</xdr:colOff>
      <xdr:row>15</xdr:row>
      <xdr:rowOff>114300</xdr:rowOff>
    </xdr:to>
    <xdr:pic>
      <xdr:nvPicPr>
        <xdr:cNvPr id="2" name="image05.pn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123950" cy="47625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17</xdr:row>
      <xdr:rowOff>0</xdr:rowOff>
    </xdr:from>
    <xdr:to>
      <xdr:col>0</xdr:col>
      <xdr:colOff>1123950</xdr:colOff>
      <xdr:row>19</xdr:row>
      <xdr:rowOff>152400</xdr:rowOff>
    </xdr:to>
    <xdr:pic>
      <xdr:nvPicPr>
        <xdr:cNvPr id="3" name="image06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1123950" cy="53340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20</xdr:row>
      <xdr:rowOff>180975</xdr:rowOff>
    </xdr:from>
    <xdr:to>
      <xdr:col>0</xdr:col>
      <xdr:colOff>1114425</xdr:colOff>
      <xdr:row>23</xdr:row>
      <xdr:rowOff>161925</xdr:rowOff>
    </xdr:to>
    <xdr:pic>
      <xdr:nvPicPr>
        <xdr:cNvPr id="4" name="image04.png" title="Image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1114425" cy="55245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25</xdr:row>
      <xdr:rowOff>180975</xdr:rowOff>
    </xdr:from>
    <xdr:to>
      <xdr:col>1</xdr:col>
      <xdr:colOff>981075</xdr:colOff>
      <xdr:row>28</xdr:row>
      <xdr:rowOff>152400</xdr:rowOff>
    </xdr:to>
    <xdr:pic>
      <xdr:nvPicPr>
        <xdr:cNvPr id="5" name="image07.png" title="Image"/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2133600" cy="542925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28</xdr:row>
      <xdr:rowOff>180975</xdr:rowOff>
    </xdr:from>
    <xdr:to>
      <xdr:col>1</xdr:col>
      <xdr:colOff>57150</xdr:colOff>
      <xdr:row>30</xdr:row>
      <xdr:rowOff>152400</xdr:rowOff>
    </xdr:to>
    <xdr:pic>
      <xdr:nvPicPr>
        <xdr:cNvPr id="6" name="image08.png" title="Image"/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1209675" cy="352425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41</xdr:row>
      <xdr:rowOff>9525</xdr:rowOff>
    </xdr:from>
    <xdr:to>
      <xdr:col>7</xdr:col>
      <xdr:colOff>695325</xdr:colOff>
      <xdr:row>65</xdr:row>
      <xdr:rowOff>104775</xdr:rowOff>
    </xdr:to>
    <xdr:pic>
      <xdr:nvPicPr>
        <xdr:cNvPr id="7" name="image09.png" title="Image"/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10506075" cy="4667250"/>
        </a:xfrm>
        <a:prstGeom prst="rect">
          <a:avLst/>
        </a:prstGeom>
        <a:noFill/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ighter-planes.com/jetmach1.htm" TargetMode="External"/><Relationship Id="rId4" Type="http://schemas.openxmlformats.org/officeDocument/2006/relationships/hyperlink" Target="http://www.fighter-planes.com/jetmach1.htm" TargetMode="External"/><Relationship Id="rId1" Type="http://schemas.openxmlformats.org/officeDocument/2006/relationships/hyperlink" Target="http://www.fighter-planes.com/jetmach1.htm" TargetMode="External"/><Relationship Id="rId2" Type="http://schemas.openxmlformats.org/officeDocument/2006/relationships/hyperlink" Target="http://www.fighter-planes.com/jetmach1.ht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onlinelibrary.wiley.com/doi/10.1002/9781118568101.app1/pdf" TargetMode="External"/><Relationship Id="rId4" Type="http://schemas.openxmlformats.org/officeDocument/2006/relationships/drawing" Target="../drawings/drawing2.xml"/><Relationship Id="rId1" Type="http://schemas.openxmlformats.org/officeDocument/2006/relationships/hyperlink" Target="http://faculty.dwc.edu/sadraey/Chapter%203.%20Drag%20Force%20and%20its%20Coefficient.pdf" TargetMode="External"/><Relationship Id="rId2" Type="http://schemas.openxmlformats.org/officeDocument/2006/relationships/hyperlink" Target="http://adg.stanford.edu/aa241/drag/wettedare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5"/>
  <sheetViews>
    <sheetView zoomScale="150" zoomScaleNormal="150" zoomScalePageLayoutView="150" workbookViewId="0">
      <selection activeCell="B7" sqref="B7:F7"/>
    </sheetView>
  </sheetViews>
  <sheetFormatPr baseColWidth="10" defaultColWidth="15.1640625" defaultRowHeight="15" customHeight="1" x14ac:dyDescent="0.2"/>
  <cols>
    <col min="1" max="1" width="34.6640625" customWidth="1"/>
    <col min="3" max="3" width="6.6640625" customWidth="1"/>
    <col min="4" max="4" width="6.1640625" customWidth="1"/>
    <col min="5" max="5" width="8" customWidth="1"/>
    <col min="6" max="6" width="7.83203125" customWidth="1"/>
    <col min="7" max="7" width="8.33203125" customWidth="1"/>
  </cols>
  <sheetData>
    <row r="1" spans="1:8" x14ac:dyDescent="0.2">
      <c r="A1" s="20" t="s">
        <v>0</v>
      </c>
      <c r="B1" s="2"/>
      <c r="C1" s="2"/>
      <c r="D1" s="3"/>
      <c r="E1" s="3"/>
      <c r="F1" s="3"/>
      <c r="G1" s="3"/>
    </row>
    <row r="2" spans="1:8" x14ac:dyDescent="0.2">
      <c r="A2" s="64" t="s">
        <v>1</v>
      </c>
      <c r="B2" s="65"/>
      <c r="C2" s="65"/>
      <c r="D2" s="65"/>
      <c r="E2" s="65"/>
      <c r="F2" s="65"/>
      <c r="G2" s="3"/>
      <c r="H2" s="15"/>
    </row>
    <row r="3" spans="1:8" x14ac:dyDescent="0.2">
      <c r="A3" s="5" t="s">
        <v>3</v>
      </c>
      <c r="B3" s="66" t="s">
        <v>4</v>
      </c>
      <c r="C3" s="67"/>
      <c r="D3" s="67"/>
      <c r="E3" s="67"/>
      <c r="F3" s="67"/>
      <c r="G3" s="3"/>
    </row>
    <row r="4" spans="1:8" x14ac:dyDescent="0.2">
      <c r="A4" s="3"/>
      <c r="B4" s="66" t="s">
        <v>16</v>
      </c>
      <c r="C4" s="66"/>
      <c r="D4" s="66"/>
      <c r="E4" s="66"/>
      <c r="F4" s="66"/>
      <c r="G4" s="3"/>
    </row>
    <row r="5" spans="1:8" x14ac:dyDescent="0.2">
      <c r="A5" s="5" t="s">
        <v>22</v>
      </c>
      <c r="B5" s="66" t="s">
        <v>23</v>
      </c>
      <c r="C5" s="66"/>
      <c r="D5" s="66"/>
      <c r="E5" s="66"/>
      <c r="F5" s="66"/>
      <c r="G5" s="3"/>
    </row>
    <row r="6" spans="1:8" x14ac:dyDescent="0.2">
      <c r="A6" s="3"/>
      <c r="B6" s="66" t="s">
        <v>28</v>
      </c>
      <c r="C6" s="66"/>
      <c r="D6" s="66"/>
      <c r="E6" s="66"/>
      <c r="F6" s="66"/>
      <c r="G6" s="3"/>
    </row>
    <row r="7" spans="1:8" x14ac:dyDescent="0.2">
      <c r="A7" s="5" t="s">
        <v>40</v>
      </c>
      <c r="B7" s="69">
        <v>4500</v>
      </c>
      <c r="C7" s="69"/>
      <c r="D7" s="69"/>
      <c r="E7" s="69"/>
      <c r="F7" s="69"/>
      <c r="G7" s="3"/>
    </row>
    <row r="8" spans="1:8" x14ac:dyDescent="0.2">
      <c r="A8" s="5" t="s">
        <v>63</v>
      </c>
      <c r="B8" s="66" t="s">
        <v>64</v>
      </c>
      <c r="C8" s="66"/>
      <c r="D8" s="66"/>
      <c r="E8" s="66"/>
      <c r="F8" s="66"/>
      <c r="G8" s="3"/>
    </row>
    <row r="9" spans="1:8" x14ac:dyDescent="0.2">
      <c r="A9" s="5" t="s">
        <v>72</v>
      </c>
      <c r="B9" s="66" t="s">
        <v>74</v>
      </c>
      <c r="C9" s="66"/>
      <c r="D9" s="66"/>
      <c r="E9" s="66"/>
      <c r="F9" s="66"/>
      <c r="G9" s="3"/>
    </row>
    <row r="10" spans="1:8" x14ac:dyDescent="0.2">
      <c r="A10" s="5" t="s">
        <v>95</v>
      </c>
      <c r="B10" s="66">
        <v>1.9</v>
      </c>
      <c r="C10" s="66"/>
      <c r="D10" s="66"/>
      <c r="E10" s="66"/>
      <c r="F10" s="66"/>
      <c r="G10" s="3"/>
    </row>
    <row r="11" spans="1:8" x14ac:dyDescent="0.2">
      <c r="A11" s="5" t="s">
        <v>102</v>
      </c>
      <c r="B11" s="66" t="s">
        <v>173</v>
      </c>
      <c r="C11" s="66"/>
      <c r="D11" s="66"/>
      <c r="E11" s="66"/>
      <c r="F11" s="66"/>
      <c r="G11" s="3"/>
    </row>
    <row r="12" spans="1:8" x14ac:dyDescent="0.2">
      <c r="A12" s="5" t="s">
        <v>107</v>
      </c>
      <c r="B12" s="69" t="s">
        <v>174</v>
      </c>
      <c r="C12" s="69"/>
      <c r="D12" s="69"/>
      <c r="E12" s="69"/>
      <c r="F12" s="69"/>
      <c r="G12" s="3"/>
    </row>
    <row r="13" spans="1:8" x14ac:dyDescent="0.2">
      <c r="A13" s="70" t="s">
        <v>111</v>
      </c>
      <c r="B13" s="69" t="s">
        <v>175</v>
      </c>
      <c r="C13" s="69"/>
      <c r="D13" s="69"/>
      <c r="E13" s="69"/>
      <c r="F13" s="69"/>
      <c r="G13" s="3"/>
    </row>
    <row r="14" spans="1:8" x14ac:dyDescent="0.2">
      <c r="A14" s="71"/>
      <c r="B14" s="69"/>
      <c r="C14" s="69"/>
      <c r="D14" s="69"/>
      <c r="E14" s="69"/>
      <c r="F14" s="69"/>
      <c r="G14" s="3"/>
    </row>
    <row r="15" spans="1:8" x14ac:dyDescent="0.2">
      <c r="A15" s="70" t="s">
        <v>116</v>
      </c>
      <c r="B15" s="3"/>
      <c r="C15" s="3"/>
      <c r="D15" s="3"/>
      <c r="E15" s="3"/>
      <c r="F15" s="3"/>
      <c r="G15" s="3"/>
    </row>
    <row r="16" spans="1:8" x14ac:dyDescent="0.2">
      <c r="A16" s="71"/>
      <c r="B16" s="3"/>
      <c r="C16" s="3"/>
      <c r="D16" s="3"/>
      <c r="E16" s="3"/>
      <c r="F16" s="3"/>
      <c r="G16" s="3"/>
    </row>
    <row r="17" spans="1:8" x14ac:dyDescent="0.2">
      <c r="A17" s="3"/>
      <c r="B17" s="3"/>
      <c r="C17" s="3"/>
      <c r="D17" s="3"/>
      <c r="E17" s="3"/>
      <c r="F17" s="3"/>
      <c r="G17" s="3"/>
      <c r="H17" s="9"/>
    </row>
    <row r="18" spans="1:8" x14ac:dyDescent="0.2">
      <c r="A18" s="68" t="s">
        <v>120</v>
      </c>
      <c r="B18" s="3"/>
      <c r="C18" s="3"/>
      <c r="D18" s="3"/>
      <c r="E18" s="8"/>
      <c r="F18" s="3"/>
      <c r="G18" s="3"/>
    </row>
    <row r="19" spans="1:8" x14ac:dyDescent="0.2">
      <c r="A19" s="65"/>
      <c r="B19" s="3"/>
      <c r="C19" s="3"/>
      <c r="D19" s="3"/>
      <c r="E19" s="3"/>
      <c r="F19" s="3"/>
      <c r="G19" s="3"/>
    </row>
    <row r="20" spans="1:8" x14ac:dyDescent="0.2">
      <c r="B20" s="3"/>
      <c r="C20" s="3"/>
      <c r="D20" s="3"/>
      <c r="E20" s="3"/>
      <c r="F20" s="3"/>
      <c r="G20" s="3"/>
    </row>
    <row r="21" spans="1:8" x14ac:dyDescent="0.2">
      <c r="A21" s="16"/>
      <c r="B21" s="16"/>
      <c r="C21" s="16"/>
      <c r="D21" s="16"/>
      <c r="F21" s="4"/>
    </row>
    <row r="22" spans="1:8" x14ac:dyDescent="0.2">
      <c r="A22" s="16"/>
      <c r="B22" s="16"/>
      <c r="C22" s="16"/>
      <c r="D22" s="16"/>
      <c r="F22" s="4"/>
    </row>
    <row r="23" spans="1:8" x14ac:dyDescent="0.2">
      <c r="A23" s="16"/>
      <c r="B23" s="16"/>
      <c r="C23" s="16"/>
      <c r="D23" s="16"/>
      <c r="F23" s="4"/>
    </row>
    <row r="24" spans="1:8" x14ac:dyDescent="0.2">
      <c r="A24" s="16"/>
      <c r="B24" s="16"/>
      <c r="C24" s="16"/>
      <c r="D24" s="16"/>
      <c r="F24" s="4"/>
    </row>
    <row r="25" spans="1:8" x14ac:dyDescent="0.2">
      <c r="A25" s="16"/>
      <c r="B25" s="16"/>
      <c r="C25" s="16"/>
      <c r="D25" s="16"/>
      <c r="F25" s="4"/>
    </row>
    <row r="26" spans="1:8" x14ac:dyDescent="0.2">
      <c r="A26" s="16"/>
      <c r="B26" s="16"/>
      <c r="C26" s="16"/>
      <c r="D26" s="16"/>
      <c r="F26" s="4"/>
    </row>
    <row r="27" spans="1:8" x14ac:dyDescent="0.2">
      <c r="A27" s="16"/>
      <c r="B27" s="16"/>
      <c r="C27" s="16"/>
      <c r="D27" s="16"/>
      <c r="F27" s="4"/>
    </row>
    <row r="28" spans="1:8" x14ac:dyDescent="0.2">
      <c r="A28" s="16"/>
      <c r="B28" s="16"/>
      <c r="C28" s="16"/>
      <c r="D28" s="16"/>
      <c r="F28" s="4"/>
    </row>
    <row r="29" spans="1:8" x14ac:dyDescent="0.2">
      <c r="A29" s="16"/>
      <c r="B29" s="16"/>
      <c r="C29" s="16"/>
      <c r="D29" s="16"/>
      <c r="F29" s="4"/>
    </row>
    <row r="30" spans="1:8" x14ac:dyDescent="0.2">
      <c r="A30" s="16"/>
      <c r="B30" s="16"/>
      <c r="C30" s="16"/>
      <c r="D30" s="16"/>
      <c r="F30" s="4"/>
    </row>
    <row r="31" spans="1:8" x14ac:dyDescent="0.2">
      <c r="A31" s="16"/>
      <c r="B31" s="16"/>
      <c r="C31" s="16"/>
      <c r="D31" s="16"/>
      <c r="F31" s="4"/>
    </row>
    <row r="32" spans="1:8" x14ac:dyDescent="0.2">
      <c r="A32" s="16"/>
      <c r="B32" s="16"/>
      <c r="C32" s="16"/>
      <c r="D32" s="16"/>
      <c r="F32" s="4"/>
    </row>
    <row r="33" spans="1:6" x14ac:dyDescent="0.2">
      <c r="A33" s="16"/>
      <c r="B33" s="16"/>
      <c r="C33" s="16"/>
      <c r="D33" s="16"/>
      <c r="F33" s="4"/>
    </row>
    <row r="34" spans="1:6" x14ac:dyDescent="0.2">
      <c r="A34" s="16"/>
      <c r="B34" s="16"/>
      <c r="C34" s="16"/>
      <c r="D34" s="16"/>
      <c r="F34" s="4"/>
    </row>
    <row r="35" spans="1:6" x14ac:dyDescent="0.2">
      <c r="A35" s="16"/>
      <c r="B35" s="16"/>
      <c r="C35" s="16"/>
      <c r="D35" s="16"/>
      <c r="F35" s="4"/>
    </row>
    <row r="36" spans="1:6" x14ac:dyDescent="0.2">
      <c r="A36" s="16"/>
      <c r="B36" s="16"/>
      <c r="C36" s="16"/>
      <c r="D36" s="16"/>
      <c r="F36" s="4"/>
    </row>
    <row r="37" spans="1:6" x14ac:dyDescent="0.2">
      <c r="A37" s="4"/>
      <c r="B37" s="4"/>
      <c r="F37" s="4"/>
    </row>
    <row r="38" spans="1:6" x14ac:dyDescent="0.2">
      <c r="A38" s="4"/>
      <c r="B38" s="4"/>
      <c r="F38" s="4"/>
    </row>
    <row r="39" spans="1:6" x14ac:dyDescent="0.2">
      <c r="A39" s="4"/>
      <c r="B39" s="4"/>
      <c r="F39" s="4"/>
    </row>
    <row r="40" spans="1:6" x14ac:dyDescent="0.2">
      <c r="A40" s="4"/>
      <c r="B40" s="4"/>
      <c r="F40" s="4"/>
    </row>
    <row r="41" spans="1:6" x14ac:dyDescent="0.2">
      <c r="A41" s="4"/>
      <c r="B41" s="4"/>
      <c r="F41" s="4"/>
    </row>
    <row r="42" spans="1:6" x14ac:dyDescent="0.2">
      <c r="A42" s="4"/>
      <c r="B42" s="4"/>
      <c r="F42" s="4"/>
    </row>
    <row r="43" spans="1:6" x14ac:dyDescent="0.2">
      <c r="A43" s="4"/>
      <c r="B43" s="4"/>
      <c r="F43" s="4"/>
    </row>
    <row r="44" spans="1:6" x14ac:dyDescent="0.2">
      <c r="A44" s="4"/>
      <c r="B44" s="4"/>
      <c r="F44" s="4"/>
    </row>
    <row r="45" spans="1:6" x14ac:dyDescent="0.2">
      <c r="A45" s="4"/>
      <c r="B45" s="4"/>
      <c r="F45" s="4"/>
    </row>
    <row r="46" spans="1:6" x14ac:dyDescent="0.2">
      <c r="A46" s="4"/>
      <c r="B46" s="4"/>
      <c r="F46" s="4"/>
    </row>
    <row r="47" spans="1:6" x14ac:dyDescent="0.2">
      <c r="A47" s="4"/>
      <c r="B47" s="4"/>
      <c r="F47" s="4"/>
    </row>
    <row r="48" spans="1:6" x14ac:dyDescent="0.2">
      <c r="A48" s="4"/>
      <c r="B48" s="4"/>
      <c r="F48" s="4"/>
    </row>
    <row r="49" spans="1:6" x14ac:dyDescent="0.2">
      <c r="A49" s="4"/>
      <c r="B49" s="4"/>
      <c r="F49" s="4"/>
    </row>
    <row r="50" spans="1:6" x14ac:dyDescent="0.2">
      <c r="A50" s="4"/>
      <c r="B50" s="4"/>
      <c r="F50" s="4"/>
    </row>
    <row r="51" spans="1:6" x14ac:dyDescent="0.2">
      <c r="A51" s="4"/>
      <c r="B51" s="4"/>
      <c r="F51" s="4"/>
    </row>
    <row r="52" spans="1:6" x14ac:dyDescent="0.2">
      <c r="A52" s="4"/>
      <c r="B52" s="4"/>
      <c r="F52" s="4"/>
    </row>
    <row r="53" spans="1:6" x14ac:dyDescent="0.2">
      <c r="A53" s="4"/>
      <c r="B53" s="4"/>
      <c r="F53" s="4"/>
    </row>
    <row r="54" spans="1:6" x14ac:dyDescent="0.2">
      <c r="A54" s="4"/>
      <c r="B54" s="4"/>
      <c r="F54" s="4"/>
    </row>
    <row r="55" spans="1:6" x14ac:dyDescent="0.2">
      <c r="A55" s="4"/>
      <c r="B55" s="4"/>
      <c r="F55" s="4"/>
    </row>
  </sheetData>
  <mergeCells count="15">
    <mergeCell ref="A2:F2"/>
    <mergeCell ref="B3:F3"/>
    <mergeCell ref="B4:F4"/>
    <mergeCell ref="A18:A19"/>
    <mergeCell ref="B6:F6"/>
    <mergeCell ref="B7:F7"/>
    <mergeCell ref="B8:F8"/>
    <mergeCell ref="B9:F9"/>
    <mergeCell ref="B10:F10"/>
    <mergeCell ref="B11:F11"/>
    <mergeCell ref="B12:F12"/>
    <mergeCell ref="B13:F14"/>
    <mergeCell ref="A13:A14"/>
    <mergeCell ref="A15:A16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8"/>
  <sheetViews>
    <sheetView topLeftCell="A14" workbookViewId="0">
      <selection activeCell="C5" sqref="C5"/>
    </sheetView>
  </sheetViews>
  <sheetFormatPr baseColWidth="10" defaultColWidth="15.1640625" defaultRowHeight="18" customHeight="1" x14ac:dyDescent="0.2"/>
  <cols>
    <col min="1" max="1" width="51" style="18" customWidth="1"/>
    <col min="2" max="2" width="19.33203125" style="18" customWidth="1"/>
    <col min="3" max="3" width="15.1640625" style="18"/>
    <col min="4" max="4" width="2" style="47" customWidth="1"/>
    <col min="5" max="5" width="15.1640625" style="18"/>
    <col min="6" max="6" width="34.1640625" style="18" customWidth="1"/>
    <col min="7" max="7" width="53.83203125" style="42" customWidth="1"/>
    <col min="8" max="16384" width="15.1640625" style="18"/>
  </cols>
  <sheetData>
    <row r="1" spans="1:12" ht="22" customHeight="1" x14ac:dyDescent="0.25">
      <c r="A1" s="72" t="s">
        <v>2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4"/>
    </row>
    <row r="2" spans="1:12" ht="18" customHeight="1" x14ac:dyDescent="0.2">
      <c r="A2" s="32" t="s">
        <v>7</v>
      </c>
      <c r="B2" s="32" t="s">
        <v>137</v>
      </c>
      <c r="C2" s="33" t="s">
        <v>11</v>
      </c>
      <c r="D2" s="52" t="s">
        <v>166</v>
      </c>
      <c r="E2" s="33" t="s">
        <v>12</v>
      </c>
      <c r="F2" s="33" t="s">
        <v>13</v>
      </c>
      <c r="G2" s="40" t="s">
        <v>14</v>
      </c>
      <c r="H2" s="78" t="s">
        <v>15</v>
      </c>
      <c r="I2" s="78"/>
      <c r="J2" s="78"/>
      <c r="K2" s="78"/>
      <c r="L2" s="78"/>
    </row>
    <row r="3" spans="1:12" ht="18" customHeight="1" x14ac:dyDescent="0.2">
      <c r="A3" s="21" t="s">
        <v>17</v>
      </c>
      <c r="B3" s="21" t="s">
        <v>138</v>
      </c>
      <c r="C3" s="22">
        <v>110</v>
      </c>
      <c r="D3" s="28" t="s">
        <v>166</v>
      </c>
      <c r="E3" s="21" t="s">
        <v>186</v>
      </c>
      <c r="F3" s="21" t="s">
        <v>18</v>
      </c>
      <c r="G3" s="38" t="s">
        <v>178</v>
      </c>
      <c r="H3" s="77" t="s">
        <v>19</v>
      </c>
      <c r="I3" s="77"/>
      <c r="J3" s="77"/>
      <c r="K3" s="77"/>
      <c r="L3" s="77"/>
    </row>
    <row r="4" spans="1:12" ht="18" customHeight="1" x14ac:dyDescent="0.2">
      <c r="A4" s="24" t="s">
        <v>20</v>
      </c>
      <c r="B4" s="24" t="s">
        <v>139</v>
      </c>
      <c r="C4" s="22">
        <v>70000</v>
      </c>
      <c r="D4" s="28" t="s">
        <v>166</v>
      </c>
      <c r="E4" s="21" t="s">
        <v>21</v>
      </c>
      <c r="F4" s="21" t="s">
        <v>18</v>
      </c>
      <c r="G4" s="38" t="s">
        <v>178</v>
      </c>
      <c r="H4" s="77" t="s">
        <v>19</v>
      </c>
      <c r="I4" s="77"/>
      <c r="J4" s="77"/>
      <c r="K4" s="77"/>
      <c r="L4" s="77"/>
    </row>
    <row r="5" spans="1:12" ht="18" customHeight="1" x14ac:dyDescent="0.2">
      <c r="A5" s="21" t="s">
        <v>24</v>
      </c>
      <c r="B5" s="21" t="s">
        <v>140</v>
      </c>
      <c r="C5" s="22">
        <f>(1/C3)*C4</f>
        <v>636.36363636363637</v>
      </c>
      <c r="D5" s="28" t="s">
        <v>166</v>
      </c>
      <c r="E5" s="21" t="s">
        <v>187</v>
      </c>
      <c r="F5" s="21" t="s">
        <v>25</v>
      </c>
      <c r="G5" s="38" t="s">
        <v>26</v>
      </c>
      <c r="H5" s="77" t="s">
        <v>27</v>
      </c>
      <c r="I5" s="77"/>
      <c r="J5" s="77"/>
      <c r="K5" s="77"/>
      <c r="L5" s="77"/>
    </row>
    <row r="6" spans="1:12" ht="18" customHeight="1" x14ac:dyDescent="0.2">
      <c r="A6" s="21" t="s">
        <v>29</v>
      </c>
      <c r="B6" s="21" t="s">
        <v>141</v>
      </c>
      <c r="C6" s="22">
        <v>7.2015000000000002</v>
      </c>
      <c r="D6" s="28" t="s">
        <v>166</v>
      </c>
      <c r="E6" s="21" t="s">
        <v>145</v>
      </c>
      <c r="F6" s="21" t="s">
        <v>10</v>
      </c>
      <c r="G6" s="38" t="s">
        <v>188</v>
      </c>
      <c r="H6" s="76" t="s">
        <v>35</v>
      </c>
      <c r="I6" s="76"/>
      <c r="J6" s="76"/>
      <c r="K6" s="76"/>
      <c r="L6" s="76"/>
    </row>
    <row r="7" spans="1:12" ht="18" customHeight="1" x14ac:dyDescent="0.2">
      <c r="A7" s="21" t="s">
        <v>36</v>
      </c>
      <c r="B7" s="21" t="s">
        <v>519</v>
      </c>
      <c r="C7" s="22">
        <f>SQRT(C6*C5)/2</f>
        <v>33.848089780934195</v>
      </c>
      <c r="D7" s="28" t="s">
        <v>166</v>
      </c>
      <c r="E7" s="21" t="s">
        <v>145</v>
      </c>
      <c r="F7" s="21" t="s">
        <v>25</v>
      </c>
      <c r="G7" s="38" t="s">
        <v>520</v>
      </c>
      <c r="H7" s="76" t="s">
        <v>35</v>
      </c>
      <c r="I7" s="76"/>
      <c r="J7" s="76"/>
      <c r="K7" s="76"/>
      <c r="L7" s="76"/>
    </row>
    <row r="8" spans="1:12" ht="18" customHeight="1" x14ac:dyDescent="0.2">
      <c r="A8" s="21" t="s">
        <v>189</v>
      </c>
      <c r="B8" s="21" t="s">
        <v>143</v>
      </c>
      <c r="C8" s="25">
        <f>SQRT(C6*C5/25)</f>
        <v>13.539235912373679</v>
      </c>
      <c r="D8" s="28" t="s">
        <v>166</v>
      </c>
      <c r="E8" s="21" t="s">
        <v>33</v>
      </c>
      <c r="F8" s="21" t="s">
        <v>25</v>
      </c>
      <c r="G8" s="37" t="s">
        <v>48</v>
      </c>
      <c r="H8" s="76" t="s">
        <v>35</v>
      </c>
      <c r="I8" s="76"/>
      <c r="J8" s="76"/>
      <c r="K8" s="76"/>
      <c r="L8" s="76"/>
    </row>
    <row r="9" spans="1:12" ht="18" customHeight="1" x14ac:dyDescent="0.2">
      <c r="A9" s="21" t="s">
        <v>54</v>
      </c>
      <c r="B9" s="21" t="s">
        <v>144</v>
      </c>
      <c r="C9" s="22">
        <f>C34/C33*C8</f>
        <v>1.7883916093210008</v>
      </c>
      <c r="D9" s="28" t="s">
        <v>166</v>
      </c>
      <c r="E9" s="21" t="s">
        <v>33</v>
      </c>
      <c r="F9" s="21" t="s">
        <v>56</v>
      </c>
      <c r="G9" s="37" t="s">
        <v>57</v>
      </c>
      <c r="H9" s="76" t="s">
        <v>58</v>
      </c>
      <c r="I9" s="76"/>
      <c r="J9" s="76"/>
      <c r="K9" s="76"/>
      <c r="L9" s="76"/>
    </row>
    <row r="10" spans="1:12" ht="18" customHeight="1" x14ac:dyDescent="0.2">
      <c r="A10" s="21" t="s">
        <v>65</v>
      </c>
      <c r="B10" s="21" t="s">
        <v>142</v>
      </c>
      <c r="C10" s="22">
        <f t="shared" ref="C10:C11" si="0">0.73917*C8</f>
        <v>10.007797009349252</v>
      </c>
      <c r="D10" s="28" t="s">
        <v>166</v>
      </c>
      <c r="E10" s="21" t="s">
        <v>33</v>
      </c>
      <c r="F10" s="21" t="s">
        <v>25</v>
      </c>
      <c r="G10" s="38" t="s">
        <v>190</v>
      </c>
      <c r="H10" s="76" t="s">
        <v>35</v>
      </c>
      <c r="I10" s="76"/>
      <c r="J10" s="76"/>
      <c r="K10" s="76"/>
      <c r="L10" s="76"/>
    </row>
    <row r="11" spans="1:12" ht="18" customHeight="1" x14ac:dyDescent="0.2">
      <c r="A11" s="21" t="s">
        <v>71</v>
      </c>
      <c r="B11" s="21" t="s">
        <v>147</v>
      </c>
      <c r="C11" s="22">
        <f t="shared" si="0"/>
        <v>1.3219254258618043</v>
      </c>
      <c r="D11" s="28" t="s">
        <v>166</v>
      </c>
      <c r="E11" s="21" t="s">
        <v>145</v>
      </c>
      <c r="F11" s="21" t="s">
        <v>25</v>
      </c>
      <c r="G11" s="38" t="s">
        <v>191</v>
      </c>
      <c r="H11" s="76" t="s">
        <v>156</v>
      </c>
      <c r="I11" s="76"/>
      <c r="J11" s="76"/>
      <c r="K11" s="76"/>
      <c r="L11" s="76"/>
    </row>
    <row r="12" spans="1:12" ht="18" customHeight="1" x14ac:dyDescent="0.2">
      <c r="A12" s="21" t="s">
        <v>77</v>
      </c>
      <c r="B12" s="21" t="s">
        <v>146</v>
      </c>
      <c r="C12" s="22">
        <f>0.3886*C8</f>
        <v>5.2613470755484117</v>
      </c>
      <c r="D12" s="28" t="s">
        <v>166</v>
      </c>
      <c r="E12" s="21" t="s">
        <v>33</v>
      </c>
      <c r="F12" s="21" t="s">
        <v>25</v>
      </c>
      <c r="G12" s="38" t="s">
        <v>192</v>
      </c>
      <c r="H12" s="77" t="s">
        <v>35</v>
      </c>
      <c r="I12" s="77"/>
      <c r="J12" s="77"/>
      <c r="K12" s="77"/>
      <c r="L12" s="77"/>
    </row>
    <row r="13" spans="1:12" ht="18" customHeight="1" x14ac:dyDescent="0.2">
      <c r="A13" s="21" t="s">
        <v>193</v>
      </c>
      <c r="B13" s="21" t="s">
        <v>148</v>
      </c>
      <c r="C13" s="22">
        <v>0.66749999999999998</v>
      </c>
      <c r="D13" s="28" t="s">
        <v>166</v>
      </c>
      <c r="E13" s="21" t="s">
        <v>82</v>
      </c>
      <c r="F13" s="21" t="s">
        <v>10</v>
      </c>
      <c r="G13" s="38" t="s">
        <v>178</v>
      </c>
      <c r="H13" s="77" t="s">
        <v>87</v>
      </c>
      <c r="I13" s="77"/>
      <c r="J13" s="77"/>
      <c r="K13" s="77"/>
      <c r="L13" s="77"/>
    </row>
    <row r="14" spans="1:12" ht="18" customHeight="1" x14ac:dyDescent="0.2">
      <c r="A14" s="21" t="s">
        <v>99</v>
      </c>
      <c r="B14" s="21" t="s">
        <v>149</v>
      </c>
      <c r="C14" s="22">
        <v>4.2889999999999997</v>
      </c>
      <c r="D14" s="28" t="s">
        <v>166</v>
      </c>
      <c r="E14" s="21" t="s">
        <v>66</v>
      </c>
      <c r="F14" s="21" t="s">
        <v>10</v>
      </c>
      <c r="G14" s="38" t="s">
        <v>178</v>
      </c>
      <c r="H14" s="77" t="s">
        <v>100</v>
      </c>
      <c r="I14" s="77"/>
      <c r="J14" s="77"/>
      <c r="K14" s="77"/>
      <c r="L14" s="77"/>
    </row>
    <row r="15" spans="1:12" ht="18" customHeight="1" x14ac:dyDescent="0.2">
      <c r="A15" s="21" t="s">
        <v>101</v>
      </c>
      <c r="B15" s="21" t="s">
        <v>150</v>
      </c>
      <c r="C15" s="22">
        <f>573.3502*1.68</f>
        <v>963.2283359999999</v>
      </c>
      <c r="D15" s="28" t="s">
        <v>166</v>
      </c>
      <c r="E15" s="21" t="s">
        <v>548</v>
      </c>
      <c r="F15" s="21" t="s">
        <v>10</v>
      </c>
      <c r="G15" s="38" t="s">
        <v>178</v>
      </c>
      <c r="H15" s="79" t="str">
        <f>HYPERLINK("http://www.fighter-planes.com/jetmach1.htm","http://www.fighter-planes.com/jetmach1.htm")</f>
        <v>http://www.fighter-planes.com/jetmach1.htm</v>
      </c>
      <c r="I15" s="79"/>
      <c r="J15" s="79"/>
      <c r="K15" s="79"/>
      <c r="L15" s="79"/>
    </row>
    <row r="16" spans="1:12" ht="18" customHeight="1" x14ac:dyDescent="0.2">
      <c r="A16" s="21" t="s">
        <v>103</v>
      </c>
      <c r="B16" s="21" t="s">
        <v>151</v>
      </c>
      <c r="C16" s="22">
        <f>1.6*C15</f>
        <v>1541.1653375999999</v>
      </c>
      <c r="D16" s="28" t="s">
        <v>166</v>
      </c>
      <c r="E16" s="21" t="s">
        <v>548</v>
      </c>
      <c r="F16" s="21" t="s">
        <v>25</v>
      </c>
      <c r="G16" s="38" t="s">
        <v>104</v>
      </c>
      <c r="H16" s="77" t="s">
        <v>27</v>
      </c>
      <c r="I16" s="77"/>
      <c r="J16" s="77"/>
      <c r="K16" s="77"/>
      <c r="L16" s="77"/>
    </row>
    <row r="17" spans="1:12" ht="18" customHeight="1" x14ac:dyDescent="0.2">
      <c r="A17" s="27" t="s">
        <v>105</v>
      </c>
      <c r="B17" s="27" t="s">
        <v>152</v>
      </c>
      <c r="C17" s="25">
        <f>1.8*661.47</f>
        <v>1190.6460000000002</v>
      </c>
      <c r="D17" s="28" t="s">
        <v>166</v>
      </c>
      <c r="E17" s="27" t="s">
        <v>548</v>
      </c>
      <c r="F17" s="27" t="s">
        <v>10</v>
      </c>
      <c r="G17" s="41" t="s">
        <v>178</v>
      </c>
      <c r="H17" s="75" t="s">
        <v>106</v>
      </c>
      <c r="I17" s="75"/>
      <c r="J17" s="75"/>
      <c r="K17" s="75"/>
      <c r="L17" s="75"/>
    </row>
    <row r="18" spans="1:12" ht="18" customHeight="1" x14ac:dyDescent="0.2">
      <c r="A18" s="27" t="s">
        <v>108</v>
      </c>
      <c r="B18" s="27" t="s">
        <v>153</v>
      </c>
      <c r="C18" s="25">
        <v>216.65</v>
      </c>
      <c r="D18" s="28" t="s">
        <v>166</v>
      </c>
      <c r="E18" s="27" t="s">
        <v>109</v>
      </c>
      <c r="F18" s="27" t="s">
        <v>10</v>
      </c>
      <c r="G18" s="41" t="s">
        <v>178</v>
      </c>
      <c r="H18" s="75" t="s">
        <v>106</v>
      </c>
      <c r="I18" s="75"/>
      <c r="J18" s="75"/>
      <c r="K18" s="75"/>
      <c r="L18" s="75"/>
    </row>
    <row r="19" spans="1:12" ht="18" customHeight="1" x14ac:dyDescent="0.2">
      <c r="A19" s="27" t="s">
        <v>110</v>
      </c>
      <c r="B19" s="27" t="s">
        <v>154</v>
      </c>
      <c r="C19" s="25">
        <v>288.14999999999998</v>
      </c>
      <c r="D19" s="28" t="s">
        <v>166</v>
      </c>
      <c r="E19" s="27" t="s">
        <v>109</v>
      </c>
      <c r="F19" s="27" t="s">
        <v>10</v>
      </c>
      <c r="G19" s="41" t="s">
        <v>178</v>
      </c>
      <c r="H19" s="75" t="s">
        <v>106</v>
      </c>
      <c r="I19" s="75"/>
      <c r="J19" s="75"/>
      <c r="K19" s="75"/>
      <c r="L19" s="75"/>
    </row>
    <row r="20" spans="1:12" ht="18" customHeight="1" x14ac:dyDescent="0.2">
      <c r="A20" s="36" t="s">
        <v>412</v>
      </c>
      <c r="B20" s="36" t="s">
        <v>413</v>
      </c>
      <c r="C20" s="44">
        <v>4.6200000000000001E-4</v>
      </c>
      <c r="D20" s="28" t="s">
        <v>166</v>
      </c>
      <c r="E20" s="36" t="s">
        <v>414</v>
      </c>
      <c r="F20" s="36" t="s">
        <v>415</v>
      </c>
      <c r="G20" s="41" t="s">
        <v>178</v>
      </c>
      <c r="H20" s="75"/>
      <c r="I20" s="75"/>
      <c r="J20" s="75"/>
      <c r="K20" s="75"/>
      <c r="L20" s="75"/>
    </row>
    <row r="21" spans="1:12" ht="18" customHeight="1" x14ac:dyDescent="0.2">
      <c r="A21" s="27" t="s">
        <v>234</v>
      </c>
      <c r="B21" s="27" t="s">
        <v>235</v>
      </c>
      <c r="C21" s="25">
        <v>2</v>
      </c>
      <c r="D21" s="28" t="s">
        <v>166</v>
      </c>
      <c r="E21" s="27" t="s">
        <v>145</v>
      </c>
      <c r="F21" s="27" t="s">
        <v>18</v>
      </c>
      <c r="G21" s="41" t="s">
        <v>178</v>
      </c>
      <c r="H21" s="82" t="s">
        <v>236</v>
      </c>
      <c r="I21" s="83"/>
      <c r="J21" s="83"/>
      <c r="K21" s="83"/>
      <c r="L21" s="83"/>
    </row>
    <row r="22" spans="1:12" ht="18" customHeight="1" x14ac:dyDescent="0.2">
      <c r="A22" s="27" t="s">
        <v>292</v>
      </c>
      <c r="B22" s="27" t="s">
        <v>293</v>
      </c>
      <c r="C22" s="25">
        <v>2445</v>
      </c>
      <c r="D22" s="28" t="s">
        <v>166</v>
      </c>
      <c r="E22" s="27" t="s">
        <v>264</v>
      </c>
      <c r="F22" s="27" t="s">
        <v>10</v>
      </c>
      <c r="G22" s="41" t="s">
        <v>178</v>
      </c>
      <c r="H22" s="82" t="s">
        <v>294</v>
      </c>
      <c r="I22" s="82"/>
      <c r="J22" s="82"/>
      <c r="K22" s="82"/>
      <c r="L22" s="82"/>
    </row>
    <row r="23" spans="1:12" ht="18" customHeight="1" x14ac:dyDescent="0.2">
      <c r="A23" s="27" t="s">
        <v>295</v>
      </c>
      <c r="B23" s="27" t="s">
        <v>164</v>
      </c>
      <c r="C23" s="25">
        <f>C22*C21</f>
        <v>4890</v>
      </c>
      <c r="D23" s="28" t="s">
        <v>166</v>
      </c>
      <c r="E23" s="27" t="s">
        <v>264</v>
      </c>
      <c r="F23" s="27" t="s">
        <v>10</v>
      </c>
      <c r="G23" s="41" t="s">
        <v>178</v>
      </c>
      <c r="H23" s="82" t="s">
        <v>294</v>
      </c>
      <c r="I23" s="82"/>
      <c r="J23" s="82"/>
      <c r="K23" s="82"/>
      <c r="L23" s="82"/>
    </row>
    <row r="24" spans="1:12" s="19" customFormat="1" ht="40" customHeight="1" x14ac:dyDescent="0.2">
      <c r="A24" s="26" t="s">
        <v>113</v>
      </c>
      <c r="B24" s="26" t="s">
        <v>155</v>
      </c>
      <c r="C24" s="28">
        <f>C4-C4/EXP(('Design Constraints'!B7/C17)/((1.6*C14)/(C13/SQRT(C18/C19))))</f>
        <v>24188.951083688095</v>
      </c>
      <c r="D24" s="28" t="s">
        <v>166</v>
      </c>
      <c r="E24" s="29" t="s">
        <v>21</v>
      </c>
      <c r="F24" s="29" t="s">
        <v>25</v>
      </c>
      <c r="G24" s="37" t="s">
        <v>114</v>
      </c>
      <c r="H24" s="76" t="s">
        <v>112</v>
      </c>
      <c r="I24" s="76"/>
      <c r="J24" s="76"/>
      <c r="K24" s="76"/>
      <c r="L24" s="76"/>
    </row>
    <row r="25" spans="1:12" ht="22" customHeight="1" x14ac:dyDescent="0.25">
      <c r="A25" s="80" t="s">
        <v>115</v>
      </c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</row>
    <row r="26" spans="1:12" ht="18" customHeight="1" x14ac:dyDescent="0.2">
      <c r="A26" s="32" t="s">
        <v>7</v>
      </c>
      <c r="B26" s="32" t="s">
        <v>137</v>
      </c>
      <c r="C26" s="33" t="s">
        <v>11</v>
      </c>
      <c r="D26" s="52" t="s">
        <v>166</v>
      </c>
      <c r="E26" s="33" t="s">
        <v>12</v>
      </c>
      <c r="F26" s="33" t="s">
        <v>13</v>
      </c>
      <c r="G26" s="40" t="s">
        <v>14</v>
      </c>
      <c r="H26" s="78" t="s">
        <v>15</v>
      </c>
      <c r="I26" s="78"/>
      <c r="J26" s="78"/>
      <c r="K26" s="78"/>
      <c r="L26" s="78"/>
    </row>
    <row r="27" spans="1:12" ht="18" customHeight="1" x14ac:dyDescent="0.2">
      <c r="A27" s="21" t="s">
        <v>182</v>
      </c>
      <c r="B27" s="21" t="s">
        <v>155</v>
      </c>
      <c r="C27" s="31">
        <f>C24</f>
        <v>24188.951083688095</v>
      </c>
      <c r="D27" s="53" t="s">
        <v>166</v>
      </c>
      <c r="E27" s="21" t="s">
        <v>21</v>
      </c>
      <c r="F27" s="21" t="s">
        <v>117</v>
      </c>
      <c r="G27" s="37" t="s">
        <v>178</v>
      </c>
      <c r="H27" s="77" t="s">
        <v>178</v>
      </c>
      <c r="I27" s="77"/>
      <c r="J27" s="77"/>
      <c r="K27" s="77"/>
      <c r="L27" s="77"/>
    </row>
    <row r="28" spans="1:12" ht="18" customHeight="1" x14ac:dyDescent="0.2">
      <c r="A28" s="48" t="s">
        <v>510</v>
      </c>
      <c r="B28" s="48" t="s">
        <v>511</v>
      </c>
      <c r="C28" s="31">
        <f>C4 - (C4/(EXP(0.75/((1/C13)*4.289))))</f>
        <v>7711.7858021582651</v>
      </c>
      <c r="D28" s="53" t="s">
        <v>166</v>
      </c>
      <c r="E28" s="48" t="s">
        <v>264</v>
      </c>
      <c r="F28" s="48" t="s">
        <v>25</v>
      </c>
      <c r="G28" s="39" t="s">
        <v>512</v>
      </c>
      <c r="H28" s="77" t="s">
        <v>513</v>
      </c>
      <c r="I28" s="77"/>
      <c r="J28" s="77"/>
      <c r="K28" s="77"/>
      <c r="L28" s="77"/>
    </row>
    <row r="29" spans="1:12" ht="18" customHeight="1" x14ac:dyDescent="0.2">
      <c r="A29" s="21" t="s">
        <v>118</v>
      </c>
      <c r="B29" s="21" t="s">
        <v>157</v>
      </c>
      <c r="C29" s="31">
        <v>49.942999999999998</v>
      </c>
      <c r="D29" s="53" t="s">
        <v>166</v>
      </c>
      <c r="E29" s="21" t="s">
        <v>183</v>
      </c>
      <c r="F29" s="21" t="s">
        <v>119</v>
      </c>
      <c r="G29" s="37" t="s">
        <v>178</v>
      </c>
      <c r="H29" s="77" t="s">
        <v>119</v>
      </c>
      <c r="I29" s="77"/>
      <c r="J29" s="77"/>
      <c r="K29" s="77"/>
      <c r="L29" s="77"/>
    </row>
    <row r="30" spans="1:12" ht="18" customHeight="1" x14ac:dyDescent="0.2">
      <c r="A30" s="21" t="s">
        <v>121</v>
      </c>
      <c r="B30" s="21" t="s">
        <v>158</v>
      </c>
      <c r="C30" s="31">
        <f>C27/C29</f>
        <v>484.33115919524448</v>
      </c>
      <c r="D30" s="53" t="s">
        <v>166</v>
      </c>
      <c r="E30" s="21" t="s">
        <v>184</v>
      </c>
      <c r="F30" s="21" t="s">
        <v>185</v>
      </c>
      <c r="G30" s="38" t="s">
        <v>178</v>
      </c>
      <c r="H30" s="77" t="s">
        <v>178</v>
      </c>
      <c r="I30" s="77"/>
      <c r="J30" s="77"/>
      <c r="K30" s="77"/>
      <c r="L30" s="77"/>
    </row>
    <row r="31" spans="1:12" ht="22" customHeight="1" x14ac:dyDescent="0.25">
      <c r="A31" s="80" t="s">
        <v>122</v>
      </c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</row>
    <row r="32" spans="1:12" ht="18" customHeight="1" x14ac:dyDescent="0.2">
      <c r="A32" s="32" t="s">
        <v>7</v>
      </c>
      <c r="B32" s="32" t="s">
        <v>137</v>
      </c>
      <c r="C32" s="33" t="s">
        <v>11</v>
      </c>
      <c r="D32" s="52" t="s">
        <v>166</v>
      </c>
      <c r="E32" s="33" t="s">
        <v>12</v>
      </c>
      <c r="F32" s="33" t="s">
        <v>13</v>
      </c>
      <c r="G32" s="40" t="s">
        <v>14</v>
      </c>
      <c r="H32" s="78" t="s">
        <v>15</v>
      </c>
      <c r="I32" s="78"/>
      <c r="J32" s="78"/>
      <c r="K32" s="78"/>
      <c r="L32" s="78"/>
    </row>
    <row r="33" spans="1:12" ht="18" customHeight="1" x14ac:dyDescent="0.2">
      <c r="A33" s="21" t="s">
        <v>123</v>
      </c>
      <c r="B33" s="21" t="s">
        <v>159</v>
      </c>
      <c r="C33" s="22">
        <f>0.134*C4</f>
        <v>9380</v>
      </c>
      <c r="D33" s="50" t="s">
        <v>166</v>
      </c>
      <c r="E33" s="21" t="s">
        <v>21</v>
      </c>
      <c r="F33" s="26" t="s">
        <v>10</v>
      </c>
      <c r="G33" s="37" t="s">
        <v>180</v>
      </c>
      <c r="H33" s="77" t="s">
        <v>177</v>
      </c>
      <c r="I33" s="77"/>
      <c r="J33" s="77"/>
      <c r="K33" s="77"/>
      <c r="L33" s="77"/>
    </row>
    <row r="34" spans="1:12" ht="18" customHeight="1" x14ac:dyDescent="0.2">
      <c r="A34" s="21" t="s">
        <v>124</v>
      </c>
      <c r="B34" s="21" t="s">
        <v>160</v>
      </c>
      <c r="C34" s="22">
        <f>0.0177*C4</f>
        <v>1239</v>
      </c>
      <c r="D34" s="50" t="s">
        <v>166</v>
      </c>
      <c r="E34" s="21" t="s">
        <v>21</v>
      </c>
      <c r="F34" s="26" t="s">
        <v>10</v>
      </c>
      <c r="G34" s="38" t="s">
        <v>176</v>
      </c>
      <c r="H34" s="77" t="s">
        <v>177</v>
      </c>
      <c r="I34" s="77"/>
      <c r="J34" s="77"/>
      <c r="K34" s="77"/>
      <c r="L34" s="77"/>
    </row>
    <row r="35" spans="1:12" ht="18" customHeight="1" x14ac:dyDescent="0.2">
      <c r="A35" s="21" t="s">
        <v>125</v>
      </c>
      <c r="B35" s="21" t="s">
        <v>161</v>
      </c>
      <c r="C35" s="22">
        <f>0.105*C4</f>
        <v>7350</v>
      </c>
      <c r="D35" s="50" t="s">
        <v>166</v>
      </c>
      <c r="E35" s="21" t="s">
        <v>21</v>
      </c>
      <c r="F35" s="26" t="s">
        <v>10</v>
      </c>
      <c r="G35" s="38" t="s">
        <v>176</v>
      </c>
      <c r="H35" s="77" t="s">
        <v>177</v>
      </c>
      <c r="I35" s="77"/>
      <c r="J35" s="77"/>
      <c r="K35" s="77"/>
      <c r="L35" s="77"/>
    </row>
    <row r="36" spans="1:12" ht="18" customHeight="1" x14ac:dyDescent="0.2">
      <c r="A36" s="21" t="s">
        <v>126</v>
      </c>
      <c r="B36" s="21" t="s">
        <v>162</v>
      </c>
      <c r="C36" s="22">
        <f>0.0463*C4</f>
        <v>3241</v>
      </c>
      <c r="D36" s="50" t="s">
        <v>166</v>
      </c>
      <c r="E36" s="21" t="s">
        <v>21</v>
      </c>
      <c r="F36" s="26" t="s">
        <v>10</v>
      </c>
      <c r="G36" s="38" t="s">
        <v>176</v>
      </c>
      <c r="H36" s="77" t="s">
        <v>177</v>
      </c>
      <c r="I36" s="77"/>
      <c r="J36" s="77"/>
      <c r="K36" s="77"/>
      <c r="L36" s="77"/>
    </row>
    <row r="37" spans="1:12" ht="18" customHeight="1" x14ac:dyDescent="0.2">
      <c r="A37" s="21" t="s">
        <v>127</v>
      </c>
      <c r="B37" s="21" t="s">
        <v>270</v>
      </c>
      <c r="C37" s="22">
        <f>0.0187*C4</f>
        <v>1309</v>
      </c>
      <c r="D37" s="50" t="s">
        <v>166</v>
      </c>
      <c r="E37" s="21" t="s">
        <v>21</v>
      </c>
      <c r="F37" s="26" t="s">
        <v>10</v>
      </c>
      <c r="G37" s="38" t="s">
        <v>176</v>
      </c>
      <c r="H37" s="77" t="s">
        <v>177</v>
      </c>
      <c r="I37" s="77"/>
      <c r="J37" s="77"/>
      <c r="K37" s="77"/>
      <c r="L37" s="77"/>
    </row>
    <row r="38" spans="1:12" ht="18" customHeight="1" x14ac:dyDescent="0.2">
      <c r="A38" s="21" t="s">
        <v>128</v>
      </c>
      <c r="B38" s="21" t="s">
        <v>163</v>
      </c>
      <c r="C38" s="22">
        <f>0.0143*C4</f>
        <v>1001</v>
      </c>
      <c r="D38" s="50" t="s">
        <v>166</v>
      </c>
      <c r="E38" s="21" t="s">
        <v>21</v>
      </c>
      <c r="F38" s="26" t="s">
        <v>10</v>
      </c>
      <c r="G38" s="38" t="s">
        <v>176</v>
      </c>
      <c r="H38" s="77" t="s">
        <v>177</v>
      </c>
      <c r="I38" s="77"/>
      <c r="J38" s="77"/>
      <c r="K38" s="77"/>
      <c r="L38" s="77"/>
    </row>
    <row r="39" spans="1:12" ht="18" customHeight="1" x14ac:dyDescent="0.2">
      <c r="A39" s="30" t="s">
        <v>233</v>
      </c>
      <c r="B39" s="30" t="s">
        <v>164</v>
      </c>
      <c r="C39" s="22">
        <v>2445</v>
      </c>
      <c r="D39" s="60" t="s">
        <v>166</v>
      </c>
      <c r="E39" s="58" t="s">
        <v>21</v>
      </c>
      <c r="F39" s="26" t="s">
        <v>10</v>
      </c>
      <c r="G39" s="37" t="s">
        <v>180</v>
      </c>
      <c r="H39" s="84" t="s">
        <v>179</v>
      </c>
      <c r="I39" s="84"/>
      <c r="J39" s="84"/>
      <c r="K39" s="84"/>
      <c r="L39" s="84"/>
    </row>
    <row r="40" spans="1:12" ht="18" customHeight="1" x14ac:dyDescent="0.2">
      <c r="A40" s="30" t="s">
        <v>237</v>
      </c>
      <c r="B40" s="30" t="s">
        <v>241</v>
      </c>
      <c r="C40" s="22">
        <v>45</v>
      </c>
      <c r="D40" s="50" t="s">
        <v>166</v>
      </c>
      <c r="E40" s="21" t="s">
        <v>21</v>
      </c>
      <c r="F40" s="26" t="s">
        <v>10</v>
      </c>
      <c r="G40" s="37" t="s">
        <v>180</v>
      </c>
      <c r="H40" s="77" t="s">
        <v>177</v>
      </c>
      <c r="I40" s="77"/>
      <c r="J40" s="77"/>
      <c r="K40" s="77"/>
      <c r="L40" s="77"/>
    </row>
    <row r="41" spans="1:12" ht="18" customHeight="1" x14ac:dyDescent="0.2">
      <c r="A41" s="30" t="s">
        <v>238</v>
      </c>
      <c r="B41" s="30" t="s">
        <v>242</v>
      </c>
      <c r="C41" s="22">
        <v>30</v>
      </c>
      <c r="D41" s="50" t="s">
        <v>166</v>
      </c>
      <c r="E41" s="21" t="s">
        <v>21</v>
      </c>
      <c r="F41" s="26" t="s">
        <v>10</v>
      </c>
      <c r="G41" s="37" t="s">
        <v>180</v>
      </c>
      <c r="H41" s="77" t="s">
        <v>177</v>
      </c>
      <c r="I41" s="77"/>
      <c r="J41" s="77"/>
      <c r="K41" s="77"/>
      <c r="L41" s="77"/>
    </row>
    <row r="42" spans="1:12" ht="18" customHeight="1" x14ac:dyDescent="0.2">
      <c r="A42" s="30" t="s">
        <v>239</v>
      </c>
      <c r="B42" s="30" t="s">
        <v>243</v>
      </c>
      <c r="C42" s="22">
        <v>40</v>
      </c>
      <c r="D42" s="50" t="s">
        <v>166</v>
      </c>
      <c r="E42" s="21" t="s">
        <v>21</v>
      </c>
      <c r="F42" s="26" t="s">
        <v>10</v>
      </c>
      <c r="G42" s="37" t="s">
        <v>180</v>
      </c>
      <c r="H42" s="77" t="s">
        <v>177</v>
      </c>
      <c r="I42" s="77"/>
      <c r="J42" s="77"/>
      <c r="K42" s="77"/>
      <c r="L42" s="77"/>
    </row>
    <row r="43" spans="1:12" ht="18" customHeight="1" x14ac:dyDescent="0.2">
      <c r="A43" s="30" t="s">
        <v>240</v>
      </c>
      <c r="B43" s="30" t="s">
        <v>244</v>
      </c>
      <c r="C43" s="22">
        <v>200</v>
      </c>
      <c r="D43" s="50" t="s">
        <v>166</v>
      </c>
      <c r="E43" s="21" t="s">
        <v>21</v>
      </c>
      <c r="F43" s="26" t="s">
        <v>10</v>
      </c>
      <c r="G43" s="37" t="s">
        <v>180</v>
      </c>
      <c r="H43" s="77" t="s">
        <v>177</v>
      </c>
      <c r="I43" s="77"/>
      <c r="J43" s="77"/>
      <c r="K43" s="77"/>
      <c r="L43" s="77"/>
    </row>
    <row r="44" spans="1:12" ht="18" customHeight="1" x14ac:dyDescent="0.2">
      <c r="A44" s="30" t="s">
        <v>344</v>
      </c>
      <c r="B44" s="30" t="s">
        <v>347</v>
      </c>
      <c r="C44" s="22">
        <v>4</v>
      </c>
      <c r="D44" s="50" t="s">
        <v>166</v>
      </c>
      <c r="E44" s="21" t="s">
        <v>145</v>
      </c>
      <c r="F44" s="26" t="s">
        <v>10</v>
      </c>
      <c r="G44" s="37" t="s">
        <v>180</v>
      </c>
      <c r="H44" s="77" t="s">
        <v>350</v>
      </c>
      <c r="I44" s="77"/>
      <c r="J44" s="77"/>
      <c r="K44" s="77"/>
      <c r="L44" s="77"/>
    </row>
    <row r="45" spans="1:12" ht="18" customHeight="1" x14ac:dyDescent="0.2">
      <c r="A45" s="30" t="s">
        <v>345</v>
      </c>
      <c r="B45" s="30" t="s">
        <v>348</v>
      </c>
      <c r="C45" s="22">
        <v>4</v>
      </c>
      <c r="D45" s="50" t="s">
        <v>166</v>
      </c>
      <c r="E45" s="21" t="s">
        <v>145</v>
      </c>
      <c r="F45" s="26" t="s">
        <v>10</v>
      </c>
      <c r="G45" s="37" t="s">
        <v>180</v>
      </c>
      <c r="H45" s="77" t="s">
        <v>350</v>
      </c>
      <c r="I45" s="77"/>
      <c r="J45" s="77"/>
      <c r="K45" s="77"/>
      <c r="L45" s="77"/>
    </row>
    <row r="46" spans="1:12" ht="18" customHeight="1" x14ac:dyDescent="0.2">
      <c r="A46" s="30" t="s">
        <v>346</v>
      </c>
      <c r="B46" s="30" t="s">
        <v>349</v>
      </c>
      <c r="C46" s="22">
        <v>4</v>
      </c>
      <c r="D46" s="50" t="s">
        <v>166</v>
      </c>
      <c r="E46" s="21" t="s">
        <v>145</v>
      </c>
      <c r="F46" s="26" t="s">
        <v>10</v>
      </c>
      <c r="G46" s="37" t="s">
        <v>180</v>
      </c>
      <c r="H46" s="77" t="s">
        <v>350</v>
      </c>
      <c r="I46" s="77"/>
      <c r="J46" s="77"/>
      <c r="K46" s="77"/>
      <c r="L46" s="77"/>
    </row>
    <row r="47" spans="1:12" ht="22" customHeight="1" x14ac:dyDescent="0.25">
      <c r="A47" s="80" t="s">
        <v>129</v>
      </c>
      <c r="B47" s="80"/>
      <c r="C47" s="80"/>
      <c r="D47" s="80"/>
      <c r="E47" s="80"/>
      <c r="F47" s="80"/>
      <c r="G47" s="80"/>
      <c r="H47" s="81"/>
      <c r="I47" s="81"/>
      <c r="J47" s="81"/>
      <c r="K47" s="81"/>
      <c r="L47" s="81"/>
    </row>
    <row r="48" spans="1:12" ht="18" customHeight="1" x14ac:dyDescent="0.2">
      <c r="A48" s="32" t="s">
        <v>7</v>
      </c>
      <c r="B48" s="32" t="s">
        <v>137</v>
      </c>
      <c r="C48" s="33" t="s">
        <v>11</v>
      </c>
      <c r="D48" s="52" t="s">
        <v>166</v>
      </c>
      <c r="E48" s="33" t="s">
        <v>12</v>
      </c>
      <c r="F48" s="33" t="s">
        <v>13</v>
      </c>
      <c r="G48" s="40" t="s">
        <v>14</v>
      </c>
      <c r="H48" s="78" t="s">
        <v>15</v>
      </c>
      <c r="I48" s="78"/>
      <c r="J48" s="78"/>
      <c r="K48" s="78"/>
      <c r="L48" s="78"/>
    </row>
    <row r="49" spans="1:12" ht="18" customHeight="1" x14ac:dyDescent="0.2">
      <c r="A49" s="21" t="s">
        <v>32</v>
      </c>
      <c r="B49" s="21" t="s">
        <v>165</v>
      </c>
      <c r="C49" s="22">
        <v>90</v>
      </c>
      <c r="D49" s="50" t="s">
        <v>166</v>
      </c>
      <c r="E49" s="21" t="s">
        <v>33</v>
      </c>
      <c r="F49" s="26" t="s">
        <v>34</v>
      </c>
      <c r="G49" s="38" t="s">
        <v>181</v>
      </c>
      <c r="H49" s="77" t="s">
        <v>181</v>
      </c>
      <c r="I49" s="77"/>
      <c r="J49" s="77"/>
      <c r="K49" s="77"/>
      <c r="L49" s="77"/>
    </row>
    <row r="50" spans="1:12" ht="18" customHeight="1" x14ac:dyDescent="0.2">
      <c r="A50" s="21" t="s">
        <v>38</v>
      </c>
      <c r="B50" s="21" t="s">
        <v>167</v>
      </c>
      <c r="C50" s="22">
        <v>42.17</v>
      </c>
      <c r="D50" s="50" t="s">
        <v>166</v>
      </c>
      <c r="E50" s="21" t="s">
        <v>33</v>
      </c>
      <c r="F50" s="26" t="s">
        <v>34</v>
      </c>
      <c r="G50" s="38" t="s">
        <v>181</v>
      </c>
      <c r="H50" s="77" t="s">
        <v>181</v>
      </c>
      <c r="I50" s="77"/>
      <c r="J50" s="77"/>
      <c r="K50" s="77"/>
      <c r="L50" s="77"/>
    </row>
    <row r="51" spans="1:12" ht="18" customHeight="1" x14ac:dyDescent="0.2">
      <c r="A51" s="21" t="s">
        <v>41</v>
      </c>
      <c r="B51" s="21" t="s">
        <v>168</v>
      </c>
      <c r="C51" s="22">
        <v>29.9</v>
      </c>
      <c r="D51" s="50" t="s">
        <v>166</v>
      </c>
      <c r="E51" s="21" t="s">
        <v>33</v>
      </c>
      <c r="F51" s="26" t="s">
        <v>34</v>
      </c>
      <c r="G51" s="38" t="s">
        <v>181</v>
      </c>
      <c r="H51" s="77" t="s">
        <v>181</v>
      </c>
      <c r="I51" s="77"/>
      <c r="J51" s="77"/>
      <c r="K51" s="77"/>
      <c r="L51" s="77"/>
    </row>
    <row r="52" spans="1:12" ht="18" customHeight="1" x14ac:dyDescent="0.2">
      <c r="A52" s="21" t="s">
        <v>194</v>
      </c>
      <c r="B52" s="21" t="s">
        <v>195</v>
      </c>
      <c r="C52" s="22">
        <v>13</v>
      </c>
      <c r="D52" s="50" t="s">
        <v>166</v>
      </c>
      <c r="E52" s="21" t="s">
        <v>33</v>
      </c>
      <c r="F52" s="26" t="s">
        <v>34</v>
      </c>
      <c r="G52" s="38" t="s">
        <v>181</v>
      </c>
      <c r="H52" s="77" t="s">
        <v>181</v>
      </c>
      <c r="I52" s="77"/>
      <c r="J52" s="77"/>
      <c r="K52" s="77"/>
      <c r="L52" s="77"/>
    </row>
    <row r="53" spans="1:12" ht="18" customHeight="1" x14ac:dyDescent="0.2">
      <c r="A53" s="21" t="s">
        <v>196</v>
      </c>
      <c r="B53" s="21" t="s">
        <v>197</v>
      </c>
      <c r="C53" s="22">
        <v>10</v>
      </c>
      <c r="D53" s="50" t="s">
        <v>166</v>
      </c>
      <c r="E53" s="21" t="s">
        <v>33</v>
      </c>
      <c r="F53" s="26" t="s">
        <v>34</v>
      </c>
      <c r="G53" s="38" t="s">
        <v>181</v>
      </c>
      <c r="H53" s="77" t="s">
        <v>181</v>
      </c>
      <c r="I53" s="77"/>
      <c r="J53" s="77"/>
      <c r="K53" s="77"/>
      <c r="L53" s="77"/>
    </row>
    <row r="54" spans="1:12" ht="18" customHeight="1" x14ac:dyDescent="0.2">
      <c r="A54" s="21" t="s">
        <v>198</v>
      </c>
      <c r="B54" s="21" t="s">
        <v>200</v>
      </c>
      <c r="C54" s="22">
        <v>10</v>
      </c>
      <c r="D54" s="50" t="s">
        <v>166</v>
      </c>
      <c r="E54" s="21" t="s">
        <v>33</v>
      </c>
      <c r="F54" s="26" t="s">
        <v>34</v>
      </c>
      <c r="G54" s="38" t="s">
        <v>181</v>
      </c>
      <c r="H54" s="77" t="s">
        <v>181</v>
      </c>
      <c r="I54" s="77"/>
      <c r="J54" s="77"/>
      <c r="K54" s="77"/>
      <c r="L54" s="77"/>
    </row>
    <row r="55" spans="1:12" ht="18" customHeight="1" x14ac:dyDescent="0.2">
      <c r="A55" s="21" t="s">
        <v>199</v>
      </c>
      <c r="B55" s="21" t="s">
        <v>201</v>
      </c>
      <c r="C55" s="22">
        <v>10</v>
      </c>
      <c r="D55" s="50" t="s">
        <v>166</v>
      </c>
      <c r="E55" s="21" t="s">
        <v>33</v>
      </c>
      <c r="F55" s="26" t="s">
        <v>34</v>
      </c>
      <c r="G55" s="38" t="s">
        <v>181</v>
      </c>
      <c r="H55" s="77" t="s">
        <v>181</v>
      </c>
      <c r="I55" s="77"/>
      <c r="J55" s="77"/>
      <c r="K55" s="77"/>
      <c r="L55" s="77"/>
    </row>
    <row r="56" spans="1:12" ht="18" customHeight="1" x14ac:dyDescent="0.2">
      <c r="A56" s="21" t="s">
        <v>202</v>
      </c>
      <c r="B56" s="21" t="s">
        <v>300</v>
      </c>
      <c r="C56" s="22">
        <v>14</v>
      </c>
      <c r="D56" s="50" t="s">
        <v>166</v>
      </c>
      <c r="E56" s="21" t="s">
        <v>33</v>
      </c>
      <c r="F56" s="26" t="s">
        <v>34</v>
      </c>
      <c r="G56" s="38" t="s">
        <v>181</v>
      </c>
      <c r="H56" s="77" t="s">
        <v>181</v>
      </c>
      <c r="I56" s="77"/>
      <c r="J56" s="77"/>
      <c r="K56" s="77"/>
      <c r="L56" s="77"/>
    </row>
    <row r="57" spans="1:12" ht="18" customHeight="1" x14ac:dyDescent="0.2">
      <c r="A57" s="21" t="s">
        <v>43</v>
      </c>
      <c r="B57" s="21" t="s">
        <v>169</v>
      </c>
      <c r="C57" s="22">
        <v>17.82</v>
      </c>
      <c r="D57" s="50" t="s">
        <v>166</v>
      </c>
      <c r="E57" s="21" t="s">
        <v>33</v>
      </c>
      <c r="F57" s="26" t="s">
        <v>34</v>
      </c>
      <c r="G57" s="38" t="s">
        <v>181</v>
      </c>
      <c r="H57" s="77" t="s">
        <v>181</v>
      </c>
      <c r="I57" s="77"/>
      <c r="J57" s="77"/>
      <c r="K57" s="77"/>
      <c r="L57" s="77"/>
    </row>
    <row r="58" spans="1:12" ht="18" customHeight="1" x14ac:dyDescent="0.2">
      <c r="A58" s="21" t="s">
        <v>45</v>
      </c>
      <c r="B58" s="21" t="s">
        <v>170</v>
      </c>
      <c r="C58" s="22">
        <v>8.5</v>
      </c>
      <c r="D58" s="50" t="s">
        <v>166</v>
      </c>
      <c r="E58" s="21" t="s">
        <v>33</v>
      </c>
      <c r="F58" s="26" t="s">
        <v>34</v>
      </c>
      <c r="G58" s="38" t="s">
        <v>181</v>
      </c>
      <c r="H58" s="77" t="s">
        <v>181</v>
      </c>
      <c r="I58" s="77"/>
      <c r="J58" s="77"/>
      <c r="K58" s="77"/>
      <c r="L58" s="77"/>
    </row>
    <row r="59" spans="1:12" ht="18" customHeight="1" x14ac:dyDescent="0.2">
      <c r="A59" s="21" t="s">
        <v>130</v>
      </c>
      <c r="B59" s="21" t="s">
        <v>171</v>
      </c>
      <c r="C59" s="22">
        <v>25</v>
      </c>
      <c r="D59" s="50" t="s">
        <v>166</v>
      </c>
      <c r="E59" s="21" t="s">
        <v>33</v>
      </c>
      <c r="F59" s="26" t="s">
        <v>34</v>
      </c>
      <c r="G59" s="38" t="s">
        <v>181</v>
      </c>
      <c r="H59" s="77" t="s">
        <v>181</v>
      </c>
      <c r="I59" s="77"/>
      <c r="J59" s="77"/>
      <c r="K59" s="77"/>
      <c r="L59" s="77"/>
    </row>
    <row r="60" spans="1:12" ht="18" customHeight="1" x14ac:dyDescent="0.2">
      <c r="A60" s="21" t="s">
        <v>131</v>
      </c>
      <c r="B60" s="21" t="s">
        <v>172</v>
      </c>
      <c r="C60" s="22">
        <f>C58+(2*C7)</f>
        <v>76.196179561868391</v>
      </c>
      <c r="D60" s="50" t="s">
        <v>166</v>
      </c>
      <c r="E60" s="21" t="s">
        <v>33</v>
      </c>
      <c r="F60" s="21" t="s">
        <v>132</v>
      </c>
      <c r="G60" s="38" t="s">
        <v>181</v>
      </c>
      <c r="H60" s="77" t="s">
        <v>181</v>
      </c>
      <c r="I60" s="77"/>
      <c r="J60" s="77"/>
      <c r="K60" s="77"/>
      <c r="L60" s="77"/>
    </row>
    <row r="61" spans="1:12" s="35" customFormat="1" ht="18" customHeight="1" x14ac:dyDescent="0.2">
      <c r="A61" s="21" t="s">
        <v>397</v>
      </c>
      <c r="B61" s="21" t="s">
        <v>398</v>
      </c>
      <c r="C61" s="21">
        <f>(C58/2)^2*PI()*C50</f>
        <v>2392.9373797714861</v>
      </c>
      <c r="D61" s="50" t="s">
        <v>166</v>
      </c>
      <c r="E61" s="21" t="s">
        <v>263</v>
      </c>
      <c r="F61" s="21" t="s">
        <v>56</v>
      </c>
      <c r="G61" s="38" t="s">
        <v>402</v>
      </c>
      <c r="H61" s="77"/>
      <c r="I61" s="77"/>
      <c r="J61" s="77"/>
      <c r="K61" s="77"/>
      <c r="L61" s="77"/>
    </row>
    <row r="62" spans="1:12" s="21" customFormat="1" ht="18" customHeight="1" x14ac:dyDescent="0.2">
      <c r="A62" s="21" t="s">
        <v>400</v>
      </c>
      <c r="B62" s="21" t="s">
        <v>399</v>
      </c>
      <c r="C62" s="21">
        <f>PI()*(C58/2)^2*C51</f>
        <v>1696.6760174334224</v>
      </c>
      <c r="D62" s="50" t="s">
        <v>166</v>
      </c>
      <c r="E62" s="21" t="s">
        <v>401</v>
      </c>
      <c r="G62" s="38" t="s">
        <v>403</v>
      </c>
      <c r="H62" s="77"/>
      <c r="I62" s="77"/>
      <c r="J62" s="77"/>
      <c r="K62" s="77"/>
      <c r="L62" s="77"/>
    </row>
    <row r="63" spans="1:12" ht="22" customHeight="1" x14ac:dyDescent="0.25">
      <c r="A63" s="80" t="s">
        <v>503</v>
      </c>
      <c r="B63" s="80"/>
      <c r="C63" s="80"/>
      <c r="D63" s="80"/>
      <c r="E63" s="80"/>
      <c r="F63" s="80"/>
      <c r="G63" s="80"/>
      <c r="H63" s="81"/>
      <c r="I63" s="81"/>
      <c r="J63" s="81"/>
      <c r="K63" s="81"/>
      <c r="L63" s="81"/>
    </row>
    <row r="64" spans="1:12" s="35" customFormat="1" ht="18" customHeight="1" x14ac:dyDescent="0.2">
      <c r="A64" s="32" t="s">
        <v>7</v>
      </c>
      <c r="B64" s="32" t="s">
        <v>137</v>
      </c>
      <c r="C64" s="49" t="s">
        <v>11</v>
      </c>
      <c r="D64" s="52" t="s">
        <v>166</v>
      </c>
      <c r="E64" s="49" t="s">
        <v>12</v>
      </c>
      <c r="F64" s="49" t="s">
        <v>13</v>
      </c>
      <c r="G64" s="40" t="s">
        <v>14</v>
      </c>
      <c r="H64" s="78" t="s">
        <v>15</v>
      </c>
      <c r="I64" s="78"/>
      <c r="J64" s="78"/>
      <c r="K64" s="78"/>
      <c r="L64" s="78"/>
    </row>
    <row r="65" spans="1:12" s="48" customFormat="1" ht="18" customHeight="1" x14ac:dyDescent="0.2">
      <c r="A65" s="48" t="s">
        <v>504</v>
      </c>
      <c r="B65" s="48" t="s">
        <v>508</v>
      </c>
      <c r="C65" s="22">
        <f xml:space="preserve"> C4</f>
        <v>70000</v>
      </c>
      <c r="D65" s="50" t="s">
        <v>166</v>
      </c>
      <c r="E65" s="48" t="s">
        <v>264</v>
      </c>
      <c r="F65" s="48" t="s">
        <v>10</v>
      </c>
      <c r="G65" s="38" t="s">
        <v>515</v>
      </c>
      <c r="H65" s="77" t="s">
        <v>350</v>
      </c>
      <c r="I65" s="77"/>
      <c r="J65" s="77"/>
      <c r="K65" s="77"/>
      <c r="L65" s="77"/>
    </row>
    <row r="66" spans="1:12" s="48" customFormat="1" ht="18" customHeight="1" x14ac:dyDescent="0.2">
      <c r="A66" s="48" t="s">
        <v>505</v>
      </c>
      <c r="B66" s="48" t="s">
        <v>509</v>
      </c>
      <c r="C66" s="54">
        <f>C65-C27+C28</f>
        <v>53522.834718470171</v>
      </c>
      <c r="D66" s="50" t="s">
        <v>166</v>
      </c>
      <c r="E66" s="48" t="s">
        <v>264</v>
      </c>
      <c r="F66" s="48" t="s">
        <v>10</v>
      </c>
      <c r="G66" s="38" t="s">
        <v>516</v>
      </c>
      <c r="H66" s="77" t="s">
        <v>350</v>
      </c>
      <c r="I66" s="77"/>
      <c r="J66" s="77"/>
      <c r="K66" s="77"/>
      <c r="L66" s="77"/>
    </row>
    <row r="67" spans="1:12" s="48" customFormat="1" ht="18" customHeight="1" x14ac:dyDescent="0.2">
      <c r="A67" s="48" t="s">
        <v>506</v>
      </c>
      <c r="B67" s="48" t="s">
        <v>514</v>
      </c>
      <c r="C67" s="48">
        <f>C65-13*C43</f>
        <v>67400</v>
      </c>
      <c r="D67" s="50" t="s">
        <v>166</v>
      </c>
      <c r="E67" s="48" t="s">
        <v>264</v>
      </c>
      <c r="F67" s="48" t="s">
        <v>10</v>
      </c>
      <c r="G67" s="38" t="s">
        <v>517</v>
      </c>
      <c r="H67" s="77" t="s">
        <v>350</v>
      </c>
      <c r="I67" s="77"/>
      <c r="J67" s="77"/>
      <c r="K67" s="77"/>
      <c r="L67" s="77"/>
    </row>
    <row r="68" spans="1:12" s="48" customFormat="1" ht="18" customHeight="1" x14ac:dyDescent="0.2">
      <c r="A68" s="48" t="s">
        <v>507</v>
      </c>
      <c r="B68" s="48" t="s">
        <v>514</v>
      </c>
      <c r="C68" s="48">
        <f>C66-13*C43</f>
        <v>50922.834718470171</v>
      </c>
      <c r="D68" s="50" t="s">
        <v>166</v>
      </c>
      <c r="E68" s="48" t="s">
        <v>264</v>
      </c>
      <c r="F68" s="48" t="s">
        <v>10</v>
      </c>
      <c r="G68" s="38" t="s">
        <v>518</v>
      </c>
      <c r="H68" s="77" t="s">
        <v>350</v>
      </c>
      <c r="I68" s="77"/>
      <c r="J68" s="77"/>
      <c r="K68" s="77"/>
      <c r="L68" s="77"/>
    </row>
  </sheetData>
  <mergeCells count="68">
    <mergeCell ref="H41:L41"/>
    <mergeCell ref="H42:L42"/>
    <mergeCell ref="H43:L43"/>
    <mergeCell ref="H57:L57"/>
    <mergeCell ref="H50:L50"/>
    <mergeCell ref="H51:L51"/>
    <mergeCell ref="H67:L67"/>
    <mergeCell ref="H52:L52"/>
    <mergeCell ref="H53:L53"/>
    <mergeCell ref="H54:L54"/>
    <mergeCell ref="H55:L55"/>
    <mergeCell ref="H56:L56"/>
    <mergeCell ref="H58:L58"/>
    <mergeCell ref="H59:L59"/>
    <mergeCell ref="H60:L60"/>
    <mergeCell ref="H68:L68"/>
    <mergeCell ref="H61:L61"/>
    <mergeCell ref="H62:L62"/>
    <mergeCell ref="A63:L63"/>
    <mergeCell ref="H64:L64"/>
    <mergeCell ref="H65:L65"/>
    <mergeCell ref="H66:L66"/>
    <mergeCell ref="H18:L18"/>
    <mergeCell ref="H19:L19"/>
    <mergeCell ref="H21:L21"/>
    <mergeCell ref="H40:L40"/>
    <mergeCell ref="H32:L32"/>
    <mergeCell ref="H33:L33"/>
    <mergeCell ref="H34:L34"/>
    <mergeCell ref="H22:L22"/>
    <mergeCell ref="H23:L23"/>
    <mergeCell ref="H24:L24"/>
    <mergeCell ref="H36:L36"/>
    <mergeCell ref="H37:L37"/>
    <mergeCell ref="H26:L26"/>
    <mergeCell ref="H39:L39"/>
    <mergeCell ref="H9:L9"/>
    <mergeCell ref="H49:L49"/>
    <mergeCell ref="H46:L46"/>
    <mergeCell ref="A25:L25"/>
    <mergeCell ref="A31:L31"/>
    <mergeCell ref="A47:L47"/>
    <mergeCell ref="H38:L38"/>
    <mergeCell ref="H27:L27"/>
    <mergeCell ref="H29:L29"/>
    <mergeCell ref="H30:L30"/>
    <mergeCell ref="H48:L48"/>
    <mergeCell ref="H35:L35"/>
    <mergeCell ref="H44:L44"/>
    <mergeCell ref="H45:L45"/>
    <mergeCell ref="H28:L28"/>
    <mergeCell ref="H17:L17"/>
    <mergeCell ref="A1:L1"/>
    <mergeCell ref="H20:L20"/>
    <mergeCell ref="H6:L6"/>
    <mergeCell ref="H7:L7"/>
    <mergeCell ref="H8:L8"/>
    <mergeCell ref="H3:L3"/>
    <mergeCell ref="H4:L4"/>
    <mergeCell ref="H5:L5"/>
    <mergeCell ref="H14:L14"/>
    <mergeCell ref="H10:L10"/>
    <mergeCell ref="H11:L11"/>
    <mergeCell ref="H12:L12"/>
    <mergeCell ref="H13:L13"/>
    <mergeCell ref="H2:L2"/>
    <mergeCell ref="H15:L15"/>
    <mergeCell ref="H16:L16"/>
  </mergeCells>
  <hyperlinks>
    <hyperlink ref="H15" r:id="rId1" display="http://www.fighter-planes.com/jetmach1.htm"/>
    <hyperlink ref="H17" r:id="rId2"/>
    <hyperlink ref="H18" r:id="rId3"/>
    <hyperlink ref="H19" r:id="rId4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109"/>
  <sheetViews>
    <sheetView zoomScale="70" zoomScaleNormal="70" zoomScalePageLayoutView="70" workbookViewId="0">
      <selection activeCell="F14" sqref="F14"/>
    </sheetView>
  </sheetViews>
  <sheetFormatPr baseColWidth="10" defaultColWidth="15.1640625" defaultRowHeight="18" customHeight="1" x14ac:dyDescent="0.2"/>
  <cols>
    <col min="1" max="1" width="51" style="21" customWidth="1"/>
    <col min="2" max="2" width="19.33203125" style="21" customWidth="1"/>
    <col min="3" max="3" width="15.1640625" style="21"/>
    <col min="4" max="4" width="2" style="21" customWidth="1"/>
    <col min="5" max="5" width="15.1640625" style="21"/>
    <col min="6" max="6" width="40" style="21" customWidth="1"/>
    <col min="7" max="7" width="38.6640625" style="38" customWidth="1"/>
    <col min="8" max="12" width="15.1640625" style="21"/>
    <col min="13" max="13" width="3.5" style="21" customWidth="1"/>
    <col min="14" max="14" width="20.33203125" style="21" customWidth="1"/>
    <col min="15" max="15" width="22.6640625" style="21" customWidth="1"/>
    <col min="16" max="16" width="23.33203125" style="21" customWidth="1"/>
    <col min="17" max="17" width="22.33203125" style="21" customWidth="1"/>
    <col min="18" max="16384" width="15.1640625" style="21"/>
  </cols>
  <sheetData>
    <row r="1" spans="1:17" ht="22" customHeight="1" x14ac:dyDescent="0.2">
      <c r="A1" s="85" t="s">
        <v>203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  <c r="N1" s="62" t="s">
        <v>541</v>
      </c>
      <c r="O1" s="62" t="s">
        <v>542</v>
      </c>
      <c r="P1" s="62" t="s">
        <v>543</v>
      </c>
      <c r="Q1" s="62" t="s">
        <v>542</v>
      </c>
    </row>
    <row r="2" spans="1:17" ht="18" customHeight="1" x14ac:dyDescent="0.2">
      <c r="A2" s="32" t="s">
        <v>7</v>
      </c>
      <c r="B2" s="32" t="s">
        <v>137</v>
      </c>
      <c r="C2" s="63" t="s">
        <v>11</v>
      </c>
      <c r="D2" s="33" t="s">
        <v>166</v>
      </c>
      <c r="E2" s="33" t="s">
        <v>12</v>
      </c>
      <c r="F2" s="33" t="s">
        <v>13</v>
      </c>
      <c r="G2" s="40" t="s">
        <v>14</v>
      </c>
      <c r="H2" s="78" t="s">
        <v>15</v>
      </c>
      <c r="I2" s="78"/>
      <c r="J2" s="78"/>
      <c r="K2" s="78"/>
      <c r="L2" s="78"/>
      <c r="N2" s="22">
        <f>0.5*'Initial Estimates'!$C$49</f>
        <v>45</v>
      </c>
      <c r="O2" s="22">
        <f>0.5*'Initial Estimates'!$C$49</f>
        <v>45</v>
      </c>
      <c r="P2" s="22"/>
      <c r="Q2" s="22">
        <f>0.6*'Initial Estimates'!$C$49</f>
        <v>54</v>
      </c>
    </row>
    <row r="3" spans="1:17" ht="18" customHeight="1" x14ac:dyDescent="0.2">
      <c r="A3" s="21" t="s">
        <v>204</v>
      </c>
      <c r="B3" s="21" t="s">
        <v>207</v>
      </c>
      <c r="C3" s="99">
        <v>55.8</v>
      </c>
      <c r="D3" s="22" t="s">
        <v>166</v>
      </c>
      <c r="E3" s="21" t="s">
        <v>33</v>
      </c>
      <c r="F3" s="21" t="s">
        <v>502</v>
      </c>
      <c r="G3" s="38" t="s">
        <v>208</v>
      </c>
      <c r="H3" s="77" t="s">
        <v>19</v>
      </c>
      <c r="I3" s="77"/>
      <c r="J3" s="77"/>
      <c r="K3" s="77"/>
      <c r="L3" s="77"/>
      <c r="N3" s="22">
        <f>0.9*'Initial Estimates'!$C$49</f>
        <v>81</v>
      </c>
      <c r="O3" s="22">
        <f>0.6*'Initial Estimates'!$C$49</f>
        <v>54</v>
      </c>
      <c r="P3" s="22"/>
      <c r="Q3" s="22">
        <f>0.6*'Initial Estimates'!$C$49</f>
        <v>54</v>
      </c>
    </row>
    <row r="4" spans="1:17" ht="18" customHeight="1" x14ac:dyDescent="0.2">
      <c r="A4" s="24" t="s">
        <v>205</v>
      </c>
      <c r="B4" s="24" t="s">
        <v>206</v>
      </c>
      <c r="C4" s="99">
        <v>63</v>
      </c>
      <c r="D4" s="22" t="s">
        <v>166</v>
      </c>
      <c r="E4" s="21" t="s">
        <v>33</v>
      </c>
      <c r="F4" s="21" t="s">
        <v>18</v>
      </c>
      <c r="G4" s="38" t="s">
        <v>208</v>
      </c>
      <c r="H4" s="77" t="s">
        <v>19</v>
      </c>
      <c r="I4" s="77"/>
      <c r="J4" s="77"/>
      <c r="K4" s="77"/>
      <c r="L4" s="77"/>
      <c r="N4" s="22">
        <f>N3</f>
        <v>81</v>
      </c>
      <c r="O4" s="22">
        <f>O3</f>
        <v>54</v>
      </c>
      <c r="P4" s="22"/>
      <c r="Q4" s="22">
        <f>Q3</f>
        <v>54</v>
      </c>
    </row>
    <row r="5" spans="1:17" ht="18" customHeight="1" x14ac:dyDescent="0.2">
      <c r="A5" s="27" t="s">
        <v>209</v>
      </c>
      <c r="B5" s="21" t="s">
        <v>210</v>
      </c>
      <c r="C5" s="99">
        <v>63</v>
      </c>
      <c r="D5" s="22" t="s">
        <v>166</v>
      </c>
      <c r="E5" s="21" t="s">
        <v>33</v>
      </c>
      <c r="F5" s="21" t="s">
        <v>18</v>
      </c>
      <c r="G5" s="38" t="s">
        <v>208</v>
      </c>
      <c r="H5" s="77" t="s">
        <v>19</v>
      </c>
      <c r="I5" s="77"/>
      <c r="J5" s="77"/>
      <c r="K5" s="77"/>
      <c r="L5" s="77"/>
      <c r="N5" s="22">
        <f>0.04*'Initial Estimates'!$C$49</f>
        <v>3.6</v>
      </c>
      <c r="O5" s="22">
        <f>0.04*'Initial Estimates'!$C$49</f>
        <v>3.6</v>
      </c>
      <c r="P5" s="22"/>
      <c r="Q5" s="22">
        <f>0.04*'Initial Estimates'!$C$49</f>
        <v>3.6</v>
      </c>
    </row>
    <row r="6" spans="1:17" ht="18" customHeight="1" x14ac:dyDescent="0.2">
      <c r="A6" s="21" t="s">
        <v>211</v>
      </c>
      <c r="B6" s="21" t="s">
        <v>212</v>
      </c>
      <c r="C6" s="99">
        <v>3.6</v>
      </c>
      <c r="D6" s="22" t="s">
        <v>166</v>
      </c>
      <c r="E6" s="21" t="s">
        <v>33</v>
      </c>
      <c r="F6" s="21" t="s">
        <v>18</v>
      </c>
      <c r="G6" s="38" t="s">
        <v>208</v>
      </c>
      <c r="H6" s="77" t="s">
        <v>19</v>
      </c>
      <c r="I6" s="77"/>
      <c r="J6" s="77"/>
      <c r="K6" s="77"/>
      <c r="L6" s="77"/>
      <c r="N6" s="22">
        <f>0.8*'Initial Estimates'!$C$49</f>
        <v>72</v>
      </c>
      <c r="O6" s="22">
        <f>0.45*'Initial Estimates'!$C$49</f>
        <v>40.5</v>
      </c>
      <c r="P6" s="22"/>
      <c r="Q6" s="22">
        <f>0.45*'Initial Estimates'!$C$49</f>
        <v>40.5</v>
      </c>
    </row>
    <row r="7" spans="1:17" ht="18" customHeight="1" x14ac:dyDescent="0.2">
      <c r="A7" s="21" t="s">
        <v>213</v>
      </c>
      <c r="B7" s="21" t="s">
        <v>214</v>
      </c>
      <c r="C7" s="99">
        <v>40.5</v>
      </c>
      <c r="D7" s="22" t="s">
        <v>166</v>
      </c>
      <c r="E7" s="21" t="s">
        <v>33</v>
      </c>
      <c r="F7" s="21" t="s">
        <v>18</v>
      </c>
      <c r="G7" s="38" t="s">
        <v>208</v>
      </c>
      <c r="H7" s="77" t="s">
        <v>19</v>
      </c>
      <c r="I7" s="77"/>
      <c r="J7" s="77"/>
      <c r="K7" s="77"/>
      <c r="L7" s="77"/>
      <c r="N7" s="22">
        <f>0.15*'Initial Estimates'!$C$49</f>
        <v>13.5</v>
      </c>
      <c r="O7" s="22">
        <f>0.15*'Initial Estimates'!$C$49</f>
        <v>13.5</v>
      </c>
      <c r="P7" s="22"/>
      <c r="Q7" s="22">
        <f>0.15*'Initial Estimates'!$C$49</f>
        <v>13.5</v>
      </c>
    </row>
    <row r="8" spans="1:17" ht="18" customHeight="1" x14ac:dyDescent="0.2">
      <c r="A8" s="21" t="s">
        <v>215</v>
      </c>
      <c r="B8" s="21" t="s">
        <v>216</v>
      </c>
      <c r="C8" s="99">
        <v>13.5</v>
      </c>
      <c r="D8" s="22" t="s">
        <v>166</v>
      </c>
      <c r="E8" s="21" t="s">
        <v>33</v>
      </c>
      <c r="F8" s="21" t="s">
        <v>18</v>
      </c>
      <c r="G8" s="38" t="s">
        <v>208</v>
      </c>
      <c r="H8" s="77" t="s">
        <v>19</v>
      </c>
      <c r="I8" s="77"/>
      <c r="J8" s="77"/>
      <c r="K8" s="77"/>
      <c r="L8" s="77"/>
      <c r="N8" s="58">
        <f xml:space="preserve"> 'Initial Estimates'!$C$57+'Initial Estimates'!$C$50</f>
        <v>59.99</v>
      </c>
      <c r="O8" s="58">
        <f xml:space="preserve"> 'Initial Estimates'!$C$57+'Initial Estimates'!$C$50</f>
        <v>59.99</v>
      </c>
      <c r="P8" s="58"/>
      <c r="Q8" s="58">
        <f xml:space="preserve"> 'Initial Estimates'!$C$57+'Initial Estimates'!$C$50</f>
        <v>59.99</v>
      </c>
    </row>
    <row r="9" spans="1:17" ht="18" customHeight="1" x14ac:dyDescent="0.2">
      <c r="A9" s="21" t="s">
        <v>217</v>
      </c>
      <c r="B9" s="21" t="s">
        <v>218</v>
      </c>
      <c r="C9" s="99">
        <v>59.99</v>
      </c>
      <c r="D9" s="22" t="s">
        <v>166</v>
      </c>
      <c r="E9" s="21" t="s">
        <v>33</v>
      </c>
      <c r="F9" s="21" t="s">
        <v>18</v>
      </c>
      <c r="G9" s="38" t="s">
        <v>208</v>
      </c>
      <c r="H9" s="77" t="s">
        <v>19</v>
      </c>
      <c r="I9" s="77"/>
      <c r="J9" s="77"/>
      <c r="K9" s="77"/>
      <c r="L9" s="77"/>
      <c r="N9" s="22">
        <f>0.9*'Initial Estimates'!$C$49</f>
        <v>81</v>
      </c>
      <c r="O9" s="22">
        <f>0.9*'Initial Estimates'!$C$49</f>
        <v>81</v>
      </c>
      <c r="P9" s="22"/>
      <c r="Q9" s="22">
        <f>0.9*'Initial Estimates'!$C$49</f>
        <v>81</v>
      </c>
    </row>
    <row r="10" spans="1:17" ht="18" customHeight="1" x14ac:dyDescent="0.2">
      <c r="A10" s="21" t="s">
        <v>219</v>
      </c>
      <c r="B10" s="21" t="s">
        <v>220</v>
      </c>
      <c r="C10" s="99">
        <v>81</v>
      </c>
      <c r="D10" s="22" t="s">
        <v>166</v>
      </c>
      <c r="E10" s="21" t="s">
        <v>33</v>
      </c>
      <c r="F10" s="21" t="s">
        <v>18</v>
      </c>
      <c r="G10" s="38" t="s">
        <v>208</v>
      </c>
      <c r="H10" s="77" t="s">
        <v>19</v>
      </c>
      <c r="I10" s="77"/>
      <c r="J10" s="77"/>
      <c r="K10" s="77"/>
      <c r="L10" s="77"/>
      <c r="N10" s="22">
        <f>0.9*'Initial Estimates'!$C$49</f>
        <v>81</v>
      </c>
      <c r="O10" s="22">
        <f>0.9*'Initial Estimates'!$C$49</f>
        <v>81</v>
      </c>
      <c r="P10" s="22"/>
      <c r="Q10" s="22">
        <f>0.9*'Initial Estimates'!$C$49</f>
        <v>81</v>
      </c>
    </row>
    <row r="11" spans="1:17" ht="18" customHeight="1" x14ac:dyDescent="0.2">
      <c r="A11" s="21" t="s">
        <v>221</v>
      </c>
      <c r="B11" s="21" t="s">
        <v>222</v>
      </c>
      <c r="C11" s="99">
        <v>81</v>
      </c>
      <c r="D11" s="22" t="s">
        <v>166</v>
      </c>
      <c r="E11" s="21" t="s">
        <v>33</v>
      </c>
      <c r="F11" s="21" t="s">
        <v>18</v>
      </c>
      <c r="G11" s="38" t="s">
        <v>208</v>
      </c>
      <c r="H11" s="77" t="s">
        <v>19</v>
      </c>
      <c r="I11" s="77"/>
      <c r="J11" s="77"/>
      <c r="K11" s="77"/>
      <c r="L11" s="77"/>
      <c r="N11" s="22">
        <f>0.05*'Initial Estimates'!$C$49</f>
        <v>4.5</v>
      </c>
      <c r="O11" s="22">
        <f>0.05*'Initial Estimates'!$C$49</f>
        <v>4.5</v>
      </c>
      <c r="P11" s="22"/>
      <c r="Q11" s="22">
        <f>0.05*'Initial Estimates'!$C$49</f>
        <v>4.5</v>
      </c>
    </row>
    <row r="12" spans="1:17" ht="18" customHeight="1" x14ac:dyDescent="0.2">
      <c r="A12" s="21" t="s">
        <v>223</v>
      </c>
      <c r="B12" s="21" t="s">
        <v>224</v>
      </c>
      <c r="C12" s="22">
        <f>0.05*'Initial Estimates'!$C$49</f>
        <v>4.5</v>
      </c>
      <c r="D12" s="22" t="s">
        <v>166</v>
      </c>
      <c r="E12" s="21" t="s">
        <v>33</v>
      </c>
      <c r="F12" s="21" t="s">
        <v>18</v>
      </c>
      <c r="G12" s="38" t="s">
        <v>208</v>
      </c>
      <c r="H12" s="77" t="s">
        <v>19</v>
      </c>
      <c r="I12" s="77"/>
      <c r="J12" s="77"/>
      <c r="K12" s="77"/>
      <c r="L12" s="77"/>
      <c r="N12" s="22">
        <f>0.15*'Initial Estimates'!$C$49</f>
        <v>13.5</v>
      </c>
      <c r="O12" s="22">
        <f>0.15*'Initial Estimates'!$C$49</f>
        <v>13.5</v>
      </c>
      <c r="P12" s="22"/>
      <c r="Q12" s="22">
        <f>0.15*'Initial Estimates'!$C$49</f>
        <v>13.5</v>
      </c>
    </row>
    <row r="13" spans="1:17" ht="18" customHeight="1" x14ac:dyDescent="0.2">
      <c r="A13" s="21" t="s">
        <v>225</v>
      </c>
      <c r="B13" s="21" t="s">
        <v>226</v>
      </c>
      <c r="C13" s="22">
        <f>0.15*'Initial Estimates'!$C$49</f>
        <v>13.5</v>
      </c>
      <c r="D13" s="22" t="s">
        <v>166</v>
      </c>
      <c r="E13" s="21" t="s">
        <v>33</v>
      </c>
      <c r="F13" s="21" t="s">
        <v>18</v>
      </c>
      <c r="G13" s="38" t="s">
        <v>208</v>
      </c>
      <c r="H13" s="77" t="s">
        <v>19</v>
      </c>
      <c r="I13" s="77"/>
      <c r="J13" s="77"/>
      <c r="K13" s="77"/>
      <c r="L13" s="77"/>
      <c r="N13" s="22">
        <f>0.3*'Initial Estimates'!$C$49</f>
        <v>27</v>
      </c>
      <c r="O13" s="22">
        <f>0.3*'Initial Estimates'!$C$49</f>
        <v>27</v>
      </c>
      <c r="P13" s="22"/>
      <c r="Q13" s="22">
        <f>0.3*'Initial Estimates'!$C$49</f>
        <v>27</v>
      </c>
    </row>
    <row r="14" spans="1:17" ht="18" customHeight="1" x14ac:dyDescent="0.2">
      <c r="A14" s="21" t="s">
        <v>227</v>
      </c>
      <c r="B14" s="21" t="s">
        <v>230</v>
      </c>
      <c r="C14" s="22">
        <f>0.24*'Initial Estimates'!$C$49</f>
        <v>21.599999999999998</v>
      </c>
      <c r="D14" s="22" t="s">
        <v>166</v>
      </c>
      <c r="E14" s="21" t="s">
        <v>33</v>
      </c>
      <c r="F14" s="21" t="s">
        <v>18</v>
      </c>
      <c r="G14" s="38" t="s">
        <v>208</v>
      </c>
      <c r="H14" s="77" t="s">
        <v>19</v>
      </c>
      <c r="I14" s="77"/>
      <c r="J14" s="77"/>
      <c r="K14" s="77"/>
      <c r="L14" s="77"/>
      <c r="N14" s="22">
        <f>0.413*'Initial Estimates'!$C$49</f>
        <v>37.169999999999995</v>
      </c>
      <c r="O14" s="22">
        <f>0.413*'Initial Estimates'!$C$49</f>
        <v>37.169999999999995</v>
      </c>
      <c r="P14" s="22"/>
      <c r="Q14" s="22">
        <f>0.413*'Initial Estimates'!$C$49</f>
        <v>37.169999999999995</v>
      </c>
    </row>
    <row r="15" spans="1:17" ht="18" customHeight="1" x14ac:dyDescent="0.2">
      <c r="A15" s="21" t="s">
        <v>228</v>
      </c>
      <c r="B15" s="21" t="s">
        <v>231</v>
      </c>
      <c r="C15" s="22">
        <f>0.36*'Initial Estimates'!$C$49</f>
        <v>32.4</v>
      </c>
      <c r="D15" s="22" t="s">
        <v>166</v>
      </c>
      <c r="E15" s="21" t="s">
        <v>33</v>
      </c>
      <c r="F15" s="21" t="s">
        <v>18</v>
      </c>
      <c r="G15" s="38" t="s">
        <v>208</v>
      </c>
      <c r="H15" s="77" t="s">
        <v>19</v>
      </c>
      <c r="I15" s="77"/>
      <c r="J15" s="77"/>
      <c r="K15" s="77"/>
      <c r="L15" s="77"/>
      <c r="N15" s="22">
        <f>0.526*'Initial Estimates'!$C$49</f>
        <v>47.34</v>
      </c>
      <c r="O15" s="22">
        <f>0.526*'Initial Estimates'!$C$49</f>
        <v>47.34</v>
      </c>
      <c r="P15" s="22"/>
      <c r="Q15" s="22">
        <f>0.526*'Initial Estimates'!$C$49</f>
        <v>47.34</v>
      </c>
    </row>
    <row r="16" spans="1:17" ht="18" customHeight="1" x14ac:dyDescent="0.2">
      <c r="A16" s="21" t="s">
        <v>229</v>
      </c>
      <c r="B16" s="21" t="s">
        <v>232</v>
      </c>
      <c r="C16" s="22">
        <f>0.475*'Initial Estimates'!$C$49</f>
        <v>42.75</v>
      </c>
      <c r="D16" s="22" t="s">
        <v>166</v>
      </c>
      <c r="E16" s="21" t="s">
        <v>33</v>
      </c>
      <c r="F16" s="21" t="s">
        <v>18</v>
      </c>
      <c r="G16" s="38" t="s">
        <v>208</v>
      </c>
      <c r="H16" s="77" t="s">
        <v>19</v>
      </c>
      <c r="I16" s="77"/>
      <c r="J16" s="77"/>
      <c r="K16" s="77"/>
      <c r="L16" s="77"/>
    </row>
    <row r="17" spans="1:15" ht="22" customHeight="1" x14ac:dyDescent="0.2">
      <c r="A17" s="85" t="s">
        <v>258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7"/>
    </row>
    <row r="18" spans="1:15" ht="18" customHeight="1" x14ac:dyDescent="0.2">
      <c r="A18" s="32" t="s">
        <v>7</v>
      </c>
      <c r="B18" s="32" t="s">
        <v>137</v>
      </c>
      <c r="C18" s="33" t="s">
        <v>11</v>
      </c>
      <c r="D18" s="33" t="s">
        <v>166</v>
      </c>
      <c r="E18" s="33" t="s">
        <v>12</v>
      </c>
      <c r="F18" s="33" t="s">
        <v>13</v>
      </c>
      <c r="G18" s="40" t="s">
        <v>14</v>
      </c>
      <c r="H18" s="78" t="s">
        <v>15</v>
      </c>
      <c r="I18" s="78"/>
      <c r="J18" s="78"/>
      <c r="K18" s="78"/>
      <c r="L18" s="78"/>
    </row>
    <row r="19" spans="1:15" ht="18" customHeight="1" x14ac:dyDescent="0.2">
      <c r="A19" s="21" t="s">
        <v>245</v>
      </c>
      <c r="B19" s="21" t="s">
        <v>246</v>
      </c>
      <c r="C19" s="22">
        <f>C3 + ((1 - 0.8037)*'Initial Estimates'!C8)</f>
        <v>58.457752009598948</v>
      </c>
      <c r="D19" s="22" t="s">
        <v>166</v>
      </c>
      <c r="E19" s="21" t="s">
        <v>33</v>
      </c>
      <c r="F19" s="21" t="s">
        <v>18</v>
      </c>
      <c r="G19" s="39" t="s">
        <v>247</v>
      </c>
      <c r="H19" s="77" t="s">
        <v>248</v>
      </c>
      <c r="I19" s="77"/>
      <c r="J19" s="77"/>
      <c r="K19" s="77"/>
      <c r="L19" s="77"/>
    </row>
    <row r="20" spans="1:15" ht="18" customHeight="1" x14ac:dyDescent="0.2">
      <c r="A20" s="21" t="s">
        <v>249</v>
      </c>
      <c r="B20" s="21" t="s">
        <v>250</v>
      </c>
      <c r="C20" s="21">
        <f>C3+0.7*'Initial Estimates'!C8</f>
        <v>65.277465138661569</v>
      </c>
      <c r="D20" s="22" t="s">
        <v>166</v>
      </c>
      <c r="E20" s="21" t="s">
        <v>33</v>
      </c>
      <c r="F20" s="21" t="s">
        <v>18</v>
      </c>
      <c r="G20" s="39" t="s">
        <v>266</v>
      </c>
      <c r="H20" s="77" t="s">
        <v>248</v>
      </c>
      <c r="I20" s="77"/>
      <c r="J20" s="77"/>
      <c r="K20" s="77"/>
      <c r="L20" s="77"/>
    </row>
    <row r="21" spans="1:15" ht="18" customHeight="1" x14ac:dyDescent="0.2">
      <c r="A21" s="21" t="s">
        <v>251</v>
      </c>
      <c r="B21" s="21" t="s">
        <v>252</v>
      </c>
      <c r="C21" s="22">
        <f>C19+'Initial Estimates'!C10</f>
        <v>68.465549018948195</v>
      </c>
      <c r="D21" s="22" t="s">
        <v>166</v>
      </c>
      <c r="E21" s="21" t="s">
        <v>33</v>
      </c>
      <c r="F21" s="21" t="s">
        <v>18</v>
      </c>
      <c r="G21" s="39" t="s">
        <v>267</v>
      </c>
      <c r="H21" s="77" t="s">
        <v>248</v>
      </c>
      <c r="I21" s="77"/>
      <c r="J21" s="77"/>
      <c r="K21" s="77"/>
      <c r="L21" s="77"/>
    </row>
    <row r="22" spans="1:15" ht="18" customHeight="1" x14ac:dyDescent="0.2">
      <c r="A22" s="21" t="s">
        <v>253</v>
      </c>
      <c r="B22" s="21" t="s">
        <v>254</v>
      </c>
      <c r="C22" s="21">
        <f xml:space="preserve"> C20*'Initial Estimates'!C33</f>
        <v>612302.62300064554</v>
      </c>
      <c r="D22" s="22" t="s">
        <v>166</v>
      </c>
      <c r="E22" s="21" t="s">
        <v>265</v>
      </c>
      <c r="F22" s="21" t="s">
        <v>18</v>
      </c>
      <c r="G22" s="39" t="s">
        <v>268</v>
      </c>
      <c r="H22" s="77" t="s">
        <v>248</v>
      </c>
      <c r="I22" s="77"/>
      <c r="J22" s="77"/>
      <c r="K22" s="77"/>
      <c r="L22" s="77"/>
    </row>
    <row r="23" spans="1:15" ht="18" customHeight="1" x14ac:dyDescent="0.2">
      <c r="A23" s="21" t="s">
        <v>255</v>
      </c>
      <c r="B23" s="21" t="s">
        <v>256</v>
      </c>
      <c r="C23" s="21">
        <f>C21*'Initial Estimates'!C37</f>
        <v>89621.403665803184</v>
      </c>
      <c r="D23" s="22" t="s">
        <v>166</v>
      </c>
      <c r="E23" s="21" t="s">
        <v>265</v>
      </c>
      <c r="F23" s="21" t="s">
        <v>18</v>
      </c>
      <c r="G23" s="39" t="s">
        <v>269</v>
      </c>
      <c r="H23" s="77" t="s">
        <v>248</v>
      </c>
      <c r="I23" s="77"/>
      <c r="J23" s="77"/>
      <c r="K23" s="77"/>
      <c r="L23" s="77"/>
    </row>
    <row r="24" spans="1:15" ht="22" customHeight="1" x14ac:dyDescent="0.2">
      <c r="A24" s="85" t="s">
        <v>257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7"/>
    </row>
    <row r="25" spans="1:15" ht="18" customHeight="1" x14ac:dyDescent="0.2">
      <c r="A25" s="32" t="s">
        <v>7</v>
      </c>
      <c r="B25" s="32" t="s">
        <v>137</v>
      </c>
      <c r="C25" s="33" t="s">
        <v>11</v>
      </c>
      <c r="D25" s="33" t="s">
        <v>166</v>
      </c>
      <c r="E25" s="33" t="s">
        <v>12</v>
      </c>
      <c r="F25" s="33" t="s">
        <v>13</v>
      </c>
      <c r="G25" s="40" t="s">
        <v>14</v>
      </c>
      <c r="H25" s="78" t="s">
        <v>15</v>
      </c>
      <c r="I25" s="78"/>
      <c r="J25" s="78"/>
      <c r="K25" s="78"/>
      <c r="L25" s="78"/>
    </row>
    <row r="26" spans="1:15" ht="18" customHeight="1" x14ac:dyDescent="0.2">
      <c r="A26" s="21" t="s">
        <v>261</v>
      </c>
      <c r="B26" s="21" t="s">
        <v>262</v>
      </c>
      <c r="C26" s="22">
        <v>10.18</v>
      </c>
      <c r="D26" s="22" t="s">
        <v>166</v>
      </c>
      <c r="E26" s="21" t="s">
        <v>263</v>
      </c>
      <c r="F26" s="21" t="s">
        <v>18</v>
      </c>
      <c r="G26" s="39" t="s">
        <v>271</v>
      </c>
      <c r="H26" s="77" t="s">
        <v>248</v>
      </c>
      <c r="I26" s="77"/>
      <c r="J26" s="77"/>
      <c r="K26" s="77"/>
      <c r="L26" s="77"/>
      <c r="N26" s="58"/>
      <c r="O26" s="58"/>
    </row>
    <row r="27" spans="1:15" ht="18" customHeight="1" x14ac:dyDescent="0.2">
      <c r="A27" s="21" t="s">
        <v>259</v>
      </c>
      <c r="B27" s="21" t="s">
        <v>260</v>
      </c>
      <c r="C27" s="22">
        <f>C26*0.7*'Initial Estimates'!C8*'Initial Estimates'!C29</f>
        <v>4818.530361657381</v>
      </c>
      <c r="D27" s="22" t="s">
        <v>166</v>
      </c>
      <c r="E27" s="21" t="s">
        <v>264</v>
      </c>
      <c r="F27" s="21" t="s">
        <v>18</v>
      </c>
      <c r="G27" s="39" t="s">
        <v>271</v>
      </c>
      <c r="H27" s="77" t="s">
        <v>248</v>
      </c>
      <c r="I27" s="77"/>
      <c r="J27" s="77"/>
      <c r="K27" s="77"/>
      <c r="L27" s="77"/>
    </row>
    <row r="28" spans="1:15" ht="18" customHeight="1" x14ac:dyDescent="0.2">
      <c r="A28" s="21" t="s">
        <v>273</v>
      </c>
      <c r="B28" s="21" t="s">
        <v>272</v>
      </c>
      <c r="C28" s="22">
        <f>'Initial Estimates'!C27-'Cg Calcs'!C27</f>
        <v>19370.420722030714</v>
      </c>
      <c r="D28" s="22" t="s">
        <v>166</v>
      </c>
      <c r="E28" s="21" t="s">
        <v>264</v>
      </c>
      <c r="F28" s="21" t="s">
        <v>25</v>
      </c>
      <c r="G28" s="39" t="s">
        <v>276</v>
      </c>
      <c r="H28" s="77" t="s">
        <v>248</v>
      </c>
      <c r="I28" s="77"/>
      <c r="J28" s="77"/>
      <c r="K28" s="77"/>
      <c r="L28" s="77"/>
    </row>
    <row r="29" spans="1:15" s="58" customFormat="1" ht="18" customHeight="1" x14ac:dyDescent="0.2">
      <c r="A29" s="58" t="s">
        <v>533</v>
      </c>
      <c r="B29" s="58" t="s">
        <v>536</v>
      </c>
      <c r="C29" s="22">
        <f>'Initial Estimates'!C28-'Cg Calcs'!C27</f>
        <v>2893.2554405008841</v>
      </c>
      <c r="D29" s="22" t="s">
        <v>166</v>
      </c>
      <c r="E29" s="58" t="s">
        <v>264</v>
      </c>
      <c r="F29" s="58" t="s">
        <v>25</v>
      </c>
      <c r="G29" s="39" t="s">
        <v>276</v>
      </c>
      <c r="H29" s="77" t="s">
        <v>248</v>
      </c>
      <c r="I29" s="77"/>
      <c r="J29" s="77"/>
      <c r="K29" s="77"/>
      <c r="L29" s="77"/>
      <c r="N29" s="21"/>
      <c r="O29" s="21"/>
    </row>
    <row r="30" spans="1:15" ht="18" customHeight="1" x14ac:dyDescent="0.2">
      <c r="A30" s="21" t="s">
        <v>274</v>
      </c>
      <c r="B30" s="21" t="s">
        <v>275</v>
      </c>
      <c r="C30" s="21">
        <f>C3+'Initial Estimates'!C8/2</f>
        <v>62.569617956186839</v>
      </c>
      <c r="D30" s="22" t="s">
        <v>166</v>
      </c>
      <c r="E30" s="21" t="s">
        <v>33</v>
      </c>
      <c r="F30" s="21" t="s">
        <v>25</v>
      </c>
      <c r="G30" s="39" t="s">
        <v>277</v>
      </c>
      <c r="H30" s="77" t="s">
        <v>248</v>
      </c>
      <c r="I30" s="77"/>
      <c r="J30" s="77"/>
      <c r="K30" s="77"/>
      <c r="L30" s="77"/>
    </row>
    <row r="31" spans="1:15" ht="18" customHeight="1" x14ac:dyDescent="0.2">
      <c r="A31" s="21" t="s">
        <v>278</v>
      </c>
      <c r="B31" s="21" t="s">
        <v>279</v>
      </c>
      <c r="C31" s="21">
        <f>C3+0.5+0.7*0.4*'Initial Estimates'!C8</f>
        <v>60.090986055464626</v>
      </c>
      <c r="D31" s="22" t="s">
        <v>166</v>
      </c>
      <c r="E31" s="21" t="s">
        <v>33</v>
      </c>
      <c r="F31" s="21" t="s">
        <v>25</v>
      </c>
      <c r="G31" s="39" t="s">
        <v>280</v>
      </c>
      <c r="H31" s="77" t="s">
        <v>248</v>
      </c>
      <c r="I31" s="77"/>
      <c r="J31" s="77"/>
      <c r="K31" s="77"/>
      <c r="L31" s="77"/>
      <c r="N31" s="58"/>
      <c r="O31" s="58"/>
    </row>
    <row r="32" spans="1:15" ht="18" customHeight="1" x14ac:dyDescent="0.2">
      <c r="A32" s="21" t="s">
        <v>281</v>
      </c>
      <c r="B32" s="21" t="s">
        <v>282</v>
      </c>
      <c r="C32" s="21">
        <f>C30*C27</f>
        <v>301493.60383918911</v>
      </c>
      <c r="D32" s="22" t="s">
        <v>166</v>
      </c>
      <c r="E32" s="21" t="s">
        <v>265</v>
      </c>
      <c r="F32" s="21" t="s">
        <v>25</v>
      </c>
      <c r="G32" s="38" t="s">
        <v>283</v>
      </c>
      <c r="H32" s="77" t="s">
        <v>248</v>
      </c>
      <c r="I32" s="77"/>
      <c r="J32" s="77"/>
      <c r="K32" s="77"/>
      <c r="L32" s="77"/>
    </row>
    <row r="33" spans="1:15" ht="18" customHeight="1" x14ac:dyDescent="0.2">
      <c r="A33" s="21" t="s">
        <v>284</v>
      </c>
      <c r="B33" s="21" t="s">
        <v>285</v>
      </c>
      <c r="C33" s="21">
        <f xml:space="preserve"> C31*C28</f>
        <v>1163987.6814960307</v>
      </c>
      <c r="D33" s="21" t="s">
        <v>166</v>
      </c>
      <c r="E33" s="21" t="s">
        <v>265</v>
      </c>
      <c r="F33" s="21" t="s">
        <v>25</v>
      </c>
      <c r="G33" s="38" t="s">
        <v>286</v>
      </c>
      <c r="H33" s="77" t="s">
        <v>248</v>
      </c>
      <c r="I33" s="77"/>
      <c r="J33" s="77"/>
      <c r="K33" s="77"/>
      <c r="L33" s="77"/>
    </row>
    <row r="34" spans="1:15" s="58" customFormat="1" ht="18" customHeight="1" x14ac:dyDescent="0.2">
      <c r="A34" s="58" t="s">
        <v>537</v>
      </c>
      <c r="B34" s="58" t="s">
        <v>285</v>
      </c>
      <c r="C34" s="58">
        <f xml:space="preserve"> C31*C29</f>
        <v>173858.57233003579</v>
      </c>
      <c r="D34" s="58" t="s">
        <v>166</v>
      </c>
      <c r="E34" s="58" t="s">
        <v>265</v>
      </c>
      <c r="F34" s="58" t="s">
        <v>25</v>
      </c>
      <c r="G34" s="38" t="s">
        <v>286</v>
      </c>
      <c r="H34" s="77" t="s">
        <v>248</v>
      </c>
      <c r="I34" s="77"/>
      <c r="J34" s="77"/>
      <c r="K34" s="77"/>
      <c r="L34" s="77"/>
      <c r="N34" s="21"/>
      <c r="O34" s="21"/>
    </row>
    <row r="35" spans="1:15" ht="22" customHeight="1" x14ac:dyDescent="0.2">
      <c r="A35" s="85" t="s">
        <v>287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7"/>
    </row>
    <row r="36" spans="1:15" ht="18" customHeight="1" x14ac:dyDescent="0.2">
      <c r="A36" s="32" t="s">
        <v>7</v>
      </c>
      <c r="B36" s="32" t="s">
        <v>137</v>
      </c>
      <c r="C36" s="33" t="s">
        <v>11</v>
      </c>
      <c r="D36" s="33" t="s">
        <v>166</v>
      </c>
      <c r="E36" s="33" t="s">
        <v>12</v>
      </c>
      <c r="F36" s="33" t="s">
        <v>13</v>
      </c>
      <c r="G36" s="40" t="s">
        <v>14</v>
      </c>
      <c r="H36" s="78" t="s">
        <v>15</v>
      </c>
      <c r="I36" s="78"/>
      <c r="J36" s="78"/>
      <c r="K36" s="78"/>
      <c r="L36" s="78"/>
    </row>
    <row r="37" spans="1:15" ht="18" customHeight="1" x14ac:dyDescent="0.2">
      <c r="A37" s="21" t="s">
        <v>314</v>
      </c>
      <c r="B37" s="21" t="s">
        <v>288</v>
      </c>
      <c r="C37" s="22">
        <f>C4+'Initial Estimates'!C52/2</f>
        <v>69.5</v>
      </c>
      <c r="D37" s="22" t="s">
        <v>166</v>
      </c>
      <c r="E37" s="21" t="s">
        <v>33</v>
      </c>
      <c r="F37" s="21" t="s">
        <v>25</v>
      </c>
      <c r="G37" s="39" t="s">
        <v>289</v>
      </c>
      <c r="H37" s="77" t="s">
        <v>248</v>
      </c>
      <c r="I37" s="77"/>
      <c r="J37" s="77"/>
      <c r="K37" s="77"/>
      <c r="L37" s="77"/>
    </row>
    <row r="38" spans="1:15" ht="18" customHeight="1" x14ac:dyDescent="0.2">
      <c r="A38" s="21" t="s">
        <v>290</v>
      </c>
      <c r="B38" s="21" t="s">
        <v>291</v>
      </c>
      <c r="C38" s="22">
        <f>C37*'Initial Estimates'!C23</f>
        <v>339855</v>
      </c>
      <c r="D38" s="22" t="s">
        <v>166</v>
      </c>
      <c r="E38" s="21" t="s">
        <v>265</v>
      </c>
      <c r="F38" s="21" t="s">
        <v>25</v>
      </c>
      <c r="G38" s="39" t="s">
        <v>296</v>
      </c>
      <c r="H38" s="77" t="s">
        <v>248</v>
      </c>
      <c r="I38" s="77"/>
      <c r="J38" s="77"/>
      <c r="K38" s="77"/>
      <c r="L38" s="77"/>
    </row>
    <row r="39" spans="1:15" ht="22" customHeight="1" x14ac:dyDescent="0.2">
      <c r="A39" s="85" t="s">
        <v>297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7"/>
    </row>
    <row r="40" spans="1:15" ht="18" customHeight="1" x14ac:dyDescent="0.2">
      <c r="A40" s="32" t="s">
        <v>7</v>
      </c>
      <c r="B40" s="32" t="s">
        <v>137</v>
      </c>
      <c r="C40" s="33" t="s">
        <v>11</v>
      </c>
      <c r="D40" s="33" t="s">
        <v>166</v>
      </c>
      <c r="E40" s="33" t="s">
        <v>12</v>
      </c>
      <c r="F40" s="33" t="s">
        <v>13</v>
      </c>
      <c r="G40" s="40" t="s">
        <v>14</v>
      </c>
      <c r="H40" s="78" t="s">
        <v>15</v>
      </c>
      <c r="I40" s="78"/>
      <c r="J40" s="78"/>
      <c r="K40" s="78"/>
      <c r="L40" s="78"/>
    </row>
    <row r="41" spans="1:15" ht="18" customHeight="1" x14ac:dyDescent="0.2">
      <c r="A41" s="21" t="s">
        <v>315</v>
      </c>
      <c r="B41" s="21" t="s">
        <v>299</v>
      </c>
      <c r="C41" s="22">
        <f>C5+0.4*'Initial Estimates'!C56</f>
        <v>68.599999999999994</v>
      </c>
      <c r="D41" s="22" t="s">
        <v>166</v>
      </c>
      <c r="E41" s="21" t="s">
        <v>33</v>
      </c>
      <c r="F41" s="21" t="s">
        <v>25</v>
      </c>
      <c r="G41" s="39" t="s">
        <v>301</v>
      </c>
      <c r="H41" s="77" t="s">
        <v>248</v>
      </c>
      <c r="I41" s="77"/>
      <c r="J41" s="77"/>
      <c r="K41" s="77"/>
      <c r="L41" s="77"/>
    </row>
    <row r="42" spans="1:15" ht="18" customHeight="1" x14ac:dyDescent="0.2">
      <c r="A42" s="21" t="s">
        <v>298</v>
      </c>
      <c r="B42" s="21" t="s">
        <v>302</v>
      </c>
      <c r="C42" s="22">
        <f>C41*'Initial Estimates'!C38</f>
        <v>68668.599999999991</v>
      </c>
      <c r="D42" s="22" t="s">
        <v>166</v>
      </c>
      <c r="E42" s="21" t="s">
        <v>265</v>
      </c>
      <c r="F42" s="21" t="s">
        <v>25</v>
      </c>
      <c r="G42" s="39" t="s">
        <v>303</v>
      </c>
      <c r="H42" s="77" t="s">
        <v>248</v>
      </c>
      <c r="I42" s="77"/>
      <c r="J42" s="77"/>
      <c r="K42" s="77"/>
      <c r="L42" s="77"/>
    </row>
    <row r="43" spans="1:15" ht="22" customHeight="1" x14ac:dyDescent="0.2">
      <c r="A43" s="85" t="s">
        <v>304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7"/>
    </row>
    <row r="44" spans="1:15" ht="18" customHeight="1" x14ac:dyDescent="0.2">
      <c r="A44" s="32" t="s">
        <v>7</v>
      </c>
      <c r="B44" s="32" t="s">
        <v>137</v>
      </c>
      <c r="C44" s="33" t="s">
        <v>11</v>
      </c>
      <c r="D44" s="33" t="s">
        <v>166</v>
      </c>
      <c r="E44" s="33" t="s">
        <v>12</v>
      </c>
      <c r="F44" s="33" t="s">
        <v>13</v>
      </c>
      <c r="G44" s="40" t="s">
        <v>14</v>
      </c>
      <c r="H44" s="78" t="s">
        <v>15</v>
      </c>
      <c r="I44" s="78"/>
      <c r="J44" s="78"/>
      <c r="K44" s="78"/>
      <c r="L44" s="78"/>
    </row>
    <row r="45" spans="1:15" ht="18" customHeight="1" x14ac:dyDescent="0.2">
      <c r="A45" s="21" t="s">
        <v>309</v>
      </c>
      <c r="B45" s="21" t="s">
        <v>311</v>
      </c>
      <c r="C45" s="22">
        <f>C10+0.42</f>
        <v>81.42</v>
      </c>
      <c r="D45" s="22" t="s">
        <v>166</v>
      </c>
      <c r="E45" s="21" t="s">
        <v>33</v>
      </c>
      <c r="F45" s="21" t="s">
        <v>25</v>
      </c>
      <c r="G45" s="39" t="s">
        <v>317</v>
      </c>
      <c r="H45" s="77" t="s">
        <v>248</v>
      </c>
      <c r="I45" s="77"/>
      <c r="J45" s="77"/>
      <c r="K45" s="77"/>
      <c r="L45" s="77"/>
    </row>
    <row r="46" spans="1:15" ht="18" customHeight="1" x14ac:dyDescent="0.2">
      <c r="A46" s="21" t="s">
        <v>310</v>
      </c>
      <c r="B46" s="21" t="s">
        <v>312</v>
      </c>
      <c r="C46" s="22">
        <f>C11+0.42</f>
        <v>81.42</v>
      </c>
      <c r="D46" s="22" t="s">
        <v>166</v>
      </c>
      <c r="E46" s="21" t="s">
        <v>33</v>
      </c>
      <c r="F46" s="21" t="s">
        <v>25</v>
      </c>
      <c r="G46" s="39" t="s">
        <v>317</v>
      </c>
      <c r="H46" s="77" t="s">
        <v>248</v>
      </c>
      <c r="I46" s="77"/>
      <c r="J46" s="77"/>
      <c r="K46" s="77"/>
      <c r="L46" s="77"/>
    </row>
    <row r="47" spans="1:15" ht="18" customHeight="1" x14ac:dyDescent="0.2">
      <c r="A47" s="21" t="s">
        <v>307</v>
      </c>
      <c r="B47" s="21" t="s">
        <v>308</v>
      </c>
      <c r="C47" s="22">
        <f>C46*'Initial Estimates'!C34</f>
        <v>100879.38</v>
      </c>
      <c r="D47" s="22" t="s">
        <v>166</v>
      </c>
      <c r="E47" s="21" t="s">
        <v>265</v>
      </c>
      <c r="F47" s="21" t="s">
        <v>25</v>
      </c>
      <c r="G47" s="39" t="s">
        <v>318</v>
      </c>
      <c r="H47" s="77" t="s">
        <v>248</v>
      </c>
      <c r="I47" s="77"/>
      <c r="J47" s="77"/>
      <c r="K47" s="77"/>
      <c r="L47" s="77"/>
    </row>
    <row r="48" spans="1:15" ht="22" customHeight="1" x14ac:dyDescent="0.2">
      <c r="A48" s="85" t="s">
        <v>305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7"/>
    </row>
    <row r="49" spans="1:12" ht="18" customHeight="1" x14ac:dyDescent="0.2">
      <c r="A49" s="32" t="s">
        <v>7</v>
      </c>
      <c r="B49" s="32" t="s">
        <v>137</v>
      </c>
      <c r="C49" s="33" t="s">
        <v>11</v>
      </c>
      <c r="D49" s="33" t="s">
        <v>166</v>
      </c>
      <c r="E49" s="33" t="s">
        <v>12</v>
      </c>
      <c r="F49" s="33" t="s">
        <v>13</v>
      </c>
      <c r="G49" s="40" t="s">
        <v>14</v>
      </c>
      <c r="H49" s="78" t="s">
        <v>15</v>
      </c>
      <c r="I49" s="78"/>
      <c r="J49" s="78"/>
      <c r="K49" s="78"/>
      <c r="L49" s="78"/>
    </row>
    <row r="50" spans="1:12" ht="18" customHeight="1" x14ac:dyDescent="0.2">
      <c r="A50" s="21" t="s">
        <v>313</v>
      </c>
      <c r="B50" s="21" t="s">
        <v>316</v>
      </c>
      <c r="C50" s="21">
        <f>C8+0.47*'Initial Estimates'!C50</f>
        <v>33.319900000000004</v>
      </c>
      <c r="D50" s="22" t="s">
        <v>166</v>
      </c>
      <c r="E50" s="21" t="s">
        <v>33</v>
      </c>
      <c r="F50" s="21" t="s">
        <v>25</v>
      </c>
      <c r="G50" s="39" t="s">
        <v>319</v>
      </c>
      <c r="H50" s="77" t="s">
        <v>248</v>
      </c>
      <c r="I50" s="77"/>
      <c r="J50" s="77"/>
      <c r="K50" s="77"/>
      <c r="L50" s="77"/>
    </row>
    <row r="51" spans="1:12" ht="18" customHeight="1" x14ac:dyDescent="0.2">
      <c r="A51" s="21" t="s">
        <v>320</v>
      </c>
      <c r="B51" s="21" t="s">
        <v>321</v>
      </c>
      <c r="C51" s="21">
        <f>C50*'Initial Estimates'!C35</f>
        <v>244901.26500000004</v>
      </c>
      <c r="D51" s="22" t="s">
        <v>166</v>
      </c>
      <c r="E51" s="21" t="s">
        <v>265</v>
      </c>
      <c r="F51" s="21" t="s">
        <v>25</v>
      </c>
      <c r="G51" s="39" t="s">
        <v>322</v>
      </c>
      <c r="H51" s="77" t="s">
        <v>248</v>
      </c>
      <c r="I51" s="77"/>
      <c r="J51" s="77"/>
      <c r="K51" s="77"/>
      <c r="L51" s="77"/>
    </row>
    <row r="52" spans="1:12" ht="22" customHeight="1" x14ac:dyDescent="0.2">
      <c r="A52" s="85" t="s">
        <v>306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7"/>
    </row>
    <row r="53" spans="1:12" ht="18" customHeight="1" x14ac:dyDescent="0.2">
      <c r="A53" s="32" t="s">
        <v>7</v>
      </c>
      <c r="B53" s="32" t="s">
        <v>137</v>
      </c>
      <c r="C53" s="33" t="s">
        <v>11</v>
      </c>
      <c r="D53" s="33" t="s">
        <v>166</v>
      </c>
      <c r="E53" s="33" t="s">
        <v>12</v>
      </c>
      <c r="F53" s="33" t="s">
        <v>13</v>
      </c>
      <c r="G53" s="40" t="s">
        <v>14</v>
      </c>
      <c r="H53" s="78" t="s">
        <v>15</v>
      </c>
      <c r="I53" s="78"/>
      <c r="J53" s="78"/>
      <c r="K53" s="78"/>
      <c r="L53" s="78"/>
    </row>
    <row r="54" spans="1:12" ht="18" customHeight="1" x14ac:dyDescent="0.2">
      <c r="A54" s="21" t="s">
        <v>323</v>
      </c>
      <c r="B54" s="21" t="s">
        <v>324</v>
      </c>
      <c r="C54" s="21">
        <f>C6+2/3*C7</f>
        <v>30.6</v>
      </c>
      <c r="D54" s="21" t="s">
        <v>166</v>
      </c>
      <c r="E54" s="21" t="s">
        <v>33</v>
      </c>
      <c r="F54" s="21" t="s">
        <v>25</v>
      </c>
      <c r="G54" s="39" t="s">
        <v>335</v>
      </c>
      <c r="H54" s="77" t="s">
        <v>248</v>
      </c>
      <c r="I54" s="77"/>
      <c r="J54" s="77"/>
      <c r="K54" s="77"/>
      <c r="L54" s="77"/>
    </row>
    <row r="55" spans="1:12" ht="18" customHeight="1" x14ac:dyDescent="0.2">
      <c r="A55" s="21" t="s">
        <v>325</v>
      </c>
      <c r="B55" s="21" t="s">
        <v>326</v>
      </c>
      <c r="C55" s="21">
        <f>C54*'Initial Estimates'!C36</f>
        <v>99174.6</v>
      </c>
      <c r="D55" s="21" t="s">
        <v>166</v>
      </c>
      <c r="E55" s="21" t="s">
        <v>265</v>
      </c>
      <c r="F55" s="21" t="s">
        <v>25</v>
      </c>
      <c r="G55" s="38" t="s">
        <v>327</v>
      </c>
      <c r="H55" s="77" t="s">
        <v>248</v>
      </c>
      <c r="I55" s="77"/>
      <c r="J55" s="77"/>
      <c r="K55" s="77"/>
      <c r="L55" s="77"/>
    </row>
    <row r="56" spans="1:12" ht="22" customHeight="1" x14ac:dyDescent="0.2">
      <c r="A56" s="85" t="s">
        <v>534</v>
      </c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7"/>
    </row>
    <row r="57" spans="1:12" ht="18" customHeight="1" x14ac:dyDescent="0.2">
      <c r="A57" s="32" t="s">
        <v>7</v>
      </c>
      <c r="B57" s="32" t="s">
        <v>137</v>
      </c>
      <c r="C57" s="33" t="s">
        <v>11</v>
      </c>
      <c r="D57" s="33" t="s">
        <v>166</v>
      </c>
      <c r="E57" s="33" t="s">
        <v>12</v>
      </c>
      <c r="F57" s="33" t="s">
        <v>13</v>
      </c>
      <c r="G57" s="40" t="s">
        <v>14</v>
      </c>
      <c r="H57" s="78" t="s">
        <v>15</v>
      </c>
      <c r="I57" s="78"/>
      <c r="J57" s="78"/>
      <c r="K57" s="78"/>
      <c r="L57" s="78"/>
    </row>
    <row r="58" spans="1:12" ht="18" customHeight="1" x14ac:dyDescent="0.2">
      <c r="A58" s="21" t="s">
        <v>328</v>
      </c>
      <c r="B58" s="21" t="s">
        <v>332</v>
      </c>
      <c r="C58" s="21">
        <f xml:space="preserve"> $C$14+'Initial Estimates'!$C$53/2</f>
        <v>26.599999999999998</v>
      </c>
      <c r="D58" s="21" t="s">
        <v>166</v>
      </c>
      <c r="E58" s="21" t="s">
        <v>33</v>
      </c>
      <c r="F58" s="21" t="s">
        <v>25</v>
      </c>
      <c r="G58" s="39" t="s">
        <v>336</v>
      </c>
      <c r="H58" s="77" t="s">
        <v>248</v>
      </c>
      <c r="I58" s="77"/>
      <c r="J58" s="77"/>
      <c r="K58" s="77"/>
      <c r="L58" s="77"/>
    </row>
    <row r="59" spans="1:12" ht="18" customHeight="1" x14ac:dyDescent="0.2">
      <c r="A59" s="21" t="s">
        <v>329</v>
      </c>
      <c r="B59" s="21" t="s">
        <v>333</v>
      </c>
      <c r="C59" s="21">
        <f xml:space="preserve"> $C$15+'Initial Estimates'!$C$53/2</f>
        <v>37.4</v>
      </c>
      <c r="D59" s="21" t="s">
        <v>166</v>
      </c>
      <c r="E59" s="21" t="s">
        <v>33</v>
      </c>
      <c r="F59" s="21" t="s">
        <v>25</v>
      </c>
      <c r="G59" s="39" t="s">
        <v>337</v>
      </c>
      <c r="H59" s="77" t="s">
        <v>248</v>
      </c>
      <c r="I59" s="77"/>
      <c r="J59" s="77"/>
      <c r="K59" s="77"/>
      <c r="L59" s="77"/>
    </row>
    <row r="60" spans="1:12" ht="18" customHeight="1" x14ac:dyDescent="0.2">
      <c r="A60" s="21" t="s">
        <v>331</v>
      </c>
      <c r="B60" s="21" t="s">
        <v>334</v>
      </c>
      <c r="C60" s="21">
        <f xml:space="preserve"> $C$16+'Initial Estimates'!$C$53/2</f>
        <v>47.75</v>
      </c>
      <c r="D60" s="21" t="s">
        <v>166</v>
      </c>
      <c r="E60" s="21" t="s">
        <v>33</v>
      </c>
      <c r="F60" s="21" t="s">
        <v>25</v>
      </c>
      <c r="G60" s="39" t="s">
        <v>337</v>
      </c>
      <c r="H60" s="77" t="s">
        <v>248</v>
      </c>
      <c r="I60" s="77"/>
      <c r="J60" s="77"/>
      <c r="K60" s="77"/>
      <c r="L60" s="77"/>
    </row>
    <row r="61" spans="1:12" ht="18" customHeight="1" x14ac:dyDescent="0.2">
      <c r="A61" s="21" t="s">
        <v>338</v>
      </c>
      <c r="B61" s="21" t="s">
        <v>341</v>
      </c>
      <c r="C61" s="21">
        <f>'Initial Estimates'!$C$44*('Initial Estimates'!$C$40+'Initial Estimates'!$C$43)</f>
        <v>980</v>
      </c>
      <c r="D61" s="21" t="s">
        <v>166</v>
      </c>
      <c r="E61" s="21" t="s">
        <v>264</v>
      </c>
      <c r="F61" s="21" t="s">
        <v>25</v>
      </c>
      <c r="G61" s="38" t="s">
        <v>351</v>
      </c>
      <c r="H61" s="77" t="s">
        <v>248</v>
      </c>
      <c r="I61" s="77"/>
      <c r="J61" s="77"/>
      <c r="K61" s="77"/>
      <c r="L61" s="77"/>
    </row>
    <row r="62" spans="1:12" ht="18" customHeight="1" x14ac:dyDescent="0.2">
      <c r="A62" s="21" t="s">
        <v>339</v>
      </c>
      <c r="B62" s="21" t="s">
        <v>342</v>
      </c>
      <c r="C62" s="58">
        <f>'Initial Estimates'!$C$45*('Initial Estimates'!$C$40+'Initial Estimates'!$C$43)</f>
        <v>980</v>
      </c>
      <c r="D62" s="21" t="s">
        <v>166</v>
      </c>
      <c r="E62" s="21" t="s">
        <v>264</v>
      </c>
      <c r="F62" s="21" t="s">
        <v>25</v>
      </c>
      <c r="G62" s="38" t="s">
        <v>351</v>
      </c>
      <c r="H62" s="77" t="s">
        <v>248</v>
      </c>
      <c r="I62" s="77"/>
      <c r="J62" s="77"/>
      <c r="K62" s="77"/>
      <c r="L62" s="77"/>
    </row>
    <row r="63" spans="1:12" ht="18" customHeight="1" x14ac:dyDescent="0.2">
      <c r="A63" s="21" t="s">
        <v>340</v>
      </c>
      <c r="B63" s="21" t="s">
        <v>343</v>
      </c>
      <c r="C63" s="58">
        <f>'Initial Estimates'!$C$46*('Initial Estimates'!$C$40+'Initial Estimates'!$C$43)</f>
        <v>980</v>
      </c>
      <c r="D63" s="21" t="s">
        <v>166</v>
      </c>
      <c r="E63" s="21" t="s">
        <v>264</v>
      </c>
      <c r="F63" s="21" t="s">
        <v>25</v>
      </c>
      <c r="G63" s="38" t="s">
        <v>351</v>
      </c>
      <c r="H63" s="77" t="s">
        <v>248</v>
      </c>
      <c r="I63" s="77"/>
      <c r="J63" s="77"/>
      <c r="K63" s="77"/>
      <c r="L63" s="77"/>
    </row>
    <row r="64" spans="1:12" ht="18" customHeight="1" x14ac:dyDescent="0.2">
      <c r="A64" s="21" t="s">
        <v>352</v>
      </c>
      <c r="B64" s="21" t="s">
        <v>353</v>
      </c>
      <c r="C64" s="21">
        <f xml:space="preserve"> 2*'Initial Estimates'!$C$42+2*'Initial Estimates'!$C$43</f>
        <v>480</v>
      </c>
      <c r="D64" s="21" t="s">
        <v>166</v>
      </c>
      <c r="E64" s="21" t="s">
        <v>264</v>
      </c>
      <c r="F64" s="21" t="s">
        <v>25</v>
      </c>
      <c r="G64" s="38" t="s">
        <v>354</v>
      </c>
      <c r="H64" s="77" t="s">
        <v>248</v>
      </c>
      <c r="I64" s="77"/>
      <c r="J64" s="77"/>
      <c r="K64" s="77"/>
      <c r="L64" s="77"/>
    </row>
    <row r="65" spans="1:15" ht="18" customHeight="1" x14ac:dyDescent="0.2">
      <c r="A65" s="21" t="s">
        <v>355</v>
      </c>
      <c r="B65" s="21" t="s">
        <v>242</v>
      </c>
      <c r="C65" s="21">
        <f xml:space="preserve"> 'Initial Estimates'!$C$41+'Initial Estimates'!$C$43</f>
        <v>230</v>
      </c>
      <c r="D65" s="21" t="s">
        <v>166</v>
      </c>
      <c r="E65" s="21" t="s">
        <v>264</v>
      </c>
      <c r="F65" s="21" t="s">
        <v>25</v>
      </c>
      <c r="G65" s="38" t="s">
        <v>354</v>
      </c>
      <c r="H65" s="77" t="s">
        <v>248</v>
      </c>
      <c r="I65" s="77"/>
      <c r="J65" s="77"/>
      <c r="K65" s="77"/>
      <c r="L65" s="77"/>
    </row>
    <row r="66" spans="1:15" ht="18" customHeight="1" x14ac:dyDescent="0.2">
      <c r="A66" s="21" t="s">
        <v>356</v>
      </c>
      <c r="B66" s="21" t="s">
        <v>357</v>
      </c>
      <c r="C66" s="21">
        <f xml:space="preserve"> C61*C58</f>
        <v>26067.999999999996</v>
      </c>
      <c r="D66" s="21" t="s">
        <v>166</v>
      </c>
      <c r="E66" s="21" t="s">
        <v>265</v>
      </c>
      <c r="F66" s="21" t="s">
        <v>25</v>
      </c>
      <c r="G66" s="38" t="s">
        <v>362</v>
      </c>
      <c r="H66" s="77" t="s">
        <v>248</v>
      </c>
      <c r="I66" s="77"/>
      <c r="J66" s="77"/>
      <c r="K66" s="77"/>
      <c r="L66" s="77"/>
    </row>
    <row r="67" spans="1:15" ht="18" customHeight="1" x14ac:dyDescent="0.2">
      <c r="A67" s="21" t="s">
        <v>358</v>
      </c>
      <c r="B67" s="21" t="s">
        <v>360</v>
      </c>
      <c r="C67" s="21">
        <f xml:space="preserve"> C62*C59</f>
        <v>36652</v>
      </c>
      <c r="D67" s="21" t="s">
        <v>166</v>
      </c>
      <c r="E67" s="21" t="s">
        <v>265</v>
      </c>
      <c r="F67" s="21" t="s">
        <v>25</v>
      </c>
      <c r="G67" s="38" t="s">
        <v>362</v>
      </c>
      <c r="H67" s="77" t="s">
        <v>248</v>
      </c>
      <c r="I67" s="77"/>
      <c r="J67" s="77"/>
      <c r="K67" s="77"/>
      <c r="L67" s="77"/>
    </row>
    <row r="68" spans="1:15" ht="18" customHeight="1" x14ac:dyDescent="0.2">
      <c r="A68" s="21" t="s">
        <v>359</v>
      </c>
      <c r="B68" s="21" t="s">
        <v>361</v>
      </c>
      <c r="C68" s="21">
        <f xml:space="preserve"> C63*C60</f>
        <v>46795</v>
      </c>
      <c r="D68" s="21" t="s">
        <v>166</v>
      </c>
      <c r="E68" s="21" t="s">
        <v>265</v>
      </c>
      <c r="F68" s="21" t="s">
        <v>25</v>
      </c>
      <c r="G68" s="38" t="s">
        <v>362</v>
      </c>
      <c r="H68" s="77" t="s">
        <v>248</v>
      </c>
      <c r="I68" s="77"/>
      <c r="J68" s="77"/>
      <c r="K68" s="77"/>
      <c r="L68" s="77"/>
      <c r="N68" s="58"/>
      <c r="O68" s="58"/>
    </row>
    <row r="69" spans="1:15" ht="18" customHeight="1" x14ac:dyDescent="0.2">
      <c r="A69" s="21" t="s">
        <v>363</v>
      </c>
      <c r="B69" s="21" t="s">
        <v>364</v>
      </c>
      <c r="C69" s="21">
        <f>$C$12*C64</f>
        <v>2160</v>
      </c>
      <c r="D69" s="21" t="s">
        <v>166</v>
      </c>
      <c r="E69" s="21" t="s">
        <v>265</v>
      </c>
      <c r="F69" s="21" t="s">
        <v>25</v>
      </c>
      <c r="G69" s="38" t="s">
        <v>367</v>
      </c>
      <c r="H69" s="77" t="s">
        <v>248</v>
      </c>
      <c r="I69" s="77"/>
      <c r="J69" s="77"/>
      <c r="K69" s="77"/>
      <c r="L69" s="77"/>
      <c r="N69" s="58"/>
      <c r="O69" s="58"/>
    </row>
    <row r="70" spans="1:15" ht="18" customHeight="1" x14ac:dyDescent="0.2">
      <c r="A70" s="21" t="s">
        <v>365</v>
      </c>
      <c r="B70" s="21" t="s">
        <v>366</v>
      </c>
      <c r="C70" s="21">
        <f>C65*$C$13</f>
        <v>3105</v>
      </c>
      <c r="D70" s="21" t="s">
        <v>166</v>
      </c>
      <c r="E70" s="21" t="s">
        <v>265</v>
      </c>
      <c r="F70" s="21" t="s">
        <v>25</v>
      </c>
      <c r="G70" s="38" t="s">
        <v>367</v>
      </c>
      <c r="H70" s="77" t="s">
        <v>248</v>
      </c>
      <c r="I70" s="77"/>
      <c r="J70" s="77"/>
      <c r="K70" s="77"/>
      <c r="L70" s="77"/>
      <c r="N70" s="58"/>
      <c r="O70" s="58"/>
    </row>
    <row r="71" spans="1:15" s="58" customFormat="1" ht="22" customHeight="1" x14ac:dyDescent="0.2">
      <c r="A71" s="85" t="s">
        <v>535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7"/>
    </row>
    <row r="72" spans="1:15" s="58" customFormat="1" ht="18" customHeight="1" x14ac:dyDescent="0.2">
      <c r="A72" s="32" t="s">
        <v>7</v>
      </c>
      <c r="B72" s="32" t="s">
        <v>137</v>
      </c>
      <c r="C72" s="59" t="s">
        <v>11</v>
      </c>
      <c r="D72" s="59" t="s">
        <v>166</v>
      </c>
      <c r="E72" s="59" t="s">
        <v>12</v>
      </c>
      <c r="F72" s="59" t="s">
        <v>13</v>
      </c>
      <c r="G72" s="40" t="s">
        <v>14</v>
      </c>
      <c r="H72" s="78" t="s">
        <v>15</v>
      </c>
      <c r="I72" s="78"/>
      <c r="J72" s="78"/>
      <c r="K72" s="78"/>
      <c r="L72" s="78"/>
    </row>
    <row r="73" spans="1:15" s="58" customFormat="1" ht="18" customHeight="1" x14ac:dyDescent="0.2">
      <c r="A73" s="58" t="s">
        <v>328</v>
      </c>
      <c r="B73" s="58" t="s">
        <v>332</v>
      </c>
      <c r="C73" s="58">
        <f xml:space="preserve"> $C$14+'Initial Estimates'!$C$53/2</f>
        <v>26.599999999999998</v>
      </c>
      <c r="D73" s="58" t="s">
        <v>166</v>
      </c>
      <c r="E73" s="58" t="s">
        <v>33</v>
      </c>
      <c r="F73" s="58" t="s">
        <v>25</v>
      </c>
      <c r="G73" s="39" t="s">
        <v>336</v>
      </c>
      <c r="H73" s="77" t="s">
        <v>248</v>
      </c>
      <c r="I73" s="77"/>
      <c r="J73" s="77"/>
      <c r="K73" s="77"/>
      <c r="L73" s="77"/>
    </row>
    <row r="74" spans="1:15" s="58" customFormat="1" ht="18" customHeight="1" x14ac:dyDescent="0.2">
      <c r="A74" s="58" t="s">
        <v>329</v>
      </c>
      <c r="B74" s="58" t="s">
        <v>333</v>
      </c>
      <c r="C74" s="58">
        <f xml:space="preserve"> $C$15+'Initial Estimates'!$C$53/2</f>
        <v>37.4</v>
      </c>
      <c r="D74" s="58" t="s">
        <v>166</v>
      </c>
      <c r="E74" s="58" t="s">
        <v>33</v>
      </c>
      <c r="F74" s="58" t="s">
        <v>25</v>
      </c>
      <c r="G74" s="39" t="s">
        <v>337</v>
      </c>
      <c r="H74" s="77" t="s">
        <v>248</v>
      </c>
      <c r="I74" s="77"/>
      <c r="J74" s="77"/>
      <c r="K74" s="77"/>
      <c r="L74" s="77"/>
    </row>
    <row r="75" spans="1:15" s="58" customFormat="1" ht="18" customHeight="1" x14ac:dyDescent="0.2">
      <c r="A75" s="58" t="s">
        <v>331</v>
      </c>
      <c r="B75" s="58" t="s">
        <v>334</v>
      </c>
      <c r="C75" s="58">
        <f xml:space="preserve"> $C$16+'Initial Estimates'!$C$53/2</f>
        <v>47.75</v>
      </c>
      <c r="D75" s="58" t="s">
        <v>166</v>
      </c>
      <c r="E75" s="58" t="s">
        <v>33</v>
      </c>
      <c r="F75" s="58" t="s">
        <v>25</v>
      </c>
      <c r="G75" s="39" t="s">
        <v>337</v>
      </c>
      <c r="H75" s="77" t="s">
        <v>248</v>
      </c>
      <c r="I75" s="77"/>
      <c r="J75" s="77"/>
      <c r="K75" s="77"/>
      <c r="L75" s="77"/>
    </row>
    <row r="76" spans="1:15" s="58" customFormat="1" ht="18" customHeight="1" x14ac:dyDescent="0.2">
      <c r="A76" s="58" t="s">
        <v>338</v>
      </c>
      <c r="B76" s="58" t="s">
        <v>341</v>
      </c>
      <c r="C76" s="58">
        <f>'Initial Estimates'!$C$44*('Initial Estimates'!$C$40)</f>
        <v>180</v>
      </c>
      <c r="D76" s="58" t="s">
        <v>166</v>
      </c>
      <c r="E76" s="58" t="s">
        <v>264</v>
      </c>
      <c r="F76" s="58" t="s">
        <v>25</v>
      </c>
      <c r="G76" s="38" t="s">
        <v>351</v>
      </c>
      <c r="H76" s="77" t="s">
        <v>248</v>
      </c>
      <c r="I76" s="77"/>
      <c r="J76" s="77"/>
      <c r="K76" s="77"/>
      <c r="L76" s="77"/>
    </row>
    <row r="77" spans="1:15" s="58" customFormat="1" ht="18" customHeight="1" x14ac:dyDescent="0.2">
      <c r="A77" s="58" t="s">
        <v>339</v>
      </c>
      <c r="B77" s="58" t="s">
        <v>342</v>
      </c>
      <c r="C77" s="58">
        <f>'Initial Estimates'!$C$45*('Initial Estimates'!$C$40)</f>
        <v>180</v>
      </c>
      <c r="D77" s="58" t="s">
        <v>166</v>
      </c>
      <c r="E77" s="58" t="s">
        <v>264</v>
      </c>
      <c r="F77" s="58" t="s">
        <v>25</v>
      </c>
      <c r="G77" s="38" t="s">
        <v>351</v>
      </c>
      <c r="H77" s="77" t="s">
        <v>248</v>
      </c>
      <c r="I77" s="77"/>
      <c r="J77" s="77"/>
      <c r="K77" s="77"/>
      <c r="L77" s="77"/>
    </row>
    <row r="78" spans="1:15" s="58" customFormat="1" ht="18" customHeight="1" x14ac:dyDescent="0.2">
      <c r="A78" s="58" t="s">
        <v>340</v>
      </c>
      <c r="B78" s="58" t="s">
        <v>343</v>
      </c>
      <c r="C78" s="58">
        <f>'Initial Estimates'!$C$46*('Initial Estimates'!$C$40)</f>
        <v>180</v>
      </c>
      <c r="D78" s="58" t="s">
        <v>166</v>
      </c>
      <c r="E78" s="58" t="s">
        <v>264</v>
      </c>
      <c r="F78" s="58" t="s">
        <v>25</v>
      </c>
      <c r="G78" s="38" t="s">
        <v>351</v>
      </c>
      <c r="H78" s="77" t="s">
        <v>248</v>
      </c>
      <c r="I78" s="77"/>
      <c r="J78" s="77"/>
      <c r="K78" s="77"/>
      <c r="L78" s="77"/>
    </row>
    <row r="79" spans="1:15" s="58" customFormat="1" ht="18" customHeight="1" x14ac:dyDescent="0.2">
      <c r="A79" s="58" t="s">
        <v>352</v>
      </c>
      <c r="B79" s="58" t="s">
        <v>353</v>
      </c>
      <c r="C79" s="58">
        <f xml:space="preserve"> 2*'Initial Estimates'!$C$42+2*'Initial Estimates'!$C$43</f>
        <v>480</v>
      </c>
      <c r="D79" s="58" t="s">
        <v>166</v>
      </c>
      <c r="E79" s="58" t="s">
        <v>264</v>
      </c>
      <c r="F79" s="58" t="s">
        <v>25</v>
      </c>
      <c r="G79" s="38" t="s">
        <v>354</v>
      </c>
      <c r="H79" s="77" t="s">
        <v>248</v>
      </c>
      <c r="I79" s="77"/>
      <c r="J79" s="77"/>
      <c r="K79" s="77"/>
      <c r="L79" s="77"/>
    </row>
    <row r="80" spans="1:15" s="58" customFormat="1" ht="18" customHeight="1" x14ac:dyDescent="0.2">
      <c r="A80" s="58" t="s">
        <v>355</v>
      </c>
      <c r="B80" s="58" t="s">
        <v>242</v>
      </c>
      <c r="C80" s="58">
        <f xml:space="preserve"> 'Initial Estimates'!$C$41</f>
        <v>30</v>
      </c>
      <c r="D80" s="58" t="s">
        <v>166</v>
      </c>
      <c r="E80" s="58" t="s">
        <v>264</v>
      </c>
      <c r="F80" s="58" t="s">
        <v>25</v>
      </c>
      <c r="G80" s="38" t="s">
        <v>354</v>
      </c>
      <c r="H80" s="77" t="s">
        <v>248</v>
      </c>
      <c r="I80" s="77"/>
      <c r="J80" s="77"/>
      <c r="K80" s="77"/>
      <c r="L80" s="77"/>
    </row>
    <row r="81" spans="1:15" s="58" customFormat="1" ht="18" customHeight="1" x14ac:dyDescent="0.2">
      <c r="A81" s="58" t="s">
        <v>356</v>
      </c>
      <c r="B81" s="58" t="s">
        <v>357</v>
      </c>
      <c r="C81" s="58">
        <f xml:space="preserve"> C76*C73</f>
        <v>4788</v>
      </c>
      <c r="D81" s="58" t="s">
        <v>166</v>
      </c>
      <c r="E81" s="58" t="s">
        <v>265</v>
      </c>
      <c r="F81" s="58" t="s">
        <v>25</v>
      </c>
      <c r="G81" s="38" t="s">
        <v>362</v>
      </c>
      <c r="H81" s="77" t="s">
        <v>248</v>
      </c>
      <c r="I81" s="77"/>
      <c r="J81" s="77"/>
      <c r="K81" s="77"/>
      <c r="L81" s="77"/>
    </row>
    <row r="82" spans="1:15" s="58" customFormat="1" ht="18" customHeight="1" x14ac:dyDescent="0.2">
      <c r="A82" s="58" t="s">
        <v>358</v>
      </c>
      <c r="B82" s="58" t="s">
        <v>360</v>
      </c>
      <c r="C82" s="58">
        <f xml:space="preserve"> C77*C74</f>
        <v>6732</v>
      </c>
      <c r="D82" s="58" t="s">
        <v>166</v>
      </c>
      <c r="E82" s="58" t="s">
        <v>265</v>
      </c>
      <c r="F82" s="58" t="s">
        <v>25</v>
      </c>
      <c r="G82" s="38" t="s">
        <v>362</v>
      </c>
      <c r="H82" s="77" t="s">
        <v>248</v>
      </c>
      <c r="I82" s="77"/>
      <c r="J82" s="77"/>
      <c r="K82" s="77"/>
      <c r="L82" s="77"/>
    </row>
    <row r="83" spans="1:15" s="58" customFormat="1" ht="18" customHeight="1" x14ac:dyDescent="0.2">
      <c r="A83" s="58" t="s">
        <v>359</v>
      </c>
      <c r="B83" s="58" t="s">
        <v>361</v>
      </c>
      <c r="C83" s="58">
        <f xml:space="preserve"> C78*C75</f>
        <v>8595</v>
      </c>
      <c r="D83" s="58" t="s">
        <v>166</v>
      </c>
      <c r="E83" s="58" t="s">
        <v>265</v>
      </c>
      <c r="F83" s="58" t="s">
        <v>25</v>
      </c>
      <c r="G83" s="38" t="s">
        <v>362</v>
      </c>
      <c r="H83" s="77" t="s">
        <v>248</v>
      </c>
      <c r="I83" s="77"/>
      <c r="J83" s="77"/>
      <c r="K83" s="77"/>
      <c r="L83" s="77"/>
      <c r="N83" s="21"/>
      <c r="O83" s="21"/>
    </row>
    <row r="84" spans="1:15" s="58" customFormat="1" ht="18" customHeight="1" x14ac:dyDescent="0.2">
      <c r="A84" s="58" t="s">
        <v>363</v>
      </c>
      <c r="B84" s="58" t="s">
        <v>364</v>
      </c>
      <c r="C84" s="58">
        <f>$C$12*C79</f>
        <v>2160</v>
      </c>
      <c r="D84" s="58" t="s">
        <v>166</v>
      </c>
      <c r="E84" s="58" t="s">
        <v>265</v>
      </c>
      <c r="F84" s="58" t="s">
        <v>25</v>
      </c>
      <c r="G84" s="38" t="s">
        <v>367</v>
      </c>
      <c r="H84" s="77" t="s">
        <v>248</v>
      </c>
      <c r="I84" s="77"/>
      <c r="J84" s="77"/>
      <c r="K84" s="77"/>
      <c r="L84" s="77"/>
      <c r="N84" s="21"/>
      <c r="O84" s="21"/>
    </row>
    <row r="85" spans="1:15" s="58" customFormat="1" ht="18" customHeight="1" x14ac:dyDescent="0.2">
      <c r="A85" s="58" t="s">
        <v>365</v>
      </c>
      <c r="B85" s="58" t="s">
        <v>366</v>
      </c>
      <c r="C85" s="58">
        <f>C80*$C$13</f>
        <v>405</v>
      </c>
      <c r="D85" s="58" t="s">
        <v>166</v>
      </c>
      <c r="E85" s="58" t="s">
        <v>265</v>
      </c>
      <c r="F85" s="58" t="s">
        <v>25</v>
      </c>
      <c r="G85" s="38" t="s">
        <v>367</v>
      </c>
      <c r="H85" s="77" t="s">
        <v>248</v>
      </c>
      <c r="I85" s="77"/>
      <c r="J85" s="77"/>
      <c r="K85" s="77"/>
      <c r="L85" s="77"/>
      <c r="N85" s="21"/>
      <c r="O85" s="21"/>
    </row>
    <row r="86" spans="1:15" ht="22" customHeight="1" x14ac:dyDescent="0.2">
      <c r="A86" s="85" t="s">
        <v>531</v>
      </c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7"/>
    </row>
    <row r="87" spans="1:15" ht="18" customHeight="1" x14ac:dyDescent="0.2">
      <c r="A87" s="32" t="s">
        <v>7</v>
      </c>
      <c r="B87" s="32" t="s">
        <v>137</v>
      </c>
      <c r="C87" s="33" t="s">
        <v>11</v>
      </c>
      <c r="D87" s="33" t="s">
        <v>166</v>
      </c>
      <c r="E87" s="33" t="s">
        <v>12</v>
      </c>
      <c r="F87" s="33" t="s">
        <v>13</v>
      </c>
      <c r="G87" s="40" t="s">
        <v>14</v>
      </c>
      <c r="H87" s="78" t="s">
        <v>15</v>
      </c>
      <c r="I87" s="78"/>
      <c r="J87" s="78"/>
      <c r="K87" s="78"/>
      <c r="L87" s="78"/>
    </row>
    <row r="88" spans="1:15" ht="18" customHeight="1" x14ac:dyDescent="0.2">
      <c r="A88" s="21" t="s">
        <v>368</v>
      </c>
      <c r="B88" s="21" t="s">
        <v>369</v>
      </c>
      <c r="C88" s="22">
        <f>SUM($C$66:$C$70,$C$55,$C$51,$C$47,$C$42,$C$38,$C$32:$C$33:$C$22:$C$23)</f>
        <v>3162879.2041298691</v>
      </c>
      <c r="D88" s="21" t="s">
        <v>166</v>
      </c>
      <c r="E88" s="21" t="s">
        <v>265</v>
      </c>
      <c r="F88" s="21" t="s">
        <v>25</v>
      </c>
      <c r="G88" s="38" t="s">
        <v>370</v>
      </c>
      <c r="H88" s="77"/>
      <c r="I88" s="77"/>
      <c r="J88" s="77"/>
      <c r="K88" s="77"/>
      <c r="L88" s="77"/>
    </row>
    <row r="89" spans="1:15" ht="18" customHeight="1" x14ac:dyDescent="0.2">
      <c r="A89" s="21" t="s">
        <v>371</v>
      </c>
      <c r="B89" s="21" t="s">
        <v>372</v>
      </c>
      <c r="C89" s="21">
        <f>SUM($C$61:$C$65)+'Initial Estimates'!$C$39+'Initial Estimates'!$C$38+'Initial Estimates'!$C$37+'Initial Estimates'!$C$36+'Initial Estimates'!$C$35+'Initial Estimates'!$C$34+'Initial Estimates'!$C$33+'Initial Estimates'!$C$27</f>
        <v>53803.951083688095</v>
      </c>
      <c r="D89" s="21" t="s">
        <v>166</v>
      </c>
      <c r="E89" s="21" t="s">
        <v>264</v>
      </c>
      <c r="F89" s="21" t="s">
        <v>25</v>
      </c>
      <c r="G89" s="38" t="s">
        <v>373</v>
      </c>
      <c r="H89" s="77"/>
      <c r="I89" s="77"/>
      <c r="J89" s="77"/>
      <c r="K89" s="77"/>
      <c r="L89" s="77"/>
    </row>
    <row r="90" spans="1:15" ht="18" customHeight="1" x14ac:dyDescent="0.2">
      <c r="A90" s="21" t="s">
        <v>330</v>
      </c>
      <c r="B90" s="56" t="s">
        <v>374</v>
      </c>
      <c r="C90" s="56">
        <f>C88/C89</f>
        <v>58.785259082743622</v>
      </c>
      <c r="D90" s="21" t="s">
        <v>166</v>
      </c>
      <c r="E90" s="21" t="s">
        <v>33</v>
      </c>
      <c r="F90" s="21" t="s">
        <v>25</v>
      </c>
      <c r="G90" s="38" t="s">
        <v>375</v>
      </c>
      <c r="H90" s="77"/>
      <c r="I90" s="77"/>
      <c r="J90" s="77"/>
      <c r="K90" s="77"/>
      <c r="L90" s="77"/>
    </row>
    <row r="91" spans="1:15" ht="18" customHeight="1" x14ac:dyDescent="0.2">
      <c r="A91" s="21" t="s">
        <v>376</v>
      </c>
      <c r="B91" s="56" t="s">
        <v>377</v>
      </c>
      <c r="C91" s="56">
        <f>(C90-$C$19)/'Initial Estimates'!$C$10*100</f>
        <v>3.2725191452096514</v>
      </c>
      <c r="D91" s="21" t="s">
        <v>166</v>
      </c>
      <c r="E91" s="21" t="s">
        <v>378</v>
      </c>
      <c r="F91" s="21" t="s">
        <v>25</v>
      </c>
      <c r="G91" s="38" t="s">
        <v>379</v>
      </c>
      <c r="H91" s="77"/>
      <c r="I91" s="77"/>
      <c r="J91" s="77"/>
      <c r="K91" s="77"/>
      <c r="L91" s="77"/>
      <c r="N91" s="58"/>
      <c r="O91" s="58"/>
    </row>
    <row r="92" spans="1:15" ht="18" customHeight="1" x14ac:dyDescent="0.2">
      <c r="A92" s="85" t="s">
        <v>532</v>
      </c>
      <c r="B92" s="88"/>
      <c r="C92" s="88"/>
      <c r="D92" s="86"/>
      <c r="E92" s="86"/>
      <c r="F92" s="86"/>
      <c r="G92" s="86"/>
      <c r="H92" s="86"/>
      <c r="I92" s="86"/>
      <c r="J92" s="86"/>
      <c r="K92" s="86"/>
      <c r="L92" s="87"/>
      <c r="N92" s="58"/>
      <c r="O92" s="58"/>
    </row>
    <row r="93" spans="1:15" ht="18" customHeight="1" x14ac:dyDescent="0.2">
      <c r="A93" s="32" t="s">
        <v>7</v>
      </c>
      <c r="B93" s="32" t="s">
        <v>137</v>
      </c>
      <c r="C93" s="59" t="s">
        <v>11</v>
      </c>
      <c r="D93" s="59" t="s">
        <v>166</v>
      </c>
      <c r="E93" s="59" t="s">
        <v>12</v>
      </c>
      <c r="F93" s="59" t="s">
        <v>13</v>
      </c>
      <c r="G93" s="40" t="s">
        <v>14</v>
      </c>
      <c r="H93" s="78" t="s">
        <v>15</v>
      </c>
      <c r="I93" s="78"/>
      <c r="J93" s="78"/>
      <c r="K93" s="78"/>
      <c r="L93" s="78"/>
      <c r="N93" s="58"/>
      <c r="O93" s="58"/>
    </row>
    <row r="94" spans="1:15" s="58" customFormat="1" ht="18" customHeight="1" x14ac:dyDescent="0.2">
      <c r="A94" s="58" t="s">
        <v>368</v>
      </c>
      <c r="B94" s="58" t="s">
        <v>369</v>
      </c>
      <c r="C94" s="22">
        <f>SUM($C$66:$C$70,$C$55,$C$51,$C$47,$C$42,$C$38,$C$32,$C$34,$C$22:$C$23)</f>
        <v>2145535.0478356737</v>
      </c>
      <c r="D94" s="58" t="s">
        <v>166</v>
      </c>
      <c r="E94" s="58" t="s">
        <v>265</v>
      </c>
      <c r="F94" s="58" t="s">
        <v>25</v>
      </c>
      <c r="G94" s="38" t="s">
        <v>370</v>
      </c>
      <c r="H94" s="77"/>
      <c r="I94" s="77"/>
      <c r="J94" s="77"/>
      <c r="K94" s="77"/>
      <c r="L94" s="77"/>
    </row>
    <row r="95" spans="1:15" s="58" customFormat="1" ht="18" customHeight="1" x14ac:dyDescent="0.2">
      <c r="A95" s="58" t="s">
        <v>371</v>
      </c>
      <c r="B95" s="58" t="s">
        <v>372</v>
      </c>
      <c r="C95" s="58">
        <f>SUM($C$61:$C$65)+'Initial Estimates'!$C$39+'Initial Estimates'!$C$38+'Initial Estimates'!$C$37+'Initial Estimates'!$C$36+'Initial Estimates'!$C$35+'Initial Estimates'!$C$34+'Initial Estimates'!$C$33+'Initial Estimates'!$C$28</f>
        <v>37326.785802158265</v>
      </c>
      <c r="D95" s="58" t="s">
        <v>166</v>
      </c>
      <c r="E95" s="58" t="s">
        <v>264</v>
      </c>
      <c r="F95" s="58" t="s">
        <v>25</v>
      </c>
      <c r="G95" s="38" t="s">
        <v>373</v>
      </c>
      <c r="H95" s="77"/>
      <c r="I95" s="77"/>
      <c r="J95" s="77"/>
      <c r="K95" s="77"/>
      <c r="L95" s="77"/>
    </row>
    <row r="96" spans="1:15" s="58" customFormat="1" ht="18" customHeight="1" x14ac:dyDescent="0.2">
      <c r="A96" s="58" t="s">
        <v>330</v>
      </c>
      <c r="B96" s="56" t="s">
        <v>374</v>
      </c>
      <c r="C96" s="56">
        <f>C94/C95</f>
        <v>57.479769600510771</v>
      </c>
      <c r="D96" s="58" t="s">
        <v>166</v>
      </c>
      <c r="E96" s="58" t="s">
        <v>33</v>
      </c>
      <c r="F96" s="58" t="s">
        <v>25</v>
      </c>
      <c r="G96" s="38" t="s">
        <v>375</v>
      </c>
      <c r="H96" s="77"/>
      <c r="I96" s="77"/>
      <c r="J96" s="77"/>
      <c r="K96" s="77"/>
      <c r="L96" s="77"/>
    </row>
    <row r="97" spans="1:15" s="58" customFormat="1" ht="18" customHeight="1" x14ac:dyDescent="0.2">
      <c r="A97" s="58" t="s">
        <v>376</v>
      </c>
      <c r="B97" s="56" t="s">
        <v>377</v>
      </c>
      <c r="C97" s="56">
        <f>(C96-$C$19)/'Initial Estimates'!$C$10*100</f>
        <v>-9.7722046937457794</v>
      </c>
      <c r="D97" s="58" t="s">
        <v>166</v>
      </c>
      <c r="E97" s="58" t="s">
        <v>378</v>
      </c>
      <c r="F97" s="58" t="s">
        <v>25</v>
      </c>
      <c r="G97" s="38" t="s">
        <v>379</v>
      </c>
      <c r="H97" s="77"/>
      <c r="I97" s="77"/>
      <c r="J97" s="77"/>
      <c r="K97" s="77"/>
      <c r="L97" s="77"/>
    </row>
    <row r="98" spans="1:15" s="58" customFormat="1" ht="18" customHeight="1" x14ac:dyDescent="0.2">
      <c r="A98" s="85" t="s">
        <v>538</v>
      </c>
      <c r="B98" s="88"/>
      <c r="C98" s="88"/>
      <c r="D98" s="86"/>
      <c r="E98" s="86"/>
      <c r="F98" s="86"/>
      <c r="G98" s="86"/>
      <c r="H98" s="86"/>
      <c r="I98" s="86"/>
      <c r="J98" s="86"/>
      <c r="K98" s="86"/>
      <c r="L98" s="87"/>
    </row>
    <row r="99" spans="1:15" s="58" customFormat="1" ht="18" customHeight="1" x14ac:dyDescent="0.2">
      <c r="A99" s="32" t="s">
        <v>7</v>
      </c>
      <c r="B99" s="32" t="s">
        <v>137</v>
      </c>
      <c r="C99" s="59" t="s">
        <v>11</v>
      </c>
      <c r="D99" s="59" t="s">
        <v>166</v>
      </c>
      <c r="E99" s="59" t="s">
        <v>12</v>
      </c>
      <c r="F99" s="59" t="s">
        <v>13</v>
      </c>
      <c r="G99" s="40" t="s">
        <v>14</v>
      </c>
      <c r="H99" s="78" t="s">
        <v>15</v>
      </c>
      <c r="I99" s="78"/>
      <c r="J99" s="78"/>
      <c r="K99" s="78"/>
      <c r="L99" s="78"/>
    </row>
    <row r="100" spans="1:15" s="58" customFormat="1" ht="18" customHeight="1" x14ac:dyDescent="0.2">
      <c r="A100" s="58" t="s">
        <v>368</v>
      </c>
      <c r="B100" s="58" t="s">
        <v>369</v>
      </c>
      <c r="C100" s="22">
        <f>SUM($C$81:$C$85,$C$55,$C$51,$C$47,$C$42,$C$38,$C$32:$C$33:$C$22:$C$23)</f>
        <v>3070779.2041298691</v>
      </c>
      <c r="D100" s="58" t="s">
        <v>166</v>
      </c>
      <c r="E100" s="58" t="s">
        <v>265</v>
      </c>
      <c r="F100" s="58" t="s">
        <v>25</v>
      </c>
      <c r="G100" s="38" t="s">
        <v>370</v>
      </c>
      <c r="H100" s="77"/>
      <c r="I100" s="77"/>
      <c r="J100" s="77"/>
      <c r="K100" s="77"/>
      <c r="L100" s="77"/>
    </row>
    <row r="101" spans="1:15" s="58" customFormat="1" ht="18" customHeight="1" x14ac:dyDescent="0.2">
      <c r="A101" s="58" t="s">
        <v>371</v>
      </c>
      <c r="B101" s="58" t="s">
        <v>372</v>
      </c>
      <c r="C101" s="58">
        <f>SUM($C$76:$C$80)+'Initial Estimates'!$C$39+'Initial Estimates'!$C$38+'Initial Estimates'!$C$37+'Initial Estimates'!$C$36+'Initial Estimates'!$C$35+'Initial Estimates'!$C$34+'Initial Estimates'!$C$33+'Initial Estimates'!$C$27</f>
        <v>51203.951083688095</v>
      </c>
      <c r="D101" s="58" t="s">
        <v>166</v>
      </c>
      <c r="E101" s="58" t="s">
        <v>264</v>
      </c>
      <c r="F101" s="58" t="s">
        <v>25</v>
      </c>
      <c r="G101" s="38" t="s">
        <v>373</v>
      </c>
      <c r="H101" s="77"/>
      <c r="I101" s="77"/>
      <c r="J101" s="77"/>
      <c r="K101" s="77"/>
      <c r="L101" s="77"/>
    </row>
    <row r="102" spans="1:15" s="58" customFormat="1" ht="18" customHeight="1" x14ac:dyDescent="0.2">
      <c r="A102" s="58" t="s">
        <v>330</v>
      </c>
      <c r="B102" s="56" t="s">
        <v>374</v>
      </c>
      <c r="C102" s="56">
        <f>C100/C101</f>
        <v>59.971528351610331</v>
      </c>
      <c r="D102" s="58" t="s">
        <v>166</v>
      </c>
      <c r="E102" s="58" t="s">
        <v>33</v>
      </c>
      <c r="F102" s="58" t="s">
        <v>25</v>
      </c>
      <c r="G102" s="38" t="s">
        <v>375</v>
      </c>
      <c r="H102" s="77"/>
      <c r="I102" s="77"/>
      <c r="J102" s="77"/>
      <c r="K102" s="77"/>
      <c r="L102" s="77"/>
    </row>
    <row r="103" spans="1:15" s="58" customFormat="1" ht="18" customHeight="1" x14ac:dyDescent="0.2">
      <c r="A103" s="58" t="s">
        <v>376</v>
      </c>
      <c r="B103" s="56" t="s">
        <v>377</v>
      </c>
      <c r="C103" s="56">
        <f>(C102-$C$19)/'Initial Estimates'!$C$10*100</f>
        <v>15.125969687406906</v>
      </c>
      <c r="D103" s="58" t="s">
        <v>166</v>
      </c>
      <c r="E103" s="58" t="s">
        <v>378</v>
      </c>
      <c r="F103" s="58" t="s">
        <v>25</v>
      </c>
      <c r="G103" s="38" t="s">
        <v>379</v>
      </c>
      <c r="H103" s="77"/>
      <c r="I103" s="77"/>
      <c r="J103" s="77"/>
      <c r="K103" s="77"/>
      <c r="L103" s="77"/>
    </row>
    <row r="104" spans="1:15" s="58" customFormat="1" ht="18" customHeight="1" x14ac:dyDescent="0.2">
      <c r="A104" s="85" t="s">
        <v>507</v>
      </c>
      <c r="B104" s="88"/>
      <c r="C104" s="88"/>
      <c r="D104" s="86"/>
      <c r="E104" s="86"/>
      <c r="F104" s="86"/>
      <c r="G104" s="86"/>
      <c r="H104" s="86"/>
      <c r="I104" s="86"/>
      <c r="J104" s="86"/>
      <c r="K104" s="86"/>
      <c r="L104" s="87"/>
    </row>
    <row r="105" spans="1:15" s="58" customFormat="1" ht="18" customHeight="1" x14ac:dyDescent="0.2">
      <c r="A105" s="32" t="s">
        <v>7</v>
      </c>
      <c r="B105" s="32" t="s">
        <v>137</v>
      </c>
      <c r="C105" s="59" t="s">
        <v>11</v>
      </c>
      <c r="D105" s="59" t="s">
        <v>166</v>
      </c>
      <c r="E105" s="59" t="s">
        <v>12</v>
      </c>
      <c r="F105" s="59" t="s">
        <v>13</v>
      </c>
      <c r="G105" s="40" t="s">
        <v>14</v>
      </c>
      <c r="H105" s="78" t="s">
        <v>15</v>
      </c>
      <c r="I105" s="78"/>
      <c r="J105" s="78"/>
      <c r="K105" s="78"/>
      <c r="L105" s="78"/>
    </row>
    <row r="106" spans="1:15" s="58" customFormat="1" ht="18" customHeight="1" x14ac:dyDescent="0.2">
      <c r="A106" s="58" t="s">
        <v>368</v>
      </c>
      <c r="B106" s="58" t="s">
        <v>369</v>
      </c>
      <c r="C106" s="22">
        <f>SUM($C$81:$C$85,$C$55,$C$51,$C$47,$C$42,$C$38,$C$32,$C$34,$C$22:$C$23)</f>
        <v>2053435.0478356737</v>
      </c>
      <c r="D106" s="58" t="s">
        <v>166</v>
      </c>
      <c r="E106" s="58" t="s">
        <v>265</v>
      </c>
      <c r="F106" s="58" t="s">
        <v>25</v>
      </c>
      <c r="G106" s="38" t="s">
        <v>370</v>
      </c>
      <c r="H106" s="77"/>
      <c r="I106" s="77"/>
      <c r="J106" s="77"/>
      <c r="K106" s="77"/>
      <c r="L106" s="77"/>
    </row>
    <row r="107" spans="1:15" s="58" customFormat="1" ht="18" customHeight="1" x14ac:dyDescent="0.2">
      <c r="A107" s="58" t="s">
        <v>371</v>
      </c>
      <c r="B107" s="58" t="s">
        <v>372</v>
      </c>
      <c r="C107" s="58">
        <f>SUM($C$76:$C$80)+'Initial Estimates'!$C$39+'Initial Estimates'!$C$38+'Initial Estimates'!$C$37+'Initial Estimates'!$C$36+'Initial Estimates'!$C$35+'Initial Estimates'!$C$34+'Initial Estimates'!$C$33+'Initial Estimates'!$C$28</f>
        <v>34726.785802158265</v>
      </c>
      <c r="D107" s="58" t="s">
        <v>166</v>
      </c>
      <c r="E107" s="58" t="s">
        <v>264</v>
      </c>
      <c r="F107" s="58" t="s">
        <v>25</v>
      </c>
      <c r="G107" s="38" t="s">
        <v>373</v>
      </c>
      <c r="H107" s="77"/>
      <c r="I107" s="77"/>
      <c r="J107" s="77"/>
      <c r="K107" s="77"/>
      <c r="L107" s="77"/>
      <c r="N107" s="21"/>
      <c r="O107" s="21"/>
    </row>
    <row r="108" spans="1:15" s="58" customFormat="1" ht="18" customHeight="1" x14ac:dyDescent="0.2">
      <c r="A108" s="58" t="s">
        <v>330</v>
      </c>
      <c r="B108" s="56" t="s">
        <v>374</v>
      </c>
      <c r="C108" s="56">
        <f>C106/C107</f>
        <v>59.131157704438429</v>
      </c>
      <c r="D108" s="58" t="s">
        <v>166</v>
      </c>
      <c r="E108" s="58" t="s">
        <v>33</v>
      </c>
      <c r="F108" s="58" t="s">
        <v>25</v>
      </c>
      <c r="G108" s="38" t="s">
        <v>375</v>
      </c>
      <c r="H108" s="77"/>
      <c r="I108" s="77"/>
      <c r="J108" s="77"/>
      <c r="K108" s="77"/>
      <c r="L108" s="77"/>
      <c r="N108" s="21"/>
      <c r="O108" s="21"/>
    </row>
    <row r="109" spans="1:15" s="58" customFormat="1" ht="18" customHeight="1" x14ac:dyDescent="0.2">
      <c r="A109" s="58" t="s">
        <v>376</v>
      </c>
      <c r="B109" s="56" t="s">
        <v>377</v>
      </c>
      <c r="C109" s="56">
        <f>(C108-$C$19)/'Initial Estimates'!$C$10*100</f>
        <v>6.728810488565939</v>
      </c>
      <c r="D109" s="58" t="s">
        <v>166</v>
      </c>
      <c r="E109" s="58" t="s">
        <v>378</v>
      </c>
      <c r="F109" s="58" t="s">
        <v>25</v>
      </c>
      <c r="G109" s="38" t="s">
        <v>379</v>
      </c>
      <c r="H109" s="77"/>
      <c r="I109" s="77"/>
      <c r="J109" s="77"/>
      <c r="K109" s="77"/>
      <c r="L109" s="77"/>
      <c r="N109" s="21"/>
      <c r="O109" s="21"/>
    </row>
  </sheetData>
  <mergeCells count="109">
    <mergeCell ref="H109:L109"/>
    <mergeCell ref="A104:L104"/>
    <mergeCell ref="H105:L105"/>
    <mergeCell ref="H106:L106"/>
    <mergeCell ref="H107:L107"/>
    <mergeCell ref="H108:L108"/>
    <mergeCell ref="H99:L99"/>
    <mergeCell ref="H100:L100"/>
    <mergeCell ref="H101:L101"/>
    <mergeCell ref="H102:L102"/>
    <mergeCell ref="H103:L103"/>
    <mergeCell ref="H83:L83"/>
    <mergeCell ref="H84:L84"/>
    <mergeCell ref="H85:L85"/>
    <mergeCell ref="H34:L34"/>
    <mergeCell ref="A98:L98"/>
    <mergeCell ref="H97:L97"/>
    <mergeCell ref="H29:L29"/>
    <mergeCell ref="H72:L72"/>
    <mergeCell ref="H73:L73"/>
    <mergeCell ref="H74:L74"/>
    <mergeCell ref="H75:L75"/>
    <mergeCell ref="H76:L76"/>
    <mergeCell ref="H77:L77"/>
    <mergeCell ref="H78:L78"/>
    <mergeCell ref="H79:L79"/>
    <mergeCell ref="H80:L80"/>
    <mergeCell ref="A71:L71"/>
    <mergeCell ref="H81:L81"/>
    <mergeCell ref="H82:L82"/>
    <mergeCell ref="A92:L92"/>
    <mergeCell ref="H93:L93"/>
    <mergeCell ref="H94:L94"/>
    <mergeCell ref="H95:L95"/>
    <mergeCell ref="H96:L96"/>
    <mergeCell ref="H87:L87"/>
    <mergeCell ref="H88:L88"/>
    <mergeCell ref="H89:L89"/>
    <mergeCell ref="H90:L90"/>
    <mergeCell ref="H91:L91"/>
    <mergeCell ref="A86:L86"/>
    <mergeCell ref="H18:L18"/>
    <mergeCell ref="H25:L25"/>
    <mergeCell ref="H40:L40"/>
    <mergeCell ref="H44:L44"/>
    <mergeCell ref="H49:L49"/>
    <mergeCell ref="H53:L53"/>
    <mergeCell ref="H57:L57"/>
    <mergeCell ref="H65:L65"/>
    <mergeCell ref="H66:L66"/>
    <mergeCell ref="H67:L67"/>
    <mergeCell ref="H68:L68"/>
    <mergeCell ref="H69:L69"/>
    <mergeCell ref="H70:L70"/>
    <mergeCell ref="H59:L59"/>
    <mergeCell ref="H60:L60"/>
    <mergeCell ref="H61:L61"/>
    <mergeCell ref="H62:L62"/>
    <mergeCell ref="H63:L63"/>
    <mergeCell ref="H64:L64"/>
    <mergeCell ref="A52:L52"/>
    <mergeCell ref="A56:L56"/>
    <mergeCell ref="H54:L54"/>
    <mergeCell ref="H55:L55"/>
    <mergeCell ref="H58:L58"/>
    <mergeCell ref="H51:L51"/>
    <mergeCell ref="H5:L5"/>
    <mergeCell ref="H6:L6"/>
    <mergeCell ref="A17:L17"/>
    <mergeCell ref="H22:L22"/>
    <mergeCell ref="H23:L23"/>
    <mergeCell ref="A24:L24"/>
    <mergeCell ref="H26:L26"/>
    <mergeCell ref="H28:L28"/>
    <mergeCell ref="H45:L45"/>
    <mergeCell ref="H46:L46"/>
    <mergeCell ref="H47:L47"/>
    <mergeCell ref="H50:L50"/>
    <mergeCell ref="A43:L43"/>
    <mergeCell ref="A48:L48"/>
    <mergeCell ref="H37:L37"/>
    <mergeCell ref="H38:L38"/>
    <mergeCell ref="H36:L36"/>
    <mergeCell ref="H42:L42"/>
    <mergeCell ref="A35:L35"/>
    <mergeCell ref="A39:L39"/>
    <mergeCell ref="H41:L41"/>
    <mergeCell ref="H27:L27"/>
    <mergeCell ref="H30:L30"/>
    <mergeCell ref="H31:L31"/>
    <mergeCell ref="H32:L32"/>
    <mergeCell ref="H33:L33"/>
    <mergeCell ref="H20:L20"/>
    <mergeCell ref="H21:L21"/>
    <mergeCell ref="H13:L13"/>
    <mergeCell ref="H14:L14"/>
    <mergeCell ref="H15:L15"/>
    <mergeCell ref="H16:L16"/>
    <mergeCell ref="H19:L19"/>
    <mergeCell ref="H12:L12"/>
    <mergeCell ref="A1:L1"/>
    <mergeCell ref="H2:L2"/>
    <mergeCell ref="H3:L3"/>
    <mergeCell ref="H4:L4"/>
    <mergeCell ref="H7:L7"/>
    <mergeCell ref="H8:L8"/>
    <mergeCell ref="H9:L9"/>
    <mergeCell ref="H10:L10"/>
    <mergeCell ref="H11:L11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1"/>
  <sheetViews>
    <sheetView zoomScale="70" zoomScaleNormal="70" zoomScalePageLayoutView="70" workbookViewId="0">
      <selection activeCell="B19" sqref="B19"/>
    </sheetView>
  </sheetViews>
  <sheetFormatPr baseColWidth="10" defaultColWidth="15.1640625" defaultRowHeight="18" customHeight="1" x14ac:dyDescent="0.2"/>
  <cols>
    <col min="1" max="1" width="51" style="21" customWidth="1"/>
    <col min="2" max="2" width="19.33203125" style="21" customWidth="1"/>
    <col min="3" max="3" width="15.1640625" style="21"/>
    <col min="4" max="4" width="2" style="21" customWidth="1"/>
    <col min="5" max="5" width="15.1640625" style="21"/>
    <col min="6" max="6" width="30.33203125" style="21" customWidth="1"/>
    <col min="7" max="7" width="38.6640625" style="38" customWidth="1"/>
    <col min="8" max="16384" width="15.1640625" style="21"/>
  </cols>
  <sheetData>
    <row r="1" spans="1:12" ht="22" customHeight="1" x14ac:dyDescent="0.2">
      <c r="A1" s="85" t="s">
        <v>445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12" ht="18" customHeight="1" x14ac:dyDescent="0.2">
      <c r="A2" s="32" t="s">
        <v>7</v>
      </c>
      <c r="B2" s="32" t="s">
        <v>137</v>
      </c>
      <c r="C2" s="33" t="s">
        <v>11</v>
      </c>
      <c r="D2" s="33" t="s">
        <v>166</v>
      </c>
      <c r="E2" s="33" t="s">
        <v>12</v>
      </c>
      <c r="F2" s="33" t="s">
        <v>13</v>
      </c>
      <c r="G2" s="40" t="s">
        <v>14</v>
      </c>
      <c r="H2" s="89" t="s">
        <v>15</v>
      </c>
      <c r="I2" s="90"/>
      <c r="J2" s="90"/>
      <c r="K2" s="90"/>
      <c r="L2" s="91"/>
    </row>
    <row r="3" spans="1:12" ht="18" customHeight="1" x14ac:dyDescent="0.2">
      <c r="A3" s="21" t="s">
        <v>383</v>
      </c>
      <c r="B3" s="21" t="s">
        <v>387</v>
      </c>
      <c r="C3" s="22">
        <v>5.91E-2</v>
      </c>
      <c r="D3" s="21" t="s">
        <v>166</v>
      </c>
      <c r="E3" s="21" t="s">
        <v>178</v>
      </c>
      <c r="F3" s="21" t="s">
        <v>25</v>
      </c>
      <c r="G3" s="38" t="s">
        <v>482</v>
      </c>
      <c r="H3" s="77" t="s">
        <v>382</v>
      </c>
      <c r="I3" s="77"/>
      <c r="J3" s="77"/>
      <c r="K3" s="77"/>
      <c r="L3" s="77"/>
    </row>
    <row r="4" spans="1:12" ht="18" customHeight="1" x14ac:dyDescent="0.2">
      <c r="A4" s="21" t="s">
        <v>384</v>
      </c>
      <c r="B4" s="21" t="s">
        <v>388</v>
      </c>
      <c r="C4" s="22">
        <v>0.89429999999999998</v>
      </c>
      <c r="D4" s="21" t="s">
        <v>166</v>
      </c>
      <c r="E4" s="21" t="s">
        <v>178</v>
      </c>
      <c r="F4" s="21" t="s">
        <v>25</v>
      </c>
      <c r="G4" s="38" t="s">
        <v>482</v>
      </c>
      <c r="H4" s="77" t="s">
        <v>382</v>
      </c>
      <c r="I4" s="77"/>
      <c r="J4" s="77"/>
      <c r="K4" s="77"/>
      <c r="L4" s="77"/>
    </row>
    <row r="5" spans="1:12" ht="18" customHeight="1" x14ac:dyDescent="0.2">
      <c r="A5" s="21" t="s">
        <v>385</v>
      </c>
      <c r="B5" s="21" t="s">
        <v>389</v>
      </c>
      <c r="C5" s="22">
        <v>9.8500000000000004E-2</v>
      </c>
      <c r="D5" s="21" t="s">
        <v>166</v>
      </c>
      <c r="E5" s="21" t="s">
        <v>178</v>
      </c>
      <c r="F5" s="21" t="s">
        <v>25</v>
      </c>
      <c r="G5" s="38" t="s">
        <v>434</v>
      </c>
      <c r="H5" s="77" t="s">
        <v>382</v>
      </c>
      <c r="I5" s="77"/>
      <c r="J5" s="77"/>
      <c r="K5" s="77"/>
      <c r="L5" s="77"/>
    </row>
    <row r="6" spans="1:12" ht="18" customHeight="1" x14ac:dyDescent="0.2">
      <c r="A6" s="21" t="s">
        <v>386</v>
      </c>
      <c r="B6" s="21" t="s">
        <v>390</v>
      </c>
      <c r="C6" s="22">
        <v>0.83540000000000003</v>
      </c>
      <c r="D6" s="21" t="s">
        <v>166</v>
      </c>
      <c r="E6" s="21" t="s">
        <v>178</v>
      </c>
      <c r="F6" s="21" t="s">
        <v>25</v>
      </c>
      <c r="G6" s="38" t="s">
        <v>434</v>
      </c>
      <c r="H6" s="77" t="s">
        <v>382</v>
      </c>
      <c r="I6" s="77"/>
      <c r="J6" s="77"/>
      <c r="K6" s="77"/>
      <c r="L6" s="77"/>
    </row>
    <row r="7" spans="1:12" ht="18" customHeight="1" x14ac:dyDescent="0.2">
      <c r="A7" s="21" t="s">
        <v>391</v>
      </c>
      <c r="B7" s="21" t="s">
        <v>392</v>
      </c>
      <c r="C7" s="22">
        <f xml:space="preserve"> 'Cg Calcs'!C90</f>
        <v>58.785259082743622</v>
      </c>
      <c r="D7" s="21" t="s">
        <v>166</v>
      </c>
      <c r="E7" s="21" t="s">
        <v>33</v>
      </c>
      <c r="F7" s="21" t="s">
        <v>25</v>
      </c>
      <c r="G7" s="38" t="s">
        <v>393</v>
      </c>
      <c r="H7" s="77" t="s">
        <v>382</v>
      </c>
      <c r="I7" s="77"/>
      <c r="J7" s="77"/>
      <c r="K7" s="77"/>
      <c r="L7" s="77"/>
    </row>
    <row r="8" spans="1:12" ht="18" customHeight="1" x14ac:dyDescent="0.2">
      <c r="A8" s="21" t="s">
        <v>405</v>
      </c>
      <c r="B8" s="21" t="s">
        <v>404</v>
      </c>
      <c r="C8" s="22">
        <f xml:space="preserve"> 'Cg Calcs'!C90-'Cg Calcs'!C19</f>
        <v>0.3275070731446732</v>
      </c>
      <c r="D8" s="21" t="s">
        <v>166</v>
      </c>
      <c r="E8" s="21" t="s">
        <v>33</v>
      </c>
      <c r="F8" s="21" t="s">
        <v>25</v>
      </c>
      <c r="G8" s="38" t="s">
        <v>409</v>
      </c>
      <c r="H8" s="77" t="s">
        <v>382</v>
      </c>
      <c r="I8" s="77"/>
      <c r="J8" s="77"/>
      <c r="K8" s="77"/>
      <c r="L8" s="77"/>
    </row>
    <row r="9" spans="1:12" ht="18" customHeight="1" x14ac:dyDescent="0.2">
      <c r="A9" s="21" t="s">
        <v>406</v>
      </c>
      <c r="B9" s="21" t="s">
        <v>407</v>
      </c>
      <c r="C9" s="22">
        <f>'Cg Calcs'!C10+(1-0.8037)*'Initial Estimates'!C8 - 'Cg Calcs'!C90</f>
        <v>24.87249292685533</v>
      </c>
      <c r="D9" s="21" t="s">
        <v>166</v>
      </c>
      <c r="E9" s="21" t="s">
        <v>33</v>
      </c>
      <c r="F9" s="21" t="s">
        <v>25</v>
      </c>
      <c r="G9" s="38" t="s">
        <v>408</v>
      </c>
      <c r="H9" s="77" t="s">
        <v>382</v>
      </c>
      <c r="I9" s="77"/>
      <c r="J9" s="77"/>
      <c r="K9" s="77"/>
      <c r="L9" s="77"/>
    </row>
    <row r="10" spans="1:12" s="23" customFormat="1" ht="18" customHeight="1" x14ac:dyDescent="0.2">
      <c r="A10" s="23" t="s">
        <v>435</v>
      </c>
      <c r="B10" s="23" t="s">
        <v>436</v>
      </c>
      <c r="C10" s="22">
        <f>C9+C8</f>
        <v>25.200000000000003</v>
      </c>
      <c r="D10" s="23" t="s">
        <v>166</v>
      </c>
      <c r="E10" s="23" t="s">
        <v>33</v>
      </c>
      <c r="F10" s="23" t="s">
        <v>25</v>
      </c>
      <c r="G10" s="38" t="s">
        <v>437</v>
      </c>
      <c r="H10" s="77" t="s">
        <v>496</v>
      </c>
      <c r="I10" s="77"/>
      <c r="J10" s="77"/>
      <c r="K10" s="77"/>
      <c r="L10" s="77"/>
    </row>
    <row r="11" spans="1:12" ht="18" customHeight="1" x14ac:dyDescent="0.2">
      <c r="A11" s="21" t="s">
        <v>410</v>
      </c>
      <c r="B11" s="21" t="s">
        <v>411</v>
      </c>
      <c r="C11" s="22">
        <f>'Initial Estimates'!C21</f>
        <v>2</v>
      </c>
      <c r="D11" s="21" t="s">
        <v>166</v>
      </c>
      <c r="E11" s="21" t="s">
        <v>178</v>
      </c>
      <c r="F11" s="21" t="s">
        <v>18</v>
      </c>
      <c r="G11" s="38" t="s">
        <v>178</v>
      </c>
      <c r="H11" s="77" t="s">
        <v>382</v>
      </c>
      <c r="I11" s="77"/>
      <c r="J11" s="77"/>
      <c r="K11" s="77"/>
      <c r="L11" s="77"/>
    </row>
    <row r="12" spans="1:12" ht="18" customHeight="1" x14ac:dyDescent="0.2">
      <c r="A12" s="21" t="s">
        <v>418</v>
      </c>
      <c r="B12" s="21" t="s">
        <v>419</v>
      </c>
      <c r="C12" s="21">
        <f>'Subsonic Stability'!C10*'Initial Estimates'!C15*1.68</f>
        <v>1456.4012440319998</v>
      </c>
      <c r="D12" s="21" t="s">
        <v>166</v>
      </c>
      <c r="E12" s="21" t="s">
        <v>548</v>
      </c>
      <c r="F12" s="21" t="s">
        <v>25</v>
      </c>
      <c r="G12" s="38" t="s">
        <v>424</v>
      </c>
      <c r="H12" s="77" t="s">
        <v>425</v>
      </c>
      <c r="I12" s="77"/>
      <c r="J12" s="77"/>
      <c r="K12" s="77"/>
      <c r="L12" s="77"/>
    </row>
    <row r="13" spans="1:12" ht="18" customHeight="1" x14ac:dyDescent="0.2">
      <c r="A13" s="21" t="s">
        <v>426</v>
      </c>
      <c r="B13" s="21" t="s">
        <v>427</v>
      </c>
      <c r="C13" s="21">
        <f>0.5*'Initial Estimates'!$C$20*'Stability Constants'!C12^2</f>
        <v>489.97515881574805</v>
      </c>
      <c r="D13" s="21" t="s">
        <v>166</v>
      </c>
      <c r="E13" s="21" t="s">
        <v>428</v>
      </c>
      <c r="F13" s="21" t="s">
        <v>25</v>
      </c>
      <c r="G13" s="38" t="s">
        <v>429</v>
      </c>
      <c r="H13" s="77" t="s">
        <v>425</v>
      </c>
      <c r="I13" s="77"/>
      <c r="J13" s="77"/>
      <c r="K13" s="77"/>
      <c r="L13" s="77"/>
    </row>
    <row r="14" spans="1:12" ht="18" customHeight="1" x14ac:dyDescent="0.2">
      <c r="A14" s="21" t="s">
        <v>430</v>
      </c>
      <c r="B14" s="21" t="s">
        <v>158</v>
      </c>
      <c r="C14" s="21">
        <f>PI()*('Initial Estimates'!C58/2)^2*'Initial Estimates'!C50</f>
        <v>2392.9373797714861</v>
      </c>
      <c r="D14" s="21" t="s">
        <v>166</v>
      </c>
      <c r="E14" s="21" t="s">
        <v>401</v>
      </c>
      <c r="F14" s="21" t="s">
        <v>25</v>
      </c>
      <c r="G14" s="38" t="s">
        <v>431</v>
      </c>
      <c r="H14" s="77" t="s">
        <v>425</v>
      </c>
      <c r="I14" s="77"/>
      <c r="J14" s="77"/>
      <c r="K14" s="77"/>
      <c r="L14" s="77"/>
    </row>
    <row r="15" spans="1:12" ht="18" customHeight="1" x14ac:dyDescent="0.2">
      <c r="A15" s="21" t="s">
        <v>432</v>
      </c>
      <c r="B15" s="21" t="s">
        <v>433</v>
      </c>
      <c r="C15" s="23">
        <f>PI()*('Initial Estimates'!C58/2)^2*'Initial Estimates'!C51</f>
        <v>1696.6760174334224</v>
      </c>
      <c r="D15" s="21" t="s">
        <v>166</v>
      </c>
      <c r="E15" s="21" t="s">
        <v>401</v>
      </c>
      <c r="F15" s="21" t="s">
        <v>25</v>
      </c>
      <c r="G15" s="38" t="s">
        <v>434</v>
      </c>
      <c r="H15" s="77" t="s">
        <v>425</v>
      </c>
      <c r="I15" s="77"/>
      <c r="J15" s="77"/>
      <c r="K15" s="77"/>
      <c r="L15" s="77"/>
    </row>
    <row r="16" spans="1:12" ht="18" customHeight="1" x14ac:dyDescent="0.2">
      <c r="A16" s="21" t="s">
        <v>438</v>
      </c>
      <c r="B16" s="21" t="s">
        <v>439</v>
      </c>
      <c r="C16" s="22">
        <v>1</v>
      </c>
      <c r="D16" s="21" t="s">
        <v>166</v>
      </c>
      <c r="E16" s="21" t="s">
        <v>178</v>
      </c>
      <c r="F16" s="21" t="s">
        <v>441</v>
      </c>
      <c r="G16" s="38" t="s">
        <v>442</v>
      </c>
      <c r="H16" s="77" t="s">
        <v>382</v>
      </c>
      <c r="I16" s="77"/>
      <c r="J16" s="77"/>
      <c r="K16" s="77"/>
      <c r="L16" s="77"/>
    </row>
    <row r="17" spans="1:12" s="58" customFormat="1" ht="22" customHeight="1" x14ac:dyDescent="0.2">
      <c r="A17" s="85" t="s">
        <v>445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7"/>
    </row>
    <row r="18" spans="1:12" s="58" customFormat="1" ht="18" customHeight="1" x14ac:dyDescent="0.2">
      <c r="A18" s="32" t="s">
        <v>7</v>
      </c>
      <c r="B18" s="32" t="s">
        <v>137</v>
      </c>
      <c r="C18" s="59" t="s">
        <v>11</v>
      </c>
      <c r="D18" s="59" t="s">
        <v>166</v>
      </c>
      <c r="E18" s="59" t="s">
        <v>12</v>
      </c>
      <c r="F18" s="59" t="s">
        <v>13</v>
      </c>
      <c r="G18" s="40" t="s">
        <v>14</v>
      </c>
      <c r="H18" s="89" t="s">
        <v>15</v>
      </c>
      <c r="I18" s="90"/>
      <c r="J18" s="90"/>
      <c r="K18" s="90"/>
      <c r="L18" s="91"/>
    </row>
    <row r="19" spans="1:12" s="58" customFormat="1" ht="18" customHeight="1" x14ac:dyDescent="0.2">
      <c r="A19" s="58" t="s">
        <v>525</v>
      </c>
      <c r="B19" s="58" t="s">
        <v>427</v>
      </c>
      <c r="C19" s="58">
        <f>0.5*'Initial Estimates'!$C$20*('Initial Estimates'!$C$15*'Supersonic Stability'!C10)^2</f>
        <v>548.66902809635576</v>
      </c>
      <c r="D19" s="58" t="s">
        <v>166</v>
      </c>
      <c r="E19" s="58" t="s">
        <v>428</v>
      </c>
      <c r="F19" s="58" t="s">
        <v>25</v>
      </c>
      <c r="G19" s="38" t="s">
        <v>429</v>
      </c>
      <c r="H19" s="77" t="s">
        <v>425</v>
      </c>
      <c r="I19" s="77"/>
      <c r="J19" s="77"/>
      <c r="K19" s="77"/>
      <c r="L19" s="77"/>
    </row>
    <row r="20" spans="1:12" s="58" customFormat="1" ht="18" customHeight="1" x14ac:dyDescent="0.2">
      <c r="A20" s="58" t="s">
        <v>526</v>
      </c>
      <c r="B20" s="58" t="s">
        <v>427</v>
      </c>
      <c r="C20" s="58">
        <f>0.5*'Initial Estimates'!$C$20*('Initial Estimates'!$C$15*'Supersonic Stability'!C22)^2</f>
        <v>619.39589499940166</v>
      </c>
      <c r="D20" s="58" t="s">
        <v>166</v>
      </c>
      <c r="E20" s="58" t="s">
        <v>428</v>
      </c>
      <c r="F20" s="58" t="s">
        <v>25</v>
      </c>
      <c r="G20" s="38" t="s">
        <v>429</v>
      </c>
      <c r="H20" s="77" t="s">
        <v>425</v>
      </c>
      <c r="I20" s="77"/>
      <c r="J20" s="77"/>
      <c r="K20" s="77"/>
      <c r="L20" s="77"/>
    </row>
    <row r="21" spans="1:12" s="58" customFormat="1" ht="18" customHeight="1" x14ac:dyDescent="0.2">
      <c r="A21" s="58" t="s">
        <v>527</v>
      </c>
      <c r="B21" s="58" t="s">
        <v>427</v>
      </c>
      <c r="C21" s="58">
        <f>0.5*'Initial Estimates'!$C$20*('Initial Estimates'!$C$15*'Supersonic Stability'!C34)^2</f>
        <v>694.4092386844502</v>
      </c>
      <c r="D21" s="58" t="s">
        <v>166</v>
      </c>
      <c r="E21" s="58" t="s">
        <v>428</v>
      </c>
      <c r="F21" s="58" t="s">
        <v>25</v>
      </c>
      <c r="G21" s="38" t="s">
        <v>429</v>
      </c>
      <c r="H21" s="77" t="s">
        <v>425</v>
      </c>
      <c r="I21" s="77"/>
      <c r="J21" s="77"/>
      <c r="K21" s="77"/>
      <c r="L21" s="77"/>
    </row>
  </sheetData>
  <mergeCells count="21">
    <mergeCell ref="A17:L17"/>
    <mergeCell ref="H18:L18"/>
    <mergeCell ref="H19:L19"/>
    <mergeCell ref="H20:L20"/>
    <mergeCell ref="H21:L21"/>
    <mergeCell ref="H10:L10"/>
    <mergeCell ref="H8:L8"/>
    <mergeCell ref="H9:L9"/>
    <mergeCell ref="A1:L1"/>
    <mergeCell ref="H2:L2"/>
    <mergeCell ref="H3:L3"/>
    <mergeCell ref="H4:L4"/>
    <mergeCell ref="H5:L5"/>
    <mergeCell ref="H6:L6"/>
    <mergeCell ref="H7:L7"/>
    <mergeCell ref="H16:L16"/>
    <mergeCell ref="H15:L15"/>
    <mergeCell ref="H11:L11"/>
    <mergeCell ref="H12:L12"/>
    <mergeCell ref="H13:L13"/>
    <mergeCell ref="H14:L14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55"/>
  <sheetViews>
    <sheetView tabSelected="1" zoomScale="70" zoomScaleNormal="70" zoomScalePageLayoutView="70" workbookViewId="0">
      <selection activeCell="C48" sqref="C48"/>
    </sheetView>
  </sheetViews>
  <sheetFormatPr baseColWidth="10" defaultColWidth="15.1640625" defaultRowHeight="18" customHeight="1" x14ac:dyDescent="0.2"/>
  <cols>
    <col min="1" max="1" width="27.6640625" style="23" customWidth="1"/>
    <col min="2" max="2" width="19.33203125" style="23" customWidth="1"/>
    <col min="3" max="3" width="15.1640625" style="23"/>
    <col min="4" max="4" width="2" style="23" customWidth="1"/>
    <col min="5" max="5" width="6.6640625" style="23" customWidth="1"/>
    <col min="6" max="6" width="30.33203125" style="23" customWidth="1"/>
    <col min="7" max="7" width="52.83203125" style="38" customWidth="1"/>
    <col min="8" max="16384" width="15.1640625" style="23"/>
  </cols>
  <sheetData>
    <row r="1" spans="1:12" ht="22" customHeight="1" x14ac:dyDescent="0.2">
      <c r="A1" s="85" t="s">
        <v>443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12" ht="18" customHeight="1" x14ac:dyDescent="0.2">
      <c r="A2" s="32" t="s">
        <v>7</v>
      </c>
      <c r="B2" s="32" t="s">
        <v>137</v>
      </c>
      <c r="C2" s="34" t="s">
        <v>11</v>
      </c>
      <c r="D2" s="34" t="s">
        <v>166</v>
      </c>
      <c r="E2" s="34" t="s">
        <v>12</v>
      </c>
      <c r="F2" s="34" t="s">
        <v>13</v>
      </c>
      <c r="G2" s="40" t="s">
        <v>14</v>
      </c>
      <c r="H2" s="89" t="s">
        <v>15</v>
      </c>
      <c r="I2" s="90"/>
      <c r="J2" s="90"/>
      <c r="K2" s="90"/>
      <c r="L2" s="91"/>
    </row>
    <row r="3" spans="1:12" ht="18" customHeight="1" x14ac:dyDescent="0.2">
      <c r="A3" s="43" t="s">
        <v>451</v>
      </c>
      <c r="B3" s="23" t="s">
        <v>452</v>
      </c>
      <c r="C3" s="22">
        <v>1</v>
      </c>
      <c r="D3" s="23" t="s">
        <v>166</v>
      </c>
      <c r="E3" s="23" t="s">
        <v>178</v>
      </c>
      <c r="F3" s="23" t="s">
        <v>18</v>
      </c>
      <c r="G3" s="38" t="s">
        <v>178</v>
      </c>
      <c r="H3" s="95" t="s">
        <v>453</v>
      </c>
      <c r="I3" s="95"/>
      <c r="J3" s="95"/>
      <c r="K3" s="95"/>
      <c r="L3" s="95"/>
    </row>
    <row r="4" spans="1:12" ht="18" customHeight="1" x14ac:dyDescent="0.2">
      <c r="A4" s="43" t="s">
        <v>416</v>
      </c>
      <c r="B4" s="23" t="s">
        <v>417</v>
      </c>
      <c r="C4" s="22">
        <f>'Initial Estimates'!C5*'Initial Estimates'!C10/'Stability Constants'!C9</f>
        <v>256.04985055528198</v>
      </c>
      <c r="D4" s="23" t="s">
        <v>166</v>
      </c>
      <c r="E4" s="23" t="s">
        <v>263</v>
      </c>
      <c r="F4" s="23" t="s">
        <v>25</v>
      </c>
      <c r="G4" s="38" t="s">
        <v>497</v>
      </c>
      <c r="H4" s="95" t="s">
        <v>423</v>
      </c>
      <c r="I4" s="95"/>
      <c r="J4" s="95"/>
      <c r="K4" s="95"/>
      <c r="L4" s="95"/>
    </row>
    <row r="5" spans="1:12" ht="18" customHeight="1" x14ac:dyDescent="0.2">
      <c r="A5" s="43" t="s">
        <v>394</v>
      </c>
      <c r="B5" s="23" t="s">
        <v>395</v>
      </c>
      <c r="C5" s="22">
        <v>0</v>
      </c>
      <c r="D5" s="23" t="s">
        <v>166</v>
      </c>
      <c r="E5" s="23" t="s">
        <v>178</v>
      </c>
      <c r="F5" s="23" t="s">
        <v>18</v>
      </c>
      <c r="G5" s="38" t="s">
        <v>396</v>
      </c>
      <c r="H5" s="77" t="s">
        <v>454</v>
      </c>
      <c r="I5" s="77"/>
      <c r="J5" s="77"/>
      <c r="K5" s="77"/>
      <c r="L5" s="77"/>
    </row>
    <row r="6" spans="1:12" ht="18" customHeight="1" x14ac:dyDescent="0.2">
      <c r="A6" s="43" t="s">
        <v>380</v>
      </c>
      <c r="B6" s="23" t="s">
        <v>381</v>
      </c>
      <c r="C6" s="22">
        <v>0</v>
      </c>
      <c r="D6" s="22" t="s">
        <v>166</v>
      </c>
      <c r="E6" s="23" t="s">
        <v>178</v>
      </c>
      <c r="F6" s="23" t="s">
        <v>18</v>
      </c>
      <c r="G6" s="38" t="s">
        <v>459</v>
      </c>
      <c r="H6" s="94" t="s">
        <v>382</v>
      </c>
      <c r="I6" s="94"/>
      <c r="J6" s="94"/>
      <c r="K6" s="94"/>
      <c r="L6" s="94"/>
    </row>
    <row r="7" spans="1:12" ht="18" customHeight="1" x14ac:dyDescent="0.2">
      <c r="A7" s="43" t="s">
        <v>455</v>
      </c>
      <c r="B7" s="23" t="s">
        <v>456</v>
      </c>
      <c r="C7" s="22">
        <f>2*C11/(PI()*'Initial Estimates'!C6)*(1+C6)</f>
        <v>2.5636288826855317E-2</v>
      </c>
      <c r="D7" s="23" t="s">
        <v>166</v>
      </c>
      <c r="E7" s="23" t="s">
        <v>178</v>
      </c>
      <c r="F7" s="23" t="s">
        <v>18</v>
      </c>
      <c r="G7" s="38" t="s">
        <v>457</v>
      </c>
      <c r="H7" s="77" t="s">
        <v>458</v>
      </c>
      <c r="I7" s="77"/>
      <c r="J7" s="77"/>
      <c r="K7" s="77"/>
      <c r="L7" s="77"/>
    </row>
    <row r="8" spans="1:12" ht="22" customHeight="1" x14ac:dyDescent="0.2">
      <c r="A8" s="85" t="s">
        <v>465</v>
      </c>
      <c r="B8" s="86"/>
      <c r="C8" s="86"/>
      <c r="D8" s="86"/>
      <c r="E8" s="86"/>
      <c r="F8" s="86"/>
      <c r="G8" s="86"/>
      <c r="H8" s="88"/>
      <c r="I8" s="88"/>
      <c r="J8" s="88"/>
      <c r="K8" s="88"/>
      <c r="L8" s="92"/>
    </row>
    <row r="9" spans="1:12" ht="18" customHeight="1" x14ac:dyDescent="0.2">
      <c r="A9" s="32" t="s">
        <v>7</v>
      </c>
      <c r="B9" s="32" t="s">
        <v>137</v>
      </c>
      <c r="C9" s="34" t="s">
        <v>11</v>
      </c>
      <c r="D9" s="34" t="s">
        <v>166</v>
      </c>
      <c r="E9" s="34" t="s">
        <v>12</v>
      </c>
      <c r="F9" s="34" t="s">
        <v>13</v>
      </c>
      <c r="G9" s="40" t="s">
        <v>14</v>
      </c>
      <c r="H9" s="89" t="s">
        <v>15</v>
      </c>
      <c r="I9" s="90"/>
      <c r="J9" s="90"/>
      <c r="K9" s="90"/>
      <c r="L9" s="91"/>
    </row>
    <row r="10" spans="1:12" ht="18" customHeight="1" x14ac:dyDescent="0.2">
      <c r="A10" s="23" t="s">
        <v>420</v>
      </c>
      <c r="B10" s="23" t="s">
        <v>421</v>
      </c>
      <c r="C10" s="45">
        <v>0.9</v>
      </c>
      <c r="D10" s="23" t="s">
        <v>166</v>
      </c>
      <c r="E10" s="23" t="s">
        <v>178</v>
      </c>
      <c r="F10" s="23" t="s">
        <v>422</v>
      </c>
      <c r="G10" s="38" t="s">
        <v>178</v>
      </c>
      <c r="H10" s="93" t="s">
        <v>350</v>
      </c>
      <c r="I10" s="93"/>
      <c r="J10" s="93"/>
      <c r="K10" s="93"/>
      <c r="L10" s="93"/>
    </row>
    <row r="11" spans="1:12" ht="18" customHeight="1" x14ac:dyDescent="0.2">
      <c r="A11" s="23" t="s">
        <v>446</v>
      </c>
      <c r="B11" s="23" t="s">
        <v>447</v>
      </c>
      <c r="C11" s="45">
        <v>0.28999999999999998</v>
      </c>
      <c r="D11" s="23" t="s">
        <v>166</v>
      </c>
      <c r="E11" s="23" t="s">
        <v>178</v>
      </c>
      <c r="F11" s="23" t="s">
        <v>440</v>
      </c>
      <c r="G11" s="38" t="s">
        <v>178</v>
      </c>
      <c r="H11" s="94" t="s">
        <v>449</v>
      </c>
      <c r="I11" s="94"/>
      <c r="J11" s="94"/>
      <c r="K11" s="94"/>
      <c r="L11" s="94"/>
    </row>
    <row r="12" spans="1:12" ht="18" customHeight="1" x14ac:dyDescent="0.2">
      <c r="A12" s="23" t="s">
        <v>488</v>
      </c>
      <c r="B12" s="56" t="s">
        <v>489</v>
      </c>
      <c r="C12" s="57">
        <v>7.0153931870556185E-2</v>
      </c>
      <c r="D12" s="23" t="s">
        <v>166</v>
      </c>
      <c r="E12" s="23" t="s">
        <v>178</v>
      </c>
      <c r="F12" s="23" t="s">
        <v>440</v>
      </c>
      <c r="G12" s="38" t="s">
        <v>178</v>
      </c>
      <c r="H12" s="94" t="s">
        <v>490</v>
      </c>
      <c r="I12" s="94"/>
      <c r="J12" s="94"/>
      <c r="K12" s="94"/>
      <c r="L12" s="94"/>
    </row>
    <row r="13" spans="1:12" ht="18" customHeight="1" x14ac:dyDescent="0.2">
      <c r="A13" s="23" t="s">
        <v>444</v>
      </c>
      <c r="B13" s="23" t="s">
        <v>477</v>
      </c>
      <c r="C13" s="45">
        <f>2.46*PI()/180</f>
        <v>4.2935099599060507E-2</v>
      </c>
      <c r="D13" s="23" t="s">
        <v>166</v>
      </c>
      <c r="E13" s="23" t="s">
        <v>448</v>
      </c>
      <c r="F13" s="23" t="s">
        <v>13</v>
      </c>
      <c r="G13" s="38" t="s">
        <v>178</v>
      </c>
      <c r="H13" s="94" t="s">
        <v>450</v>
      </c>
      <c r="I13" s="94"/>
      <c r="J13" s="94"/>
      <c r="K13" s="94"/>
      <c r="L13" s="94"/>
    </row>
    <row r="14" spans="1:12" s="55" customFormat="1" ht="18" customHeight="1" x14ac:dyDescent="0.2">
      <c r="A14" s="55" t="s">
        <v>521</v>
      </c>
      <c r="B14" s="56" t="s">
        <v>522</v>
      </c>
      <c r="C14" s="57">
        <f>C12/C16</f>
        <v>1.0386434662510467E-2</v>
      </c>
      <c r="D14" s="55" t="s">
        <v>166</v>
      </c>
      <c r="E14" s="55" t="s">
        <v>448</v>
      </c>
      <c r="F14" s="55" t="s">
        <v>25</v>
      </c>
      <c r="G14" s="38" t="s">
        <v>523</v>
      </c>
      <c r="H14" s="94" t="s">
        <v>524</v>
      </c>
      <c r="I14" s="94"/>
      <c r="J14" s="94"/>
      <c r="K14" s="94"/>
      <c r="L14" s="94"/>
    </row>
    <row r="15" spans="1:12" ht="18" customHeight="1" x14ac:dyDescent="0.2">
      <c r="A15" s="23" t="s">
        <v>460</v>
      </c>
      <c r="B15" s="23" t="s">
        <v>461</v>
      </c>
      <c r="C15" s="45">
        <f>C11/C13</f>
        <v>6.7543805117048263</v>
      </c>
      <c r="D15" s="23" t="s">
        <v>166</v>
      </c>
      <c r="E15" s="23" t="s">
        <v>462</v>
      </c>
      <c r="F15" s="23" t="s">
        <v>25</v>
      </c>
      <c r="G15" s="38" t="s">
        <v>463</v>
      </c>
      <c r="H15" s="77" t="s">
        <v>464</v>
      </c>
      <c r="I15" s="77"/>
      <c r="J15" s="77"/>
      <c r="K15" s="77"/>
      <c r="L15" s="77"/>
    </row>
    <row r="16" spans="1:12" ht="18" customHeight="1" x14ac:dyDescent="0.2">
      <c r="A16" s="23" t="s">
        <v>466</v>
      </c>
      <c r="B16" s="23" t="s">
        <v>467</v>
      </c>
      <c r="C16" s="45">
        <f>C15</f>
        <v>6.7543805117048263</v>
      </c>
      <c r="D16" s="23" t="s">
        <v>166</v>
      </c>
      <c r="E16" s="23" t="s">
        <v>462</v>
      </c>
      <c r="F16" s="23" t="s">
        <v>25</v>
      </c>
      <c r="G16" s="38" t="s">
        <v>468</v>
      </c>
      <c r="H16" s="77" t="s">
        <v>469</v>
      </c>
      <c r="I16" s="77"/>
      <c r="J16" s="77"/>
      <c r="K16" s="77"/>
      <c r="L16" s="77"/>
    </row>
    <row r="17" spans="1:13" ht="18" customHeight="1" x14ac:dyDescent="0.2">
      <c r="A17" s="43" t="s">
        <v>470</v>
      </c>
      <c r="B17" s="23" t="s">
        <v>471</v>
      </c>
      <c r="C17" s="45">
        <f>$C$7/C13</f>
        <v>0.59709396429154393</v>
      </c>
      <c r="D17" s="23" t="s">
        <v>166</v>
      </c>
      <c r="E17" s="23" t="s">
        <v>472</v>
      </c>
      <c r="F17" s="23" t="s">
        <v>25</v>
      </c>
      <c r="G17" s="38" t="s">
        <v>473</v>
      </c>
      <c r="H17" s="77" t="s">
        <v>474</v>
      </c>
      <c r="I17" s="77"/>
      <c r="J17" s="77"/>
      <c r="K17" s="77"/>
      <c r="L17" s="77"/>
    </row>
    <row r="18" spans="1:13" ht="18" customHeight="1" x14ac:dyDescent="0.2">
      <c r="A18" s="23" t="s">
        <v>475</v>
      </c>
      <c r="B18" s="23" t="s">
        <v>476</v>
      </c>
      <c r="C18" s="45">
        <f>2*'Stability Constants'!$C$13*('Stability Constants'!$C$4-'Stability Constants'!$C$3)*'Stability Constants'!$C$14*'Subsonic Stability'!C13</f>
        <v>84088.838202792365</v>
      </c>
      <c r="D18" s="23" t="s">
        <v>166</v>
      </c>
      <c r="E18" s="23" t="s">
        <v>265</v>
      </c>
      <c r="F18" s="23" t="s">
        <v>25</v>
      </c>
      <c r="G18" s="38" t="s">
        <v>478</v>
      </c>
      <c r="H18" s="77" t="s">
        <v>479</v>
      </c>
      <c r="I18" s="77"/>
      <c r="J18" s="77"/>
      <c r="K18" s="77"/>
      <c r="L18" s="77"/>
    </row>
    <row r="19" spans="1:13" ht="18" customHeight="1" x14ac:dyDescent="0.2">
      <c r="A19" s="23" t="s">
        <v>480</v>
      </c>
      <c r="B19" s="23" t="s">
        <v>481</v>
      </c>
      <c r="C19" s="45">
        <f>2*'Stability Constants'!$C$13*('Stability Constants'!$C$6-'Stability Constants'!$C$5)*'Stability Constants'!$C$15*'Subsonic Stability'!C13</f>
        <v>52604.634851850758</v>
      </c>
      <c r="D19" s="23" t="s">
        <v>166</v>
      </c>
      <c r="E19" s="23" t="s">
        <v>265</v>
      </c>
      <c r="F19" s="23" t="s">
        <v>25</v>
      </c>
      <c r="G19" s="38" t="s">
        <v>483</v>
      </c>
      <c r="H19" s="77" t="s">
        <v>479</v>
      </c>
      <c r="I19" s="77"/>
      <c r="J19" s="77"/>
      <c r="K19" s="77"/>
      <c r="L19" s="77"/>
    </row>
    <row r="20" spans="1:13" ht="22" customHeight="1" x14ac:dyDescent="0.2">
      <c r="A20" s="85" t="s">
        <v>484</v>
      </c>
      <c r="B20" s="86"/>
      <c r="C20" s="86"/>
      <c r="D20" s="86"/>
      <c r="E20" s="86"/>
      <c r="F20" s="86"/>
      <c r="G20" s="86"/>
      <c r="H20" s="88"/>
      <c r="I20" s="88"/>
      <c r="J20" s="88"/>
      <c r="K20" s="88"/>
      <c r="L20" s="92"/>
    </row>
    <row r="21" spans="1:13" ht="18" customHeight="1" x14ac:dyDescent="0.2">
      <c r="A21" s="32" t="s">
        <v>7</v>
      </c>
      <c r="B21" s="32" t="s">
        <v>137</v>
      </c>
      <c r="C21" s="34" t="s">
        <v>11</v>
      </c>
      <c r="D21" s="34" t="s">
        <v>166</v>
      </c>
      <c r="E21" s="34" t="s">
        <v>12</v>
      </c>
      <c r="F21" s="34" t="s">
        <v>13</v>
      </c>
      <c r="G21" s="40" t="s">
        <v>14</v>
      </c>
      <c r="H21" s="89" t="s">
        <v>15</v>
      </c>
      <c r="I21" s="90"/>
      <c r="J21" s="90"/>
      <c r="K21" s="90"/>
      <c r="L21" s="91"/>
    </row>
    <row r="22" spans="1:13" ht="18" customHeight="1" x14ac:dyDescent="0.2">
      <c r="A22" s="23" t="s">
        <v>420</v>
      </c>
      <c r="B22" s="23" t="s">
        <v>421</v>
      </c>
      <c r="C22" s="45">
        <v>0.9</v>
      </c>
      <c r="D22" s="23" t="s">
        <v>166</v>
      </c>
      <c r="E22" s="23" t="s">
        <v>178</v>
      </c>
      <c r="F22" s="23" t="s">
        <v>422</v>
      </c>
      <c r="G22" s="38" t="s">
        <v>178</v>
      </c>
      <c r="H22" s="93" t="s">
        <v>350</v>
      </c>
      <c r="I22" s="93"/>
      <c r="J22" s="93"/>
      <c r="K22" s="93"/>
      <c r="L22" s="93"/>
    </row>
    <row r="23" spans="1:13" ht="18" customHeight="1" x14ac:dyDescent="0.2">
      <c r="A23" s="23" t="s">
        <v>446</v>
      </c>
      <c r="B23" s="23" t="s">
        <v>447</v>
      </c>
      <c r="C23" s="45">
        <v>0.4</v>
      </c>
      <c r="D23" s="23" t="s">
        <v>166</v>
      </c>
      <c r="E23" s="23" t="s">
        <v>178</v>
      </c>
      <c r="F23" s="23" t="s">
        <v>440</v>
      </c>
      <c r="G23" s="38" t="s">
        <v>178</v>
      </c>
      <c r="H23" s="94" t="s">
        <v>449</v>
      </c>
      <c r="I23" s="94"/>
      <c r="J23" s="94"/>
      <c r="K23" s="94"/>
      <c r="L23" s="94"/>
    </row>
    <row r="24" spans="1:13" ht="18" customHeight="1" x14ac:dyDescent="0.2">
      <c r="A24" s="23" t="s">
        <v>488</v>
      </c>
      <c r="B24" s="56" t="s">
        <v>489</v>
      </c>
      <c r="C24" s="57">
        <v>9.2002110856543584E-2</v>
      </c>
      <c r="D24" s="23" t="s">
        <v>166</v>
      </c>
      <c r="E24" s="23" t="s">
        <v>178</v>
      </c>
      <c r="F24" s="23" t="s">
        <v>440</v>
      </c>
      <c r="G24" s="38" t="s">
        <v>178</v>
      </c>
      <c r="H24" s="94" t="s">
        <v>490</v>
      </c>
      <c r="I24" s="94"/>
      <c r="J24" s="94"/>
      <c r="K24" s="94"/>
      <c r="L24" s="94"/>
    </row>
    <row r="25" spans="1:13" ht="18" customHeight="1" x14ac:dyDescent="0.2">
      <c r="A25" s="23" t="s">
        <v>444</v>
      </c>
      <c r="B25" s="23" t="s">
        <v>477</v>
      </c>
      <c r="C25" s="45">
        <f>3.2*PI()/180</f>
        <v>5.5850536063818547E-2</v>
      </c>
      <c r="D25" s="23" t="s">
        <v>166</v>
      </c>
      <c r="E25" s="23" t="s">
        <v>448</v>
      </c>
      <c r="F25" s="23" t="s">
        <v>13</v>
      </c>
      <c r="G25" s="38" t="s">
        <v>178</v>
      </c>
      <c r="H25" s="94" t="s">
        <v>450</v>
      </c>
      <c r="I25" s="94"/>
      <c r="J25" s="94"/>
      <c r="K25" s="94"/>
      <c r="L25" s="94"/>
      <c r="M25" s="23">
        <f>70000*2/0.0005598/0.5/636</f>
        <v>786444.39501079684</v>
      </c>
    </row>
    <row r="26" spans="1:13" s="55" customFormat="1" ht="18" customHeight="1" x14ac:dyDescent="0.2">
      <c r="A26" s="55" t="s">
        <v>521</v>
      </c>
      <c r="B26" s="56" t="s">
        <v>522</v>
      </c>
      <c r="C26" s="57">
        <f>C24/C28</f>
        <v>1.2845918025852048E-2</v>
      </c>
      <c r="D26" s="55" t="s">
        <v>166</v>
      </c>
      <c r="E26" s="55" t="s">
        <v>448</v>
      </c>
      <c r="F26" s="55" t="s">
        <v>25</v>
      </c>
      <c r="G26" s="38" t="s">
        <v>523</v>
      </c>
      <c r="H26" s="94" t="s">
        <v>524</v>
      </c>
      <c r="I26" s="94"/>
      <c r="J26" s="94"/>
      <c r="K26" s="94"/>
      <c r="L26" s="94"/>
      <c r="M26" s="55">
        <f>SQRT(M25)</f>
        <v>886.81700198563897</v>
      </c>
    </row>
    <row r="27" spans="1:13" ht="18" customHeight="1" x14ac:dyDescent="0.2">
      <c r="A27" s="23" t="s">
        <v>460</v>
      </c>
      <c r="B27" s="23" t="s">
        <v>461</v>
      </c>
      <c r="C27" s="45">
        <f>C23/C25</f>
        <v>7.1619724391352904</v>
      </c>
      <c r="D27" s="23" t="s">
        <v>166</v>
      </c>
      <c r="E27" s="23" t="s">
        <v>462</v>
      </c>
      <c r="F27" s="23" t="s">
        <v>25</v>
      </c>
      <c r="G27" s="38" t="s">
        <v>463</v>
      </c>
      <c r="H27" s="77" t="s">
        <v>464</v>
      </c>
      <c r="I27" s="77"/>
      <c r="J27" s="77"/>
      <c r="K27" s="77"/>
      <c r="L27" s="77"/>
    </row>
    <row r="28" spans="1:13" ht="18" customHeight="1" x14ac:dyDescent="0.2">
      <c r="A28" s="23" t="s">
        <v>466</v>
      </c>
      <c r="B28" s="23" t="s">
        <v>467</v>
      </c>
      <c r="C28" s="45">
        <f>C27</f>
        <v>7.1619724391352904</v>
      </c>
      <c r="D28" s="23" t="s">
        <v>166</v>
      </c>
      <c r="E28" s="23" t="s">
        <v>462</v>
      </c>
      <c r="F28" s="23" t="s">
        <v>25</v>
      </c>
      <c r="G28" s="38" t="s">
        <v>468</v>
      </c>
      <c r="H28" s="77" t="s">
        <v>469</v>
      </c>
      <c r="I28" s="77"/>
      <c r="J28" s="77"/>
      <c r="K28" s="77"/>
      <c r="L28" s="77"/>
    </row>
    <row r="29" spans="1:13" ht="18" customHeight="1" x14ac:dyDescent="0.2">
      <c r="A29" s="43" t="s">
        <v>470</v>
      </c>
      <c r="B29" s="23" t="s">
        <v>471</v>
      </c>
      <c r="C29" s="45">
        <f>$C$7/C25</f>
        <v>0.45901598504912439</v>
      </c>
      <c r="D29" s="23" t="s">
        <v>166</v>
      </c>
      <c r="E29" s="23" t="s">
        <v>472</v>
      </c>
      <c r="F29" s="23" t="s">
        <v>25</v>
      </c>
      <c r="G29" s="38" t="s">
        <v>473</v>
      </c>
      <c r="H29" s="77" t="s">
        <v>474</v>
      </c>
      <c r="I29" s="77"/>
      <c r="J29" s="77"/>
      <c r="K29" s="77"/>
      <c r="L29" s="77"/>
      <c r="M29" s="45"/>
    </row>
    <row r="30" spans="1:13" ht="18" customHeight="1" x14ac:dyDescent="0.2">
      <c r="A30" s="23" t="s">
        <v>475</v>
      </c>
      <c r="B30" s="23" t="s">
        <v>476</v>
      </c>
      <c r="C30" s="45">
        <f>2*'Stability Constants'!$C$13*('Stability Constants'!$C$4-'Stability Constants'!$C$3)*'Stability Constants'!$C$14*'Subsonic Stability'!C25</f>
        <v>109383.85457273804</v>
      </c>
      <c r="D30" s="23" t="s">
        <v>166</v>
      </c>
      <c r="E30" s="23" t="s">
        <v>265</v>
      </c>
      <c r="F30" s="23" t="s">
        <v>25</v>
      </c>
      <c r="G30" s="38" t="s">
        <v>478</v>
      </c>
      <c r="H30" s="77" t="s">
        <v>479</v>
      </c>
      <c r="I30" s="77"/>
      <c r="J30" s="77"/>
      <c r="K30" s="77"/>
      <c r="L30" s="77"/>
    </row>
    <row r="31" spans="1:13" ht="18" customHeight="1" x14ac:dyDescent="0.2">
      <c r="A31" s="23" t="s">
        <v>480</v>
      </c>
      <c r="B31" s="23" t="s">
        <v>481</v>
      </c>
      <c r="C31" s="45">
        <f>2*'Stability Constants'!$C$13*('Stability Constants'!$C$6-'Stability Constants'!$C$5)*'Stability Constants'!$C$15*'Subsonic Stability'!C25</f>
        <v>68428.793303220504</v>
      </c>
      <c r="D31" s="23" t="s">
        <v>166</v>
      </c>
      <c r="E31" s="23" t="s">
        <v>265</v>
      </c>
      <c r="F31" s="23" t="s">
        <v>25</v>
      </c>
      <c r="G31" s="38" t="s">
        <v>483</v>
      </c>
      <c r="H31" s="77" t="s">
        <v>479</v>
      </c>
      <c r="I31" s="77"/>
      <c r="J31" s="77"/>
      <c r="K31" s="77"/>
      <c r="L31" s="77"/>
    </row>
    <row r="32" spans="1:13" ht="22" customHeight="1" x14ac:dyDescent="0.2">
      <c r="A32" s="85" t="s">
        <v>485</v>
      </c>
      <c r="B32" s="86"/>
      <c r="C32" s="86"/>
      <c r="D32" s="86"/>
      <c r="E32" s="86"/>
      <c r="F32" s="86"/>
      <c r="G32" s="86"/>
      <c r="H32" s="88"/>
      <c r="I32" s="88"/>
      <c r="J32" s="88"/>
      <c r="K32" s="88"/>
      <c r="L32" s="92"/>
    </row>
    <row r="33" spans="1:12" ht="18" customHeight="1" x14ac:dyDescent="0.2">
      <c r="A33" s="32" t="s">
        <v>7</v>
      </c>
      <c r="B33" s="32" t="s">
        <v>137</v>
      </c>
      <c r="C33" s="34" t="s">
        <v>11</v>
      </c>
      <c r="D33" s="34" t="s">
        <v>166</v>
      </c>
      <c r="E33" s="34" t="s">
        <v>12</v>
      </c>
      <c r="F33" s="34" t="s">
        <v>13</v>
      </c>
      <c r="G33" s="40" t="s">
        <v>14</v>
      </c>
      <c r="H33" s="89" t="s">
        <v>15</v>
      </c>
      <c r="I33" s="90"/>
      <c r="J33" s="90"/>
      <c r="K33" s="90"/>
      <c r="L33" s="91"/>
    </row>
    <row r="34" spans="1:12" ht="18" customHeight="1" x14ac:dyDescent="0.2">
      <c r="A34" s="23" t="s">
        <v>420</v>
      </c>
      <c r="B34" s="23" t="s">
        <v>421</v>
      </c>
      <c r="C34" s="45">
        <v>0.9</v>
      </c>
      <c r="D34" s="23" t="s">
        <v>166</v>
      </c>
      <c r="E34" s="23" t="s">
        <v>178</v>
      </c>
      <c r="F34" s="23" t="s">
        <v>422</v>
      </c>
      <c r="G34" s="38" t="s">
        <v>178</v>
      </c>
      <c r="H34" s="93" t="s">
        <v>350</v>
      </c>
      <c r="I34" s="93"/>
      <c r="J34" s="93"/>
      <c r="K34" s="93"/>
      <c r="L34" s="93"/>
    </row>
    <row r="35" spans="1:12" ht="18" customHeight="1" x14ac:dyDescent="0.2">
      <c r="A35" s="23" t="s">
        <v>446</v>
      </c>
      <c r="B35" s="23" t="s">
        <v>447</v>
      </c>
      <c r="C35" s="45">
        <v>0.5</v>
      </c>
      <c r="D35" s="23" t="s">
        <v>166</v>
      </c>
      <c r="E35" s="23" t="s">
        <v>178</v>
      </c>
      <c r="F35" s="23" t="s">
        <v>440</v>
      </c>
      <c r="G35" s="38" t="s">
        <v>178</v>
      </c>
      <c r="H35" s="94" t="s">
        <v>449</v>
      </c>
      <c r="I35" s="94"/>
      <c r="J35" s="94"/>
      <c r="K35" s="94"/>
      <c r="L35" s="94"/>
    </row>
    <row r="36" spans="1:12" ht="18" customHeight="1" x14ac:dyDescent="0.2">
      <c r="A36" s="23" t="s">
        <v>488</v>
      </c>
      <c r="B36" s="56" t="s">
        <v>489</v>
      </c>
      <c r="C36" s="57">
        <v>0.1130298377137868</v>
      </c>
      <c r="D36" s="23" t="s">
        <v>166</v>
      </c>
      <c r="E36" s="23" t="s">
        <v>178</v>
      </c>
      <c r="F36" s="23" t="s">
        <v>440</v>
      </c>
      <c r="G36" s="38" t="s">
        <v>178</v>
      </c>
      <c r="H36" s="94" t="s">
        <v>490</v>
      </c>
      <c r="I36" s="94"/>
      <c r="J36" s="94"/>
      <c r="K36" s="94"/>
      <c r="L36" s="94"/>
    </row>
    <row r="37" spans="1:12" ht="18" customHeight="1" x14ac:dyDescent="0.2">
      <c r="A37" s="23" t="s">
        <v>444</v>
      </c>
      <c r="B37" s="23" t="s">
        <v>477</v>
      </c>
      <c r="C37" s="45">
        <f>3.92*PI()/180</f>
        <v>6.8416906678177708E-2</v>
      </c>
      <c r="D37" s="23" t="s">
        <v>166</v>
      </c>
      <c r="E37" s="23" t="s">
        <v>448</v>
      </c>
      <c r="F37" s="23" t="s">
        <v>13</v>
      </c>
      <c r="G37" s="38" t="s">
        <v>178</v>
      </c>
      <c r="H37" s="94" t="s">
        <v>450</v>
      </c>
      <c r="I37" s="94"/>
      <c r="J37" s="94"/>
      <c r="K37" s="94"/>
      <c r="L37" s="94"/>
    </row>
    <row r="38" spans="1:12" s="55" customFormat="1" ht="18" customHeight="1" x14ac:dyDescent="0.2">
      <c r="A38" s="55" t="s">
        <v>521</v>
      </c>
      <c r="B38" s="56" t="s">
        <v>522</v>
      </c>
      <c r="C38" s="57">
        <f>C36/C40</f>
        <v>1.5466303717427446E-2</v>
      </c>
      <c r="D38" s="55" t="s">
        <v>166</v>
      </c>
      <c r="E38" s="55" t="s">
        <v>448</v>
      </c>
      <c r="F38" s="55" t="s">
        <v>25</v>
      </c>
      <c r="G38" s="38" t="s">
        <v>523</v>
      </c>
      <c r="H38" s="94" t="s">
        <v>524</v>
      </c>
      <c r="I38" s="94"/>
      <c r="J38" s="94"/>
      <c r="K38" s="94"/>
      <c r="L38" s="94"/>
    </row>
    <row r="39" spans="1:12" ht="18" customHeight="1" x14ac:dyDescent="0.2">
      <c r="A39" s="23" t="s">
        <v>460</v>
      </c>
      <c r="B39" s="23" t="s">
        <v>461</v>
      </c>
      <c r="C39" s="45">
        <f>C35/C37</f>
        <v>7.3081351419747866</v>
      </c>
      <c r="D39" s="23" t="s">
        <v>166</v>
      </c>
      <c r="E39" s="23" t="s">
        <v>462</v>
      </c>
      <c r="F39" s="23" t="s">
        <v>25</v>
      </c>
      <c r="G39" s="38" t="s">
        <v>463</v>
      </c>
      <c r="H39" s="77" t="s">
        <v>464</v>
      </c>
      <c r="I39" s="77"/>
      <c r="J39" s="77"/>
      <c r="K39" s="77"/>
      <c r="L39" s="77"/>
    </row>
    <row r="40" spans="1:12" ht="18" customHeight="1" x14ac:dyDescent="0.2">
      <c r="A40" s="23" t="s">
        <v>466</v>
      </c>
      <c r="B40" s="23" t="s">
        <v>467</v>
      </c>
      <c r="C40" s="45">
        <f>C39</f>
        <v>7.3081351419747866</v>
      </c>
      <c r="D40" s="23" t="s">
        <v>166</v>
      </c>
      <c r="E40" s="23" t="s">
        <v>462</v>
      </c>
      <c r="F40" s="23" t="s">
        <v>25</v>
      </c>
      <c r="G40" s="38" t="s">
        <v>468</v>
      </c>
      <c r="H40" s="77" t="s">
        <v>469</v>
      </c>
      <c r="I40" s="77"/>
      <c r="J40" s="77"/>
      <c r="K40" s="77"/>
      <c r="L40" s="77"/>
    </row>
    <row r="41" spans="1:12" ht="18" customHeight="1" x14ac:dyDescent="0.2">
      <c r="A41" s="43" t="s">
        <v>470</v>
      </c>
      <c r="B41" s="23" t="s">
        <v>471</v>
      </c>
      <c r="C41" s="45">
        <f>$C$7/C37</f>
        <v>0.37470692657071386</v>
      </c>
      <c r="D41" s="23" t="s">
        <v>166</v>
      </c>
      <c r="E41" s="23" t="s">
        <v>472</v>
      </c>
      <c r="F41" s="23" t="s">
        <v>25</v>
      </c>
      <c r="G41" s="38" t="s">
        <v>473</v>
      </c>
      <c r="H41" s="77" t="s">
        <v>474</v>
      </c>
      <c r="I41" s="77"/>
      <c r="J41" s="77"/>
      <c r="K41" s="77"/>
      <c r="L41" s="77"/>
    </row>
    <row r="42" spans="1:12" ht="18" customHeight="1" x14ac:dyDescent="0.2">
      <c r="A42" s="23" t="s">
        <v>475</v>
      </c>
      <c r="B42" s="23" t="s">
        <v>476</v>
      </c>
      <c r="C42" s="45">
        <f>2*'Stability Constants'!$C$13*('Stability Constants'!$C$4-'Stability Constants'!$C$3)*'Stability Constants'!$C$14*'Subsonic Stability'!C37</f>
        <v>133995.22185160406</v>
      </c>
      <c r="D42" s="23" t="s">
        <v>166</v>
      </c>
      <c r="E42" s="23" t="s">
        <v>265</v>
      </c>
      <c r="F42" s="23" t="s">
        <v>25</v>
      </c>
      <c r="G42" s="38" t="s">
        <v>478</v>
      </c>
      <c r="H42" s="77" t="s">
        <v>479</v>
      </c>
      <c r="I42" s="77"/>
      <c r="J42" s="77"/>
      <c r="K42" s="77"/>
      <c r="L42" s="77"/>
    </row>
    <row r="43" spans="1:12" ht="18" customHeight="1" x14ac:dyDescent="0.2">
      <c r="A43" s="23" t="s">
        <v>480</v>
      </c>
      <c r="B43" s="23" t="s">
        <v>481</v>
      </c>
      <c r="C43" s="45">
        <f>2*'Stability Constants'!$C$13*('Stability Constants'!$C$6-'Stability Constants'!$C$5)*'Stability Constants'!$C$15*'Subsonic Stability'!C37</f>
        <v>83825.2717964451</v>
      </c>
      <c r="D43" s="23" t="s">
        <v>166</v>
      </c>
      <c r="E43" s="23" t="s">
        <v>265</v>
      </c>
      <c r="F43" s="23" t="s">
        <v>25</v>
      </c>
      <c r="G43" s="38" t="s">
        <v>483</v>
      </c>
      <c r="H43" s="77" t="s">
        <v>479</v>
      </c>
      <c r="I43" s="77"/>
      <c r="J43" s="77"/>
      <c r="K43" s="77"/>
      <c r="L43" s="77"/>
    </row>
    <row r="44" spans="1:12" ht="22" customHeight="1" x14ac:dyDescent="0.2">
      <c r="A44" s="85" t="s">
        <v>486</v>
      </c>
      <c r="B44" s="86"/>
      <c r="C44" s="86"/>
      <c r="D44" s="86"/>
      <c r="E44" s="86"/>
      <c r="F44" s="86"/>
      <c r="G44" s="86"/>
      <c r="H44" s="88"/>
      <c r="I44" s="88"/>
      <c r="J44" s="88"/>
      <c r="K44" s="88"/>
      <c r="L44" s="92"/>
    </row>
    <row r="45" spans="1:12" ht="18" customHeight="1" x14ac:dyDescent="0.2">
      <c r="A45" s="32" t="s">
        <v>7</v>
      </c>
      <c r="B45" s="32" t="s">
        <v>137</v>
      </c>
      <c r="C45" s="34" t="s">
        <v>11</v>
      </c>
      <c r="D45" s="34" t="s">
        <v>166</v>
      </c>
      <c r="E45" s="34" t="s">
        <v>12</v>
      </c>
      <c r="F45" s="34" t="s">
        <v>13</v>
      </c>
      <c r="G45" s="40" t="s">
        <v>500</v>
      </c>
      <c r="H45" s="89" t="s">
        <v>15</v>
      </c>
      <c r="I45" s="90"/>
      <c r="J45" s="90"/>
      <c r="K45" s="90"/>
      <c r="L45" s="91"/>
    </row>
    <row r="46" spans="1:12" ht="18" customHeight="1" x14ac:dyDescent="0.2">
      <c r="A46" s="23" t="s">
        <v>491</v>
      </c>
      <c r="B46" s="56" t="s">
        <v>487</v>
      </c>
      <c r="C46" s="57">
        <f>(C11 + C12* 'Stability Constants'!$C$16*'Subsonic Stability'!$C$4/'Initial Estimates'!$C$5)*'Stability Constants'!$C$8/'Initial Estimates'!$C$10 - 'Subsonic Stability'!C12*'Stability Constants'!$C$16*'Subsonic Stability'!$C$4/'Initial Estimates'!$C$5*'Stability Constants'!$C$10/'Initial Estimates'!$C$10+'Subsonic Stability'!$C$5+('Subsonic Stability'!C18+'Stability Constants'!$C$11*'Subsonic Stability'!C19)/('Stability Constants'!$C$13*'Initial Estimates'!$C$5*'Initial Estimates'!$C$10)</f>
        <v>0</v>
      </c>
      <c r="D46" s="23" t="s">
        <v>166</v>
      </c>
      <c r="E46" s="23" t="s">
        <v>178</v>
      </c>
      <c r="F46" s="23" t="s">
        <v>25</v>
      </c>
      <c r="G46" s="38" t="s">
        <v>501</v>
      </c>
      <c r="H46" s="77" t="s">
        <v>479</v>
      </c>
      <c r="I46" s="77"/>
      <c r="J46" s="77"/>
      <c r="K46" s="77"/>
      <c r="L46" s="77"/>
    </row>
    <row r="47" spans="1:12" ht="18" customHeight="1" x14ac:dyDescent="0.2">
      <c r="A47" s="23" t="s">
        <v>492</v>
      </c>
      <c r="B47" s="56" t="s">
        <v>487</v>
      </c>
      <c r="C47" s="57">
        <f>(C23 + C24* 'Stability Constants'!$C$16*'Subsonic Stability'!$C$4/'Initial Estimates'!$C$5)*'Stability Constants'!$C$8/'Initial Estimates'!$C$10 - 'Subsonic Stability'!C24*'Stability Constants'!$C$16*'Subsonic Stability'!$C$4/'Initial Estimates'!$C$5*'Stability Constants'!$C$10/'Initial Estimates'!$C$10+'Subsonic Stability'!$C$5+('Subsonic Stability'!C30+'Stability Constants'!$C$11*'Subsonic Stability'!C31)/('Stability Constants'!$C$13*'Initial Estimates'!$C$5*'Initial Estimates'!$C$10)</f>
        <v>0</v>
      </c>
      <c r="D47" s="23" t="s">
        <v>166</v>
      </c>
      <c r="E47" s="23" t="s">
        <v>178</v>
      </c>
      <c r="F47" s="23" t="s">
        <v>25</v>
      </c>
      <c r="G47" s="38" t="s">
        <v>501</v>
      </c>
      <c r="H47" s="77" t="s">
        <v>479</v>
      </c>
      <c r="I47" s="77"/>
      <c r="J47" s="77"/>
      <c r="K47" s="77"/>
      <c r="L47" s="77"/>
    </row>
    <row r="48" spans="1:12" ht="18" customHeight="1" x14ac:dyDescent="0.2">
      <c r="A48" s="23" t="s">
        <v>493</v>
      </c>
      <c r="B48" s="56" t="s">
        <v>487</v>
      </c>
      <c r="C48" s="57">
        <f>(C35 + C36* 'Stability Constants'!$C$16*'Subsonic Stability'!$C$4/'Initial Estimates'!$C$5)*'Stability Constants'!$C$8/'Initial Estimates'!$C$10 - 'Subsonic Stability'!C36*'Stability Constants'!$C$16*'Subsonic Stability'!$C$4/'Initial Estimates'!$C$5*'Stability Constants'!$C$10/'Initial Estimates'!$C$10+'Subsonic Stability'!$C$5+('Subsonic Stability'!C42+'Stability Constants'!$C$11*'Subsonic Stability'!C43)/('Stability Constants'!$C$13*'Initial Estimates'!$C$5*'Initial Estimates'!$C$10)</f>
        <v>0</v>
      </c>
      <c r="D48" s="23" t="s">
        <v>166</v>
      </c>
      <c r="E48" s="23" t="s">
        <v>178</v>
      </c>
      <c r="F48" s="23" t="s">
        <v>25</v>
      </c>
      <c r="G48" s="38" t="s">
        <v>501</v>
      </c>
      <c r="H48" s="77" t="s">
        <v>479</v>
      </c>
      <c r="I48" s="77"/>
      <c r="J48" s="77"/>
      <c r="K48" s="77"/>
      <c r="L48" s="77"/>
    </row>
    <row r="49" spans="1:12" ht="18" customHeight="1" x14ac:dyDescent="0.2">
      <c r="A49" s="23" t="s">
        <v>495</v>
      </c>
      <c r="B49" s="56" t="s">
        <v>494</v>
      </c>
      <c r="C49" s="57">
        <f xml:space="preserve"> ( C15 + C16*(1 - C17)*'Stability Constants'!$C$16*('Subsonic Stability'!$C$4/'Initial Estimates'!$C$5))*('Stability Constants'!$C$8/'Initial Estimates'!$C$10) - C16*(1 - C17)*'Stability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-1.0515941253631773</v>
      </c>
      <c r="D49" s="23" t="s">
        <v>166</v>
      </c>
      <c r="E49" s="23" t="s">
        <v>462</v>
      </c>
      <c r="F49" s="23" t="s">
        <v>25</v>
      </c>
      <c r="G49" s="38" t="s">
        <v>499</v>
      </c>
      <c r="H49" s="77" t="s">
        <v>479</v>
      </c>
      <c r="I49" s="77"/>
      <c r="J49" s="77"/>
      <c r="K49" s="77"/>
      <c r="L49" s="77"/>
    </row>
    <row r="50" spans="1:12" s="46" customFormat="1" ht="18" customHeight="1" x14ac:dyDescent="0.2">
      <c r="A50" s="46" t="s">
        <v>498</v>
      </c>
      <c r="B50" s="56" t="s">
        <v>494</v>
      </c>
      <c r="C50" s="57">
        <f xml:space="preserve"> ( C27 + C28*(1 - C29)*'Stability Constants'!$C$16*('Subsonic Stability'!$C$4/'Initial Estimates'!$C$5))*('Stability Constants'!$C$8/'Initial Estimates'!$C$10) - C28*(1 - C29)*'Stability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-2.1762037347741461</v>
      </c>
      <c r="D50" s="46" t="s">
        <v>166</v>
      </c>
      <c r="E50" s="46" t="s">
        <v>462</v>
      </c>
      <c r="F50" s="46" t="s">
        <v>25</v>
      </c>
      <c r="G50" s="38" t="s">
        <v>499</v>
      </c>
      <c r="H50" s="77" t="s">
        <v>479</v>
      </c>
      <c r="I50" s="77"/>
      <c r="J50" s="77"/>
      <c r="K50" s="77"/>
      <c r="L50" s="77"/>
    </row>
    <row r="51" spans="1:12" s="46" customFormat="1" ht="18" customHeight="1" x14ac:dyDescent="0.2">
      <c r="A51" s="46" t="s">
        <v>498</v>
      </c>
      <c r="B51" s="56" t="s">
        <v>494</v>
      </c>
      <c r="C51" s="57">
        <f xml:space="preserve"> ( C39 + C40*(1 - C41)*'Stability Constants'!$C$16*('Subsonic Stability'!$C$4/'Initial Estimates'!$C$5))*('Stability Constants'!$C$8/'Initial Estimates'!$C$10) - C40*(1 - C41)*'Stability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-2.857480026392007</v>
      </c>
      <c r="D51" s="46" t="s">
        <v>166</v>
      </c>
      <c r="E51" s="46" t="s">
        <v>462</v>
      </c>
      <c r="F51" s="46" t="s">
        <v>25</v>
      </c>
      <c r="G51" s="38" t="s">
        <v>499</v>
      </c>
      <c r="H51" s="77" t="s">
        <v>479</v>
      </c>
      <c r="I51" s="77"/>
      <c r="J51" s="77"/>
      <c r="K51" s="77"/>
      <c r="L51" s="77"/>
    </row>
    <row r="52" spans="1:12" ht="18" customHeight="1" x14ac:dyDescent="0.2">
      <c r="H52" s="77"/>
      <c r="I52" s="77"/>
      <c r="J52" s="77"/>
      <c r="K52" s="77"/>
      <c r="L52" s="77"/>
    </row>
    <row r="55" spans="1:12" ht="18" customHeight="1" x14ac:dyDescent="0.25">
      <c r="F55" s="51"/>
    </row>
  </sheetData>
  <mergeCells count="52">
    <mergeCell ref="H14:L14"/>
    <mergeCell ref="H26:L26"/>
    <mergeCell ref="H38:L38"/>
    <mergeCell ref="A1:L1"/>
    <mergeCell ref="H2:L2"/>
    <mergeCell ref="H10:L10"/>
    <mergeCell ref="H11:L11"/>
    <mergeCell ref="H13:L13"/>
    <mergeCell ref="H9:L9"/>
    <mergeCell ref="H24:L24"/>
    <mergeCell ref="H17:L17"/>
    <mergeCell ref="H18:L18"/>
    <mergeCell ref="H19:L19"/>
    <mergeCell ref="H22:L22"/>
    <mergeCell ref="H23:L23"/>
    <mergeCell ref="H21:L21"/>
    <mergeCell ref="H37:L37"/>
    <mergeCell ref="H36:L36"/>
    <mergeCell ref="H3:L3"/>
    <mergeCell ref="A8:L8"/>
    <mergeCell ref="H6:L6"/>
    <mergeCell ref="A20:L20"/>
    <mergeCell ref="H12:L12"/>
    <mergeCell ref="H25:L25"/>
    <mergeCell ref="H27:L27"/>
    <mergeCell ref="H28:L28"/>
    <mergeCell ref="H29:L29"/>
    <mergeCell ref="H4:L4"/>
    <mergeCell ref="H5:L5"/>
    <mergeCell ref="H7:L7"/>
    <mergeCell ref="H15:L15"/>
    <mergeCell ref="H16:L16"/>
    <mergeCell ref="H45:L45"/>
    <mergeCell ref="H39:L39"/>
    <mergeCell ref="H40:L40"/>
    <mergeCell ref="H41:L41"/>
    <mergeCell ref="H42:L42"/>
    <mergeCell ref="H43:L43"/>
    <mergeCell ref="A44:L44"/>
    <mergeCell ref="H30:L30"/>
    <mergeCell ref="H31:L31"/>
    <mergeCell ref="A32:L32"/>
    <mergeCell ref="H34:L34"/>
    <mergeCell ref="H35:L35"/>
    <mergeCell ref="H33:L33"/>
    <mergeCell ref="H49:L49"/>
    <mergeCell ref="H50:L50"/>
    <mergeCell ref="H51:L51"/>
    <mergeCell ref="H52:L52"/>
    <mergeCell ref="H46:L46"/>
    <mergeCell ref="H47:L47"/>
    <mergeCell ref="H48:L48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C220"/>
  <sheetViews>
    <sheetView topLeftCell="A74" zoomScale="70" zoomScaleNormal="70" zoomScalePageLayoutView="70" workbookViewId="0">
      <selection activeCell="C209" sqref="C209"/>
    </sheetView>
  </sheetViews>
  <sheetFormatPr baseColWidth="10" defaultColWidth="15.1640625" defaultRowHeight="18" customHeight="1" x14ac:dyDescent="0.2"/>
  <cols>
    <col min="1" max="1" width="51" style="58" customWidth="1"/>
    <col min="2" max="2" width="19.33203125" style="58" customWidth="1"/>
    <col min="3" max="3" width="15.1640625" style="58"/>
    <col min="4" max="4" width="2" style="58" customWidth="1"/>
    <col min="5" max="5" width="15.1640625" style="58"/>
    <col min="6" max="6" width="30.33203125" style="58" customWidth="1"/>
    <col min="7" max="7" width="52.83203125" style="38" customWidth="1"/>
    <col min="8" max="12" width="15.1640625" style="58"/>
    <col min="13" max="13" width="5.1640625" style="58" customWidth="1"/>
    <col min="14" max="14" width="4" style="58" customWidth="1"/>
    <col min="15" max="15" width="3.5" style="58" customWidth="1"/>
    <col min="16" max="17" width="15.1640625" style="58" customWidth="1"/>
    <col min="18" max="16384" width="15.1640625" style="58"/>
  </cols>
  <sheetData>
    <row r="1" spans="1:23" ht="22" customHeight="1" x14ac:dyDescent="0.2">
      <c r="A1" s="85" t="s">
        <v>544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23" ht="18" customHeight="1" x14ac:dyDescent="0.2">
      <c r="A2" s="32" t="s">
        <v>7</v>
      </c>
      <c r="B2" s="32" t="s">
        <v>137</v>
      </c>
      <c r="C2" s="59" t="s">
        <v>11</v>
      </c>
      <c r="D2" s="59" t="s">
        <v>166</v>
      </c>
      <c r="E2" s="59" t="s">
        <v>12</v>
      </c>
      <c r="F2" s="59" t="s">
        <v>13</v>
      </c>
      <c r="G2" s="40" t="s">
        <v>14</v>
      </c>
      <c r="H2" s="89" t="s">
        <v>15</v>
      </c>
      <c r="I2" s="90"/>
      <c r="J2" s="90"/>
      <c r="K2" s="90"/>
      <c r="L2" s="91"/>
    </row>
    <row r="3" spans="1:23" ht="18" customHeight="1" x14ac:dyDescent="0.2">
      <c r="A3" s="61" t="s">
        <v>451</v>
      </c>
      <c r="B3" s="58" t="s">
        <v>452</v>
      </c>
      <c r="C3" s="22">
        <v>1</v>
      </c>
      <c r="D3" s="58" t="s">
        <v>166</v>
      </c>
      <c r="E3" s="58" t="s">
        <v>178</v>
      </c>
      <c r="F3" s="58" t="s">
        <v>18</v>
      </c>
      <c r="G3" s="38" t="s">
        <v>178</v>
      </c>
      <c r="H3" s="95" t="s">
        <v>453</v>
      </c>
      <c r="I3" s="95"/>
      <c r="J3" s="95"/>
      <c r="K3" s="95"/>
      <c r="L3" s="95"/>
    </row>
    <row r="4" spans="1:23" ht="18" customHeight="1" x14ac:dyDescent="0.2">
      <c r="A4" s="61" t="s">
        <v>416</v>
      </c>
      <c r="B4" s="58" t="s">
        <v>417</v>
      </c>
      <c r="C4" s="22">
        <f>'Initial Estimates'!$C$5*'Initial Estimates'!$C$10/'Stability Constants'!$C$9</f>
        <v>256.04985055528198</v>
      </c>
      <c r="D4" s="58" t="s">
        <v>166</v>
      </c>
      <c r="E4" s="58" t="s">
        <v>263</v>
      </c>
      <c r="F4" s="58" t="s">
        <v>25</v>
      </c>
      <c r="G4" s="38" t="s">
        <v>497</v>
      </c>
      <c r="H4" s="95" t="s">
        <v>423</v>
      </c>
      <c r="I4" s="95"/>
      <c r="J4" s="95"/>
      <c r="K4" s="95"/>
      <c r="L4" s="95"/>
    </row>
    <row r="5" spans="1:23" ht="18" customHeight="1" x14ac:dyDescent="0.2">
      <c r="A5" s="61" t="s">
        <v>394</v>
      </c>
      <c r="B5" s="58" t="s">
        <v>395</v>
      </c>
      <c r="C5" s="22">
        <v>0</v>
      </c>
      <c r="D5" s="58" t="s">
        <v>166</v>
      </c>
      <c r="E5" s="58" t="s">
        <v>178</v>
      </c>
      <c r="F5" s="58" t="s">
        <v>18</v>
      </c>
      <c r="G5" s="38" t="s">
        <v>396</v>
      </c>
      <c r="H5" s="77" t="s">
        <v>454</v>
      </c>
      <c r="I5" s="77"/>
      <c r="J5" s="77"/>
      <c r="K5" s="77"/>
      <c r="L5" s="77"/>
    </row>
    <row r="6" spans="1:23" ht="18" customHeight="1" x14ac:dyDescent="0.2">
      <c r="A6" s="61" t="s">
        <v>380</v>
      </c>
      <c r="B6" s="58" t="s">
        <v>381</v>
      </c>
      <c r="C6" s="22">
        <v>0</v>
      </c>
      <c r="D6" s="22" t="s">
        <v>166</v>
      </c>
      <c r="E6" s="58" t="s">
        <v>178</v>
      </c>
      <c r="F6" s="58" t="s">
        <v>18</v>
      </c>
      <c r="G6" s="38" t="s">
        <v>459</v>
      </c>
      <c r="H6" s="94" t="s">
        <v>382</v>
      </c>
      <c r="I6" s="94"/>
      <c r="J6" s="94"/>
      <c r="K6" s="94"/>
      <c r="L6" s="94"/>
    </row>
    <row r="7" spans="1:23" ht="18" customHeight="1" x14ac:dyDescent="0.2">
      <c r="A7" s="61" t="s">
        <v>455</v>
      </c>
      <c r="B7" s="58" t="s">
        <v>456</v>
      </c>
      <c r="C7" s="22">
        <f>2*C11/(PI()*'Initial Estimates'!C6)*(1+C6)</f>
        <v>1.7680199190934703E-2</v>
      </c>
      <c r="D7" s="58" t="s">
        <v>166</v>
      </c>
      <c r="E7" s="58" t="s">
        <v>178</v>
      </c>
      <c r="F7" s="58" t="s">
        <v>18</v>
      </c>
      <c r="G7" s="38" t="s">
        <v>457</v>
      </c>
      <c r="H7" s="77" t="s">
        <v>458</v>
      </c>
      <c r="I7" s="77"/>
      <c r="J7" s="77"/>
      <c r="K7" s="77"/>
      <c r="L7" s="77"/>
    </row>
    <row r="8" spans="1:23" ht="22" customHeight="1" x14ac:dyDescent="0.2">
      <c r="A8" s="85" t="s">
        <v>545</v>
      </c>
      <c r="B8" s="86"/>
      <c r="C8" s="86"/>
      <c r="D8" s="86"/>
      <c r="E8" s="86"/>
      <c r="F8" s="86"/>
      <c r="G8" s="86"/>
      <c r="H8" s="88"/>
      <c r="I8" s="88"/>
      <c r="J8" s="88"/>
      <c r="K8" s="88"/>
      <c r="L8" s="92"/>
    </row>
    <row r="9" spans="1:23" ht="18" customHeight="1" x14ac:dyDescent="0.2">
      <c r="A9" s="32" t="s">
        <v>7</v>
      </c>
      <c r="B9" s="32" t="s">
        <v>137</v>
      </c>
      <c r="C9" s="59" t="s">
        <v>11</v>
      </c>
      <c r="D9" s="59" t="s">
        <v>166</v>
      </c>
      <c r="E9" s="59" t="s">
        <v>12</v>
      </c>
      <c r="F9" s="59" t="s">
        <v>13</v>
      </c>
      <c r="G9" s="40" t="s">
        <v>14</v>
      </c>
      <c r="H9" s="89" t="s">
        <v>15</v>
      </c>
      <c r="I9" s="90"/>
      <c r="J9" s="90"/>
      <c r="K9" s="90"/>
      <c r="L9" s="91"/>
      <c r="Q9"/>
      <c r="R9"/>
      <c r="S9"/>
      <c r="T9"/>
      <c r="U9"/>
      <c r="V9"/>
      <c r="W9"/>
    </row>
    <row r="10" spans="1:23" ht="18" customHeight="1" x14ac:dyDescent="0.2">
      <c r="A10" s="58" t="s">
        <v>420</v>
      </c>
      <c r="B10" s="58" t="s">
        <v>421</v>
      </c>
      <c r="C10" s="45">
        <v>1.6</v>
      </c>
      <c r="D10" s="58" t="s">
        <v>166</v>
      </c>
      <c r="E10" s="58" t="s">
        <v>178</v>
      </c>
      <c r="F10" s="58" t="s">
        <v>528</v>
      </c>
      <c r="G10" s="38" t="s">
        <v>178</v>
      </c>
      <c r="H10" s="93" t="s">
        <v>350</v>
      </c>
      <c r="I10" s="93"/>
      <c r="J10" s="93"/>
      <c r="K10" s="93"/>
      <c r="L10" s="93"/>
      <c r="Q10"/>
      <c r="R10"/>
      <c r="S10"/>
      <c r="T10"/>
      <c r="U10"/>
      <c r="V10"/>
      <c r="W10"/>
    </row>
    <row r="11" spans="1:23" ht="18" customHeight="1" x14ac:dyDescent="0.2">
      <c r="A11" s="58" t="s">
        <v>446</v>
      </c>
      <c r="B11" s="58" t="s">
        <v>447</v>
      </c>
      <c r="C11" s="45">
        <v>0.2</v>
      </c>
      <c r="D11" s="58" t="s">
        <v>166</v>
      </c>
      <c r="E11" s="58" t="s">
        <v>178</v>
      </c>
      <c r="F11" s="58" t="s">
        <v>440</v>
      </c>
      <c r="G11" s="38" t="s">
        <v>529</v>
      </c>
      <c r="H11" s="94" t="s">
        <v>530</v>
      </c>
      <c r="I11" s="94"/>
      <c r="J11" s="94"/>
      <c r="K11" s="94"/>
      <c r="L11" s="94"/>
      <c r="Q11"/>
      <c r="R11"/>
      <c r="S11"/>
      <c r="T11"/>
      <c r="U11"/>
      <c r="V11"/>
      <c r="W11"/>
    </row>
    <row r="12" spans="1:23" ht="18" customHeight="1" x14ac:dyDescent="0.2">
      <c r="A12" s="58" t="s">
        <v>488</v>
      </c>
      <c r="B12" s="56" t="s">
        <v>489</v>
      </c>
      <c r="C12" s="57">
        <v>0.10158298411673315</v>
      </c>
      <c r="D12" s="58" t="s">
        <v>166</v>
      </c>
      <c r="E12" s="58" t="s">
        <v>178</v>
      </c>
      <c r="F12" s="58" t="s">
        <v>440</v>
      </c>
      <c r="G12" s="38" t="s">
        <v>178</v>
      </c>
      <c r="H12" s="94" t="s">
        <v>490</v>
      </c>
      <c r="I12" s="94"/>
      <c r="J12" s="94"/>
      <c r="K12" s="94"/>
      <c r="L12" s="94"/>
      <c r="Q12"/>
      <c r="R12"/>
      <c r="S12"/>
      <c r="T12"/>
      <c r="U12"/>
      <c r="V12"/>
      <c r="W12"/>
    </row>
    <row r="13" spans="1:23" ht="18" customHeight="1" x14ac:dyDescent="0.2">
      <c r="A13" s="58" t="s">
        <v>444</v>
      </c>
      <c r="B13" s="58" t="s">
        <v>477</v>
      </c>
      <c r="C13" s="45">
        <f>3.85*PI()/180</f>
        <v>6.7195176201781698E-2</v>
      </c>
      <c r="D13" s="58" t="s">
        <v>166</v>
      </c>
      <c r="E13" s="58" t="s">
        <v>448</v>
      </c>
      <c r="F13" s="58" t="s">
        <v>13</v>
      </c>
      <c r="G13" s="38" t="s">
        <v>178</v>
      </c>
      <c r="H13" s="94" t="s">
        <v>450</v>
      </c>
      <c r="I13" s="94"/>
      <c r="J13" s="94"/>
      <c r="K13" s="94"/>
      <c r="L13" s="94"/>
      <c r="Q13"/>
      <c r="R13"/>
      <c r="S13"/>
      <c r="T13"/>
      <c r="U13"/>
      <c r="V13"/>
      <c r="W13"/>
    </row>
    <row r="14" spans="1:23" ht="18" customHeight="1" x14ac:dyDescent="0.2">
      <c r="A14" s="58" t="s">
        <v>521</v>
      </c>
      <c r="B14" s="56" t="s">
        <v>522</v>
      </c>
      <c r="C14" s="57">
        <f>C12/C16</f>
        <v>3.4129432584133375E-2</v>
      </c>
      <c r="D14" s="58" t="s">
        <v>166</v>
      </c>
      <c r="E14" s="58" t="s">
        <v>448</v>
      </c>
      <c r="F14" s="58" t="s">
        <v>25</v>
      </c>
      <c r="G14" s="38" t="s">
        <v>523</v>
      </c>
      <c r="H14" s="94" t="s">
        <v>524</v>
      </c>
      <c r="I14" s="94"/>
      <c r="J14" s="94"/>
      <c r="K14" s="94"/>
      <c r="L14" s="94"/>
      <c r="Q14"/>
      <c r="R14"/>
      <c r="S14"/>
      <c r="T14"/>
      <c r="U14"/>
      <c r="V14"/>
      <c r="W14"/>
    </row>
    <row r="15" spans="1:23" ht="18" customHeight="1" x14ac:dyDescent="0.2">
      <c r="A15" s="58" t="s">
        <v>460</v>
      </c>
      <c r="B15" s="58" t="s">
        <v>461</v>
      </c>
      <c r="C15" s="45">
        <f>C11/C13</f>
        <v>2.9764041305497306</v>
      </c>
      <c r="D15" s="58" t="s">
        <v>166</v>
      </c>
      <c r="E15" s="58" t="s">
        <v>462</v>
      </c>
      <c r="F15" s="58" t="s">
        <v>25</v>
      </c>
      <c r="G15" s="38" t="s">
        <v>463</v>
      </c>
      <c r="H15" s="77" t="s">
        <v>464</v>
      </c>
      <c r="I15" s="77"/>
      <c r="J15" s="77"/>
      <c r="K15" s="77"/>
      <c r="L15" s="77"/>
      <c r="Q15"/>
      <c r="R15"/>
      <c r="S15"/>
      <c r="T15"/>
      <c r="U15"/>
      <c r="V15"/>
      <c r="W15"/>
    </row>
    <row r="16" spans="1:23" ht="18" customHeight="1" x14ac:dyDescent="0.2">
      <c r="A16" s="58" t="s">
        <v>466</v>
      </c>
      <c r="B16" s="58" t="s">
        <v>467</v>
      </c>
      <c r="C16" s="45">
        <f>C15</f>
        <v>2.9764041305497306</v>
      </c>
      <c r="D16" s="58" t="s">
        <v>166</v>
      </c>
      <c r="E16" s="58" t="s">
        <v>462</v>
      </c>
      <c r="F16" s="58" t="s">
        <v>25</v>
      </c>
      <c r="G16" s="38" t="s">
        <v>468</v>
      </c>
      <c r="H16" s="77" t="s">
        <v>469</v>
      </c>
      <c r="I16" s="77"/>
      <c r="J16" s="77"/>
      <c r="K16" s="77"/>
      <c r="L16" s="77"/>
      <c r="Q16"/>
      <c r="R16"/>
      <c r="S16"/>
      <c r="T16"/>
      <c r="U16"/>
      <c r="V16"/>
      <c r="W16"/>
    </row>
    <row r="17" spans="1:23" ht="18" customHeight="1" x14ac:dyDescent="0.2">
      <c r="A17" s="61" t="s">
        <v>470</v>
      </c>
      <c r="B17" s="58" t="s">
        <v>471</v>
      </c>
      <c r="C17" s="45">
        <f>$C$7/C13</f>
        <v>0.26311708950420026</v>
      </c>
      <c r="D17" s="58" t="s">
        <v>166</v>
      </c>
      <c r="E17" s="58" t="s">
        <v>472</v>
      </c>
      <c r="F17" s="58" t="s">
        <v>25</v>
      </c>
      <c r="G17" s="38" t="s">
        <v>473</v>
      </c>
      <c r="H17" s="77" t="s">
        <v>474</v>
      </c>
      <c r="I17" s="77"/>
      <c r="J17" s="77"/>
      <c r="K17" s="77"/>
      <c r="L17" s="77"/>
      <c r="Q17"/>
      <c r="R17"/>
      <c r="S17"/>
      <c r="T17"/>
      <c r="U17"/>
      <c r="V17"/>
      <c r="W17"/>
    </row>
    <row r="18" spans="1:23" ht="18" customHeight="1" x14ac:dyDescent="0.2">
      <c r="A18" s="58" t="s">
        <v>475</v>
      </c>
      <c r="B18" s="58" t="s">
        <v>476</v>
      </c>
      <c r="C18" s="45">
        <f>2*'Stability Constants'!$C$13*('Stability Constants'!$C$4-'Stability Constants'!$C$3)*'Stability Constants'!$C$14*'Supersonic Stability'!C13</f>
        <v>131602.45003282547</v>
      </c>
      <c r="D18" s="58" t="s">
        <v>166</v>
      </c>
      <c r="E18" s="58" t="s">
        <v>265</v>
      </c>
      <c r="F18" s="58" t="s">
        <v>25</v>
      </c>
      <c r="G18" s="38" t="s">
        <v>478</v>
      </c>
      <c r="H18" s="77" t="s">
        <v>479</v>
      </c>
      <c r="I18" s="77"/>
      <c r="J18" s="77"/>
      <c r="K18" s="77"/>
      <c r="L18" s="77"/>
      <c r="Q18"/>
      <c r="R18"/>
      <c r="S18"/>
      <c r="T18"/>
      <c r="U18"/>
      <c r="V18"/>
      <c r="W18"/>
    </row>
    <row r="19" spans="1:23" ht="18" customHeight="1" x14ac:dyDescent="0.2">
      <c r="A19" s="58" t="s">
        <v>480</v>
      </c>
      <c r="B19" s="58" t="s">
        <v>481</v>
      </c>
      <c r="C19" s="45">
        <f>2*'Stability Constants'!$C$13*('Stability Constants'!$C$6-'Stability Constants'!$C$5)*'Stability Constants'!$C$15*'Supersonic Stability'!C13</f>
        <v>82328.391942937174</v>
      </c>
      <c r="D19" s="58" t="s">
        <v>166</v>
      </c>
      <c r="E19" s="58" t="s">
        <v>265</v>
      </c>
      <c r="F19" s="58" t="s">
        <v>25</v>
      </c>
      <c r="G19" s="38" t="s">
        <v>483</v>
      </c>
      <c r="H19" s="77" t="s">
        <v>479</v>
      </c>
      <c r="I19" s="77"/>
      <c r="J19" s="77"/>
      <c r="K19" s="77"/>
      <c r="L19" s="77"/>
      <c r="Q19"/>
      <c r="R19"/>
      <c r="S19"/>
      <c r="T19"/>
      <c r="U19"/>
      <c r="V19"/>
      <c r="W19"/>
    </row>
    <row r="20" spans="1:23" ht="22" customHeight="1" x14ac:dyDescent="0.2">
      <c r="A20" s="85" t="s">
        <v>547</v>
      </c>
      <c r="B20" s="86"/>
      <c r="C20" s="86"/>
      <c r="D20" s="86"/>
      <c r="E20" s="86"/>
      <c r="F20" s="86"/>
      <c r="G20" s="86"/>
      <c r="H20" s="88"/>
      <c r="I20" s="88"/>
      <c r="J20" s="88"/>
      <c r="K20" s="88"/>
      <c r="L20" s="92"/>
      <c r="Q20"/>
      <c r="R20"/>
      <c r="S20"/>
      <c r="T20"/>
      <c r="U20"/>
      <c r="V20"/>
      <c r="W20"/>
    </row>
    <row r="21" spans="1:23" ht="18" customHeight="1" x14ac:dyDescent="0.2">
      <c r="A21" s="32" t="s">
        <v>7</v>
      </c>
      <c r="B21" s="32" t="s">
        <v>137</v>
      </c>
      <c r="C21" s="59" t="s">
        <v>11</v>
      </c>
      <c r="D21" s="59" t="s">
        <v>166</v>
      </c>
      <c r="E21" s="59" t="s">
        <v>12</v>
      </c>
      <c r="F21" s="59" t="s">
        <v>13</v>
      </c>
      <c r="G21" s="40" t="s">
        <v>14</v>
      </c>
      <c r="H21" s="89" t="s">
        <v>15</v>
      </c>
      <c r="I21" s="90"/>
      <c r="J21" s="90"/>
      <c r="K21" s="90"/>
      <c r="L21" s="91"/>
      <c r="Q21"/>
      <c r="R21"/>
      <c r="S21"/>
      <c r="T21"/>
      <c r="U21"/>
      <c r="V21"/>
      <c r="W21"/>
    </row>
    <row r="22" spans="1:23" ht="18" customHeight="1" x14ac:dyDescent="0.2">
      <c r="A22" s="58" t="s">
        <v>420</v>
      </c>
      <c r="B22" s="58" t="s">
        <v>421</v>
      </c>
      <c r="C22" s="45">
        <v>1.7</v>
      </c>
      <c r="D22" s="58" t="s">
        <v>166</v>
      </c>
      <c r="E22" s="58" t="s">
        <v>178</v>
      </c>
      <c r="F22" s="58" t="s">
        <v>528</v>
      </c>
      <c r="G22" s="38" t="s">
        <v>178</v>
      </c>
      <c r="H22" s="93" t="s">
        <v>350</v>
      </c>
      <c r="I22" s="93"/>
      <c r="J22" s="93"/>
      <c r="K22" s="93"/>
      <c r="L22" s="93"/>
      <c r="Q22"/>
      <c r="R22"/>
      <c r="S22"/>
      <c r="T22"/>
      <c r="U22"/>
      <c r="V22"/>
      <c r="W22"/>
    </row>
    <row r="23" spans="1:23" ht="18" customHeight="1" x14ac:dyDescent="0.2">
      <c r="A23" s="58" t="s">
        <v>446</v>
      </c>
      <c r="B23" s="58" t="s">
        <v>447</v>
      </c>
      <c r="C23" s="45">
        <v>0.17780000000000001</v>
      </c>
      <c r="D23" s="58" t="s">
        <v>166</v>
      </c>
      <c r="E23" s="58" t="s">
        <v>178</v>
      </c>
      <c r="F23" s="58" t="s">
        <v>440</v>
      </c>
      <c r="G23" s="38" t="s">
        <v>529</v>
      </c>
      <c r="H23" s="94" t="s">
        <v>530</v>
      </c>
      <c r="I23" s="94"/>
      <c r="J23" s="94"/>
      <c r="K23" s="94"/>
      <c r="L23" s="94"/>
      <c r="Q23"/>
      <c r="R23"/>
      <c r="S23"/>
      <c r="T23"/>
      <c r="U23"/>
      <c r="V23"/>
      <c r="W23"/>
    </row>
    <row r="24" spans="1:23" ht="18" customHeight="1" x14ac:dyDescent="0.2">
      <c r="A24" s="58" t="s">
        <v>488</v>
      </c>
      <c r="B24" s="56" t="s">
        <v>489</v>
      </c>
      <c r="C24" s="57">
        <v>9.2128576529235062E-2</v>
      </c>
      <c r="D24" s="58" t="s">
        <v>166</v>
      </c>
      <c r="E24" s="58" t="s">
        <v>178</v>
      </c>
      <c r="F24" s="58" t="s">
        <v>440</v>
      </c>
      <c r="G24" s="38" t="s">
        <v>178</v>
      </c>
      <c r="H24" s="94" t="s">
        <v>490</v>
      </c>
      <c r="I24" s="94"/>
      <c r="J24" s="94"/>
      <c r="K24" s="94"/>
      <c r="L24" s="94"/>
      <c r="Q24"/>
      <c r="R24"/>
      <c r="S24"/>
      <c r="T24"/>
      <c r="U24"/>
      <c r="V24"/>
      <c r="W24"/>
    </row>
    <row r="25" spans="1:23" ht="18" customHeight="1" x14ac:dyDescent="0.2">
      <c r="A25" s="58" t="s">
        <v>444</v>
      </c>
      <c r="B25" s="58" t="s">
        <v>477</v>
      </c>
      <c r="C25" s="45">
        <f>3.5*PI()/180</f>
        <v>6.1086523819801536E-2</v>
      </c>
      <c r="D25" s="58" t="s">
        <v>166</v>
      </c>
      <c r="E25" s="58" t="s">
        <v>448</v>
      </c>
      <c r="F25" s="58" t="s">
        <v>13</v>
      </c>
      <c r="G25" s="38" t="s">
        <v>539</v>
      </c>
      <c r="H25" s="94" t="s">
        <v>450</v>
      </c>
      <c r="I25" s="94"/>
      <c r="J25" s="94"/>
      <c r="K25" s="94"/>
      <c r="L25" s="94"/>
      <c r="Q25"/>
      <c r="R25"/>
      <c r="S25"/>
      <c r="T25"/>
      <c r="U25"/>
      <c r="V25"/>
      <c r="W25"/>
    </row>
    <row r="26" spans="1:23" ht="18" customHeight="1" x14ac:dyDescent="0.2">
      <c r="A26" s="58" t="s">
        <v>521</v>
      </c>
      <c r="B26" s="56" t="s">
        <v>522</v>
      </c>
      <c r="C26" s="57">
        <f>C24/C28</f>
        <v>3.1652499913596886E-2</v>
      </c>
      <c r="D26" s="58" t="s">
        <v>166</v>
      </c>
      <c r="E26" s="58" t="s">
        <v>448</v>
      </c>
      <c r="F26" s="58" t="s">
        <v>25</v>
      </c>
      <c r="G26" s="38" t="s">
        <v>523</v>
      </c>
      <c r="H26" s="94" t="s">
        <v>524</v>
      </c>
      <c r="I26" s="94"/>
      <c r="J26" s="94"/>
      <c r="K26" s="94"/>
      <c r="L26" s="94"/>
      <c r="Q26"/>
      <c r="R26"/>
      <c r="S26"/>
      <c r="T26"/>
      <c r="U26"/>
      <c r="V26"/>
      <c r="W26"/>
    </row>
    <row r="27" spans="1:23" ht="18" customHeight="1" x14ac:dyDescent="0.2">
      <c r="A27" s="58" t="s">
        <v>460</v>
      </c>
      <c r="B27" s="58" t="s">
        <v>461</v>
      </c>
      <c r="C27" s="45">
        <f>C23/C25</f>
        <v>2.910625599264582</v>
      </c>
      <c r="D27" s="58" t="s">
        <v>166</v>
      </c>
      <c r="E27" s="58" t="s">
        <v>462</v>
      </c>
      <c r="F27" s="58" t="s">
        <v>25</v>
      </c>
      <c r="G27" s="38" t="s">
        <v>463</v>
      </c>
      <c r="H27" s="77" t="s">
        <v>464</v>
      </c>
      <c r="I27" s="77"/>
      <c r="J27" s="77"/>
      <c r="K27" s="77"/>
      <c r="L27" s="77"/>
      <c r="Q27"/>
      <c r="R27"/>
      <c r="S27"/>
      <c r="T27"/>
      <c r="U27"/>
      <c r="V27"/>
      <c r="W27"/>
    </row>
    <row r="28" spans="1:23" ht="18" customHeight="1" x14ac:dyDescent="0.2">
      <c r="A28" s="58" t="s">
        <v>466</v>
      </c>
      <c r="B28" s="58" t="s">
        <v>467</v>
      </c>
      <c r="C28" s="45">
        <f>C27</f>
        <v>2.910625599264582</v>
      </c>
      <c r="D28" s="58" t="s">
        <v>166</v>
      </c>
      <c r="E28" s="58" t="s">
        <v>462</v>
      </c>
      <c r="F28" s="58" t="s">
        <v>25</v>
      </c>
      <c r="G28" s="38" t="s">
        <v>468</v>
      </c>
      <c r="H28" s="77" t="s">
        <v>469</v>
      </c>
      <c r="I28" s="77"/>
      <c r="J28" s="77"/>
      <c r="K28" s="77"/>
      <c r="L28" s="77"/>
      <c r="Q28"/>
      <c r="R28"/>
      <c r="S28"/>
      <c r="T28"/>
      <c r="U28"/>
      <c r="V28"/>
      <c r="W28"/>
    </row>
    <row r="29" spans="1:23" ht="18" customHeight="1" x14ac:dyDescent="0.2">
      <c r="A29" s="61" t="s">
        <v>470</v>
      </c>
      <c r="B29" s="58" t="s">
        <v>471</v>
      </c>
      <c r="C29" s="45">
        <f>$C$7/C25</f>
        <v>0.28942879845462033</v>
      </c>
      <c r="D29" s="58" t="s">
        <v>166</v>
      </c>
      <c r="E29" s="58" t="s">
        <v>472</v>
      </c>
      <c r="F29" s="58" t="s">
        <v>25</v>
      </c>
      <c r="G29" s="38" t="s">
        <v>473</v>
      </c>
      <c r="H29" s="77" t="s">
        <v>474</v>
      </c>
      <c r="I29" s="77"/>
      <c r="J29" s="77"/>
      <c r="K29" s="77"/>
      <c r="L29" s="77"/>
      <c r="Q29"/>
      <c r="R29"/>
      <c r="S29"/>
      <c r="T29"/>
      <c r="U29"/>
      <c r="V29"/>
      <c r="W29"/>
    </row>
    <row r="30" spans="1:23" ht="18" customHeight="1" x14ac:dyDescent="0.2">
      <c r="A30" s="58" t="s">
        <v>475</v>
      </c>
      <c r="B30" s="58" t="s">
        <v>476</v>
      </c>
      <c r="C30" s="45">
        <f>2*'Stability Constants'!$C$13*('Stability Constants'!$C$4-'Stability Constants'!$C$3)*'Stability Constants'!$C$14*'Supersonic Stability'!C25</f>
        <v>119638.59093893223</v>
      </c>
      <c r="D30" s="58" t="s">
        <v>166</v>
      </c>
      <c r="E30" s="58" t="s">
        <v>265</v>
      </c>
      <c r="F30" s="58" t="s">
        <v>25</v>
      </c>
      <c r="G30" s="38" t="s">
        <v>478</v>
      </c>
      <c r="H30" s="77" t="s">
        <v>479</v>
      </c>
      <c r="I30" s="77"/>
      <c r="J30" s="77"/>
      <c r="K30" s="77"/>
      <c r="L30" s="77"/>
      <c r="Q30"/>
      <c r="R30"/>
      <c r="S30"/>
      <c r="T30"/>
      <c r="U30"/>
      <c r="V30"/>
      <c r="W30"/>
    </row>
    <row r="31" spans="1:23" ht="18" customHeight="1" x14ac:dyDescent="0.2">
      <c r="A31" s="58" t="s">
        <v>480</v>
      </c>
      <c r="B31" s="58" t="s">
        <v>481</v>
      </c>
      <c r="C31" s="45">
        <f>2*'Stability Constants'!$C$13*('Stability Constants'!$C$6-'Stability Constants'!$C$5)*'Stability Constants'!$C$15*'Supersonic Stability'!C25</f>
        <v>74843.992675397414</v>
      </c>
      <c r="D31" s="58" t="s">
        <v>166</v>
      </c>
      <c r="E31" s="58" t="s">
        <v>265</v>
      </c>
      <c r="F31" s="58" t="s">
        <v>25</v>
      </c>
      <c r="G31" s="38" t="s">
        <v>483</v>
      </c>
      <c r="H31" s="77" t="s">
        <v>479</v>
      </c>
      <c r="I31" s="77"/>
      <c r="J31" s="77"/>
      <c r="K31" s="77"/>
      <c r="L31" s="77"/>
      <c r="Q31"/>
      <c r="R31"/>
      <c r="S31"/>
      <c r="T31"/>
      <c r="U31"/>
      <c r="V31"/>
      <c r="W31"/>
    </row>
    <row r="32" spans="1:23" ht="22" customHeight="1" x14ac:dyDescent="0.2">
      <c r="A32" s="85" t="s">
        <v>546</v>
      </c>
      <c r="B32" s="86"/>
      <c r="C32" s="86"/>
      <c r="D32" s="86"/>
      <c r="E32" s="86"/>
      <c r="F32" s="86"/>
      <c r="G32" s="86"/>
      <c r="H32" s="88"/>
      <c r="I32" s="88"/>
      <c r="J32" s="88"/>
      <c r="K32" s="88"/>
      <c r="L32" s="92"/>
      <c r="Q32"/>
      <c r="R32"/>
      <c r="S32"/>
      <c r="T32"/>
      <c r="U32"/>
      <c r="V32"/>
      <c r="W32"/>
    </row>
    <row r="33" spans="1:23" ht="18" customHeight="1" x14ac:dyDescent="0.2">
      <c r="A33" s="32" t="s">
        <v>7</v>
      </c>
      <c r="B33" s="32" t="s">
        <v>137</v>
      </c>
      <c r="C33" s="59" t="s">
        <v>11</v>
      </c>
      <c r="D33" s="59" t="s">
        <v>166</v>
      </c>
      <c r="E33" s="59" t="s">
        <v>12</v>
      </c>
      <c r="F33" s="59" t="s">
        <v>13</v>
      </c>
      <c r="G33" s="40" t="s">
        <v>14</v>
      </c>
      <c r="H33" s="89" t="s">
        <v>15</v>
      </c>
      <c r="I33" s="90"/>
      <c r="J33" s="90"/>
      <c r="K33" s="90"/>
      <c r="L33" s="91"/>
      <c r="Q33"/>
      <c r="R33"/>
      <c r="S33"/>
      <c r="T33"/>
      <c r="U33"/>
      <c r="V33"/>
      <c r="W33"/>
    </row>
    <row r="34" spans="1:23" ht="18" customHeight="1" x14ac:dyDescent="0.2">
      <c r="A34" s="58" t="s">
        <v>420</v>
      </c>
      <c r="B34" s="58" t="s">
        <v>421</v>
      </c>
      <c r="C34" s="45">
        <v>1.8</v>
      </c>
      <c r="D34" s="58" t="s">
        <v>166</v>
      </c>
      <c r="E34" s="58" t="s">
        <v>178</v>
      </c>
      <c r="F34" s="58" t="s">
        <v>528</v>
      </c>
      <c r="G34" s="38" t="s">
        <v>178</v>
      </c>
      <c r="H34" s="93" t="s">
        <v>350</v>
      </c>
      <c r="I34" s="93"/>
      <c r="J34" s="93"/>
      <c r="K34" s="93"/>
      <c r="L34" s="93"/>
      <c r="Q34"/>
      <c r="R34"/>
      <c r="S34"/>
      <c r="T34"/>
      <c r="U34"/>
      <c r="V34"/>
      <c r="W34"/>
    </row>
    <row r="35" spans="1:23" ht="18" customHeight="1" x14ac:dyDescent="0.2">
      <c r="A35" s="58" t="s">
        <v>446</v>
      </c>
      <c r="B35" s="58" t="s">
        <v>447</v>
      </c>
      <c r="C35" s="45">
        <v>0.15859999999999999</v>
      </c>
      <c r="D35" s="58" t="s">
        <v>166</v>
      </c>
      <c r="E35" s="58" t="s">
        <v>178</v>
      </c>
      <c r="F35" s="58" t="s">
        <v>440</v>
      </c>
      <c r="G35" s="38" t="s">
        <v>529</v>
      </c>
      <c r="H35" s="94" t="s">
        <v>530</v>
      </c>
      <c r="I35" s="94"/>
      <c r="J35" s="94"/>
      <c r="K35" s="94"/>
      <c r="L35" s="94"/>
      <c r="Q35"/>
      <c r="R35"/>
      <c r="S35"/>
      <c r="T35"/>
      <c r="U35"/>
      <c r="V35"/>
      <c r="W35"/>
    </row>
    <row r="36" spans="1:23" ht="18" customHeight="1" x14ac:dyDescent="0.2">
      <c r="A36" s="58" t="s">
        <v>488</v>
      </c>
      <c r="B36" s="56" t="s">
        <v>489</v>
      </c>
      <c r="C36" s="57">
        <v>8.4102249640007468E-2</v>
      </c>
      <c r="D36" s="58" t="s">
        <v>166</v>
      </c>
      <c r="E36" s="58" t="s">
        <v>178</v>
      </c>
      <c r="F36" s="58" t="s">
        <v>440</v>
      </c>
      <c r="G36" s="38" t="s">
        <v>178</v>
      </c>
      <c r="H36" s="94" t="s">
        <v>490</v>
      </c>
      <c r="I36" s="94"/>
      <c r="J36" s="94"/>
      <c r="K36" s="94"/>
      <c r="L36" s="94"/>
      <c r="Q36"/>
      <c r="R36"/>
      <c r="S36"/>
      <c r="T36"/>
      <c r="U36"/>
      <c r="V36"/>
      <c r="W36"/>
    </row>
    <row r="37" spans="1:23" ht="18" customHeight="1" x14ac:dyDescent="0.2">
      <c r="A37" s="58" t="s">
        <v>444</v>
      </c>
      <c r="B37" s="58" t="s">
        <v>477</v>
      </c>
      <c r="C37" s="45">
        <f>3.2*PI()/180</f>
        <v>5.5850536063818547E-2</v>
      </c>
      <c r="D37" s="58" t="s">
        <v>166</v>
      </c>
      <c r="E37" s="58" t="s">
        <v>448</v>
      </c>
      <c r="F37" s="58" t="s">
        <v>13</v>
      </c>
      <c r="G37" s="38" t="s">
        <v>178</v>
      </c>
      <c r="H37" s="94" t="s">
        <v>450</v>
      </c>
      <c r="I37" s="94"/>
      <c r="J37" s="94"/>
      <c r="K37" s="94"/>
      <c r="L37" s="94"/>
      <c r="Q37"/>
      <c r="R37"/>
      <c r="S37"/>
      <c r="T37"/>
      <c r="U37"/>
      <c r="V37"/>
      <c r="W37"/>
    </row>
    <row r="38" spans="1:23" ht="18" customHeight="1" x14ac:dyDescent="0.2">
      <c r="A38" s="58" t="s">
        <v>521</v>
      </c>
      <c r="B38" s="56" t="s">
        <v>522</v>
      </c>
      <c r="C38" s="57">
        <f>C36/C40</f>
        <v>2.9616366497903578E-2</v>
      </c>
      <c r="D38" s="58" t="s">
        <v>166</v>
      </c>
      <c r="E38" s="58" t="s">
        <v>448</v>
      </c>
      <c r="F38" s="58" t="s">
        <v>25</v>
      </c>
      <c r="G38" s="38" t="s">
        <v>523</v>
      </c>
      <c r="H38" s="94" t="s">
        <v>524</v>
      </c>
      <c r="I38" s="94"/>
      <c r="J38" s="94"/>
      <c r="K38" s="94"/>
      <c r="L38" s="94"/>
      <c r="Q38"/>
      <c r="R38"/>
      <c r="S38"/>
      <c r="T38"/>
      <c r="U38"/>
      <c r="V38"/>
      <c r="W38"/>
    </row>
    <row r="39" spans="1:23" ht="18" customHeight="1" x14ac:dyDescent="0.2">
      <c r="A39" s="58" t="s">
        <v>460</v>
      </c>
      <c r="B39" s="58" t="s">
        <v>461</v>
      </c>
      <c r="C39" s="45">
        <f>C35/C37</f>
        <v>2.8397220721171426</v>
      </c>
      <c r="D39" s="58" t="s">
        <v>166</v>
      </c>
      <c r="E39" s="58" t="s">
        <v>462</v>
      </c>
      <c r="F39" s="58" t="s">
        <v>25</v>
      </c>
      <c r="G39" s="38" t="s">
        <v>463</v>
      </c>
      <c r="H39" s="77" t="s">
        <v>464</v>
      </c>
      <c r="I39" s="77"/>
      <c r="J39" s="77"/>
      <c r="K39" s="77"/>
      <c r="L39" s="77"/>
      <c r="Q39"/>
      <c r="R39"/>
      <c r="S39"/>
      <c r="T39"/>
      <c r="U39"/>
      <c r="V39"/>
      <c r="W39"/>
    </row>
    <row r="40" spans="1:23" ht="18" customHeight="1" x14ac:dyDescent="0.2">
      <c r="A40" s="58" t="s">
        <v>466</v>
      </c>
      <c r="B40" s="58" t="s">
        <v>467</v>
      </c>
      <c r="C40" s="45">
        <f>C39</f>
        <v>2.8397220721171426</v>
      </c>
      <c r="D40" s="58" t="s">
        <v>166</v>
      </c>
      <c r="E40" s="58" t="s">
        <v>462</v>
      </c>
      <c r="F40" s="58" t="s">
        <v>25</v>
      </c>
      <c r="G40" s="38" t="s">
        <v>468</v>
      </c>
      <c r="H40" s="77" t="s">
        <v>469</v>
      </c>
      <c r="I40" s="77"/>
      <c r="J40" s="77"/>
      <c r="K40" s="77"/>
      <c r="L40" s="77"/>
      <c r="Q40"/>
      <c r="R40"/>
      <c r="S40"/>
      <c r="T40"/>
      <c r="U40"/>
      <c r="V40"/>
      <c r="W40"/>
    </row>
    <row r="41" spans="1:23" ht="18" customHeight="1" x14ac:dyDescent="0.2">
      <c r="A41" s="61" t="s">
        <v>470</v>
      </c>
      <c r="B41" s="58" t="s">
        <v>471</v>
      </c>
      <c r="C41" s="45">
        <f>$C$7/C37</f>
        <v>0.31656274830974096</v>
      </c>
      <c r="D41" s="58" t="s">
        <v>166</v>
      </c>
      <c r="E41" s="58" t="s">
        <v>472</v>
      </c>
      <c r="F41" s="58" t="s">
        <v>25</v>
      </c>
      <c r="G41" s="38" t="s">
        <v>473</v>
      </c>
      <c r="H41" s="77" t="s">
        <v>474</v>
      </c>
      <c r="I41" s="77"/>
      <c r="J41" s="77"/>
      <c r="K41" s="77"/>
      <c r="L41" s="77"/>
      <c r="Q41"/>
      <c r="R41"/>
      <c r="S41"/>
      <c r="T41"/>
      <c r="U41"/>
      <c r="V41"/>
      <c r="W41"/>
    </row>
    <row r="42" spans="1:23" ht="18" customHeight="1" x14ac:dyDescent="0.2">
      <c r="A42" s="58" t="s">
        <v>475</v>
      </c>
      <c r="B42" s="58" t="s">
        <v>476</v>
      </c>
      <c r="C42" s="45">
        <f>2*'Stability Constants'!$C$13*('Stability Constants'!$C$4-'Stability Constants'!$C$3)*'Stability Constants'!$C$14*'Supersonic Stability'!C37</f>
        <v>109383.85457273804</v>
      </c>
      <c r="D42" s="58" t="s">
        <v>166</v>
      </c>
      <c r="E42" s="58" t="s">
        <v>265</v>
      </c>
      <c r="F42" s="58" t="s">
        <v>25</v>
      </c>
      <c r="G42" s="38" t="s">
        <v>478</v>
      </c>
      <c r="H42" s="77" t="s">
        <v>479</v>
      </c>
      <c r="I42" s="77"/>
      <c r="J42" s="77"/>
      <c r="K42" s="77"/>
      <c r="L42" s="77"/>
      <c r="Q42"/>
      <c r="R42"/>
      <c r="S42"/>
      <c r="T42"/>
      <c r="U42"/>
      <c r="V42"/>
      <c r="W42"/>
    </row>
    <row r="43" spans="1:23" ht="18" customHeight="1" x14ac:dyDescent="0.2">
      <c r="A43" s="58" t="s">
        <v>480</v>
      </c>
      <c r="B43" s="58" t="s">
        <v>481</v>
      </c>
      <c r="C43" s="45">
        <f>2*'Stability Constants'!$C$13*('Stability Constants'!$C$6-'Stability Constants'!$C$5)*'Stability Constants'!$C$15*'Supersonic Stability'!C37</f>
        <v>68428.793303220504</v>
      </c>
      <c r="D43" s="58" t="s">
        <v>166</v>
      </c>
      <c r="E43" s="58" t="s">
        <v>265</v>
      </c>
      <c r="F43" s="58" t="s">
        <v>25</v>
      </c>
      <c r="G43" s="38" t="s">
        <v>483</v>
      </c>
      <c r="H43" s="77" t="s">
        <v>479</v>
      </c>
      <c r="I43" s="77"/>
      <c r="J43" s="77"/>
      <c r="K43" s="77"/>
      <c r="L43" s="77"/>
      <c r="Q43"/>
      <c r="R43"/>
      <c r="S43"/>
      <c r="T43"/>
      <c r="U43"/>
      <c r="V43"/>
      <c r="W43"/>
    </row>
    <row r="44" spans="1:23" ht="22" customHeight="1" x14ac:dyDescent="0.2">
      <c r="A44" s="85" t="s">
        <v>540</v>
      </c>
      <c r="B44" s="86"/>
      <c r="C44" s="86"/>
      <c r="D44" s="86"/>
      <c r="E44" s="86"/>
      <c r="F44" s="86"/>
      <c r="G44" s="86"/>
      <c r="H44" s="88"/>
      <c r="I44" s="88"/>
      <c r="J44" s="88"/>
      <c r="K44" s="88"/>
      <c r="L44" s="92"/>
      <c r="Q44"/>
      <c r="R44"/>
      <c r="S44"/>
      <c r="T44"/>
      <c r="U44"/>
      <c r="V44"/>
      <c r="W44"/>
    </row>
    <row r="45" spans="1:23" ht="18" customHeight="1" x14ac:dyDescent="0.2">
      <c r="A45" s="32" t="s">
        <v>7</v>
      </c>
      <c r="B45" s="32" t="s">
        <v>137</v>
      </c>
      <c r="C45" s="59" t="s">
        <v>11</v>
      </c>
      <c r="D45" s="59" t="s">
        <v>166</v>
      </c>
      <c r="E45" s="59" t="s">
        <v>12</v>
      </c>
      <c r="F45" s="59" t="s">
        <v>13</v>
      </c>
      <c r="G45" s="40" t="s">
        <v>500</v>
      </c>
      <c r="H45" s="89" t="s">
        <v>15</v>
      </c>
      <c r="I45" s="90"/>
      <c r="J45" s="90"/>
      <c r="K45" s="90"/>
      <c r="L45" s="91"/>
      <c r="Q45"/>
      <c r="R45"/>
      <c r="S45"/>
      <c r="T45"/>
      <c r="U45"/>
      <c r="V45"/>
      <c r="W45"/>
    </row>
    <row r="46" spans="1:23" ht="18" customHeight="1" x14ac:dyDescent="0.2">
      <c r="A46" s="58" t="s">
        <v>491</v>
      </c>
      <c r="B46" s="56" t="s">
        <v>487</v>
      </c>
      <c r="C46" s="57">
        <f>(C11 + C12* 'Stability Constants'!$C$16*'Supersonic Stability'!$C$4/'Initial Estimates'!$C$5)*'Stability Constants'!$C$8/'Initial Estimates'!$C$10 - 'Supersonic Stability'!C12*'Stability Constants'!$C$16*'Supersonic Stability'!$C$4/'Initial Estimates'!$C$5*'Stability Constants'!$C$10/'Initial Estimates'!$C$10+'Supersonic Stability'!$C$5+('Supersonic Stability'!C18+'Stability Constants'!$C$11*'Supersonic Stability'!C19)/('Stability Constants'!$C$13*'Initial Estimates'!$C$5*'Initial Estimates'!$C$10)</f>
        <v>-9.6904588356316879E-5</v>
      </c>
      <c r="D46" s="58" t="s">
        <v>166</v>
      </c>
      <c r="E46" s="58" t="s">
        <v>178</v>
      </c>
      <c r="F46" s="58" t="s">
        <v>25</v>
      </c>
      <c r="G46" s="38" t="s">
        <v>501</v>
      </c>
      <c r="H46" s="77" t="s">
        <v>479</v>
      </c>
      <c r="I46" s="77"/>
      <c r="J46" s="77"/>
      <c r="K46" s="77"/>
      <c r="L46" s="77"/>
      <c r="Q46"/>
      <c r="R46"/>
      <c r="S46"/>
      <c r="T46"/>
      <c r="U46"/>
      <c r="V46"/>
      <c r="W46"/>
    </row>
    <row r="47" spans="1:23" ht="18" customHeight="1" x14ac:dyDescent="0.2">
      <c r="A47" s="58" t="s">
        <v>492</v>
      </c>
      <c r="B47" s="56" t="s">
        <v>487</v>
      </c>
      <c r="C47" s="57">
        <f>(C23 + C24* 'Stability Constants'!$C$16*'Supersonic Stability'!$C$4/'Initial Estimates'!$C$5)*'Stability Constants'!$C$8/'Initial Estimates'!$C$10 - 'Supersonic Stability'!C24*'Stability Constants'!$C$16*'Supersonic Stability'!$C$4/'Initial Estimates'!$C$5*'Stability Constants'!$C$10/'Initial Estimates'!$C$10+'Supersonic Stability'!$C$5+('Supersonic Stability'!C30+'Stability Constants'!$C$11*'Supersonic Stability'!C31)/('Stability Constants'!$C$13*'Initial Estimates'!$C$5*'Initial Estimates'!$C$10)</f>
        <v>0</v>
      </c>
      <c r="D47" s="58" t="s">
        <v>166</v>
      </c>
      <c r="E47" s="58" t="s">
        <v>178</v>
      </c>
      <c r="F47" s="58" t="s">
        <v>25</v>
      </c>
      <c r="G47" s="38" t="s">
        <v>501</v>
      </c>
      <c r="H47" s="77" t="s">
        <v>479</v>
      </c>
      <c r="I47" s="77"/>
      <c r="J47" s="77"/>
      <c r="K47" s="77"/>
      <c r="L47" s="77"/>
      <c r="Q47"/>
      <c r="R47"/>
      <c r="S47"/>
      <c r="T47"/>
      <c r="U47"/>
      <c r="V47"/>
      <c r="W47"/>
    </row>
    <row r="48" spans="1:23" ht="18" customHeight="1" x14ac:dyDescent="0.2">
      <c r="A48" s="58" t="s">
        <v>493</v>
      </c>
      <c r="B48" s="56" t="s">
        <v>487</v>
      </c>
      <c r="C48" s="57">
        <f>(C35 + C36* 'Stability Constants'!$C$16*'Supersonic Stability'!$C$4/'Initial Estimates'!$C$5)*'Stability Constants'!$C$8/'Initial Estimates'!$C$10 - 'Supersonic Stability'!C36*'Stability Constants'!$C$16*'Supersonic Stability'!$C$4/'Initial Estimates'!$C$5*'Stability Constants'!$C$10/'Initial Estimates'!$C$10+'Supersonic Stability'!$C$5+('Supersonic Stability'!C42+'Stability Constants'!$C$11*'Supersonic Stability'!C43)/('Stability Constants'!$C$13*'Initial Estimates'!$C$5*'Initial Estimates'!$C$10)</f>
        <v>0</v>
      </c>
      <c r="D48" s="58" t="s">
        <v>166</v>
      </c>
      <c r="E48" s="58" t="s">
        <v>178</v>
      </c>
      <c r="F48" s="58" t="s">
        <v>25</v>
      </c>
      <c r="G48" s="38" t="s">
        <v>501</v>
      </c>
      <c r="H48" s="77" t="s">
        <v>479</v>
      </c>
      <c r="I48" s="77"/>
      <c r="J48" s="77"/>
      <c r="K48" s="77"/>
      <c r="L48" s="77"/>
      <c r="Q48"/>
      <c r="R48"/>
      <c r="S48"/>
      <c r="T48"/>
      <c r="U48"/>
      <c r="V48"/>
      <c r="W48"/>
    </row>
    <row r="49" spans="1:23" ht="18" customHeight="1" x14ac:dyDescent="0.2">
      <c r="A49" s="58" t="s">
        <v>550</v>
      </c>
      <c r="B49" s="56" t="s">
        <v>494</v>
      </c>
      <c r="C49" s="57">
        <f xml:space="preserve"> ( C15 + C16*(1 - C17)*'Stability Constants'!$C$16*('Supersonic Stability'!$C$4/'Initial Estimates'!$C$5))*('Stability Constants'!$C$8/'Initial Estimates'!$C$10) - C16*(1 - C17)*'Stability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-0.65406376863186921</v>
      </c>
      <c r="D49" s="58" t="s">
        <v>166</v>
      </c>
      <c r="E49" s="58" t="s">
        <v>462</v>
      </c>
      <c r="F49" s="58" t="s">
        <v>25</v>
      </c>
      <c r="G49" s="38" t="s">
        <v>499</v>
      </c>
      <c r="H49" s="77" t="s">
        <v>479</v>
      </c>
      <c r="I49" s="77"/>
      <c r="J49" s="77"/>
      <c r="K49" s="77"/>
      <c r="L49" s="77"/>
      <c r="Q49"/>
      <c r="R49"/>
      <c r="S49"/>
      <c r="T49"/>
      <c r="U49"/>
      <c r="V49"/>
      <c r="W49"/>
    </row>
    <row r="50" spans="1:23" ht="18" customHeight="1" x14ac:dyDescent="0.2">
      <c r="A50" s="58" t="s">
        <v>551</v>
      </c>
      <c r="B50" s="56" t="s">
        <v>494</v>
      </c>
      <c r="C50" s="57">
        <f xml:space="preserve"> ( C27 + C28*(1 - C29)*'Stability Constants'!$C$16*('Supersonic Stability'!$C$4/'Initial Estimates'!$C$5))*('Stability Constants'!$C$8/'Initial Estimates'!$C$10) - C28*(1 - C29)*'Stability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-0.53280842358693203</v>
      </c>
      <c r="D50" s="58" t="s">
        <v>166</v>
      </c>
      <c r="E50" s="58" t="s">
        <v>462</v>
      </c>
      <c r="F50" s="58" t="s">
        <v>25</v>
      </c>
      <c r="G50" s="38" t="s">
        <v>499</v>
      </c>
      <c r="H50" s="77" t="s">
        <v>479</v>
      </c>
      <c r="I50" s="77"/>
      <c r="J50" s="77"/>
      <c r="K50" s="77"/>
      <c r="L50" s="77"/>
      <c r="Q50"/>
      <c r="R50"/>
      <c r="S50"/>
      <c r="T50"/>
      <c r="U50"/>
      <c r="V50"/>
      <c r="W50"/>
    </row>
    <row r="51" spans="1:23" ht="18" customHeight="1" x14ac:dyDescent="0.2">
      <c r="A51" s="58" t="s">
        <v>549</v>
      </c>
      <c r="B51" s="56" t="s">
        <v>494</v>
      </c>
      <c r="C51" s="57">
        <f xml:space="preserve"> ( C39 + C40*(1 - C41)*'Stability Constants'!$C$16*('Supersonic Stability'!$C$4/'Initial Estimates'!$C$5))*('Stability Constants'!$C$8/'Initial Estimates'!$C$10) - C40*(1 - C41)*'Stability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-0.40937186552409133</v>
      </c>
      <c r="D51" s="58" t="s">
        <v>166</v>
      </c>
      <c r="E51" s="58" t="s">
        <v>462</v>
      </c>
      <c r="F51" s="58" t="s">
        <v>25</v>
      </c>
      <c r="G51" s="38" t="s">
        <v>499</v>
      </c>
      <c r="H51" s="77" t="s">
        <v>479</v>
      </c>
      <c r="I51" s="77"/>
      <c r="J51" s="77"/>
      <c r="K51" s="77"/>
      <c r="L51" s="77"/>
      <c r="Q51"/>
      <c r="R51"/>
      <c r="S51"/>
      <c r="T51"/>
      <c r="U51"/>
      <c r="V51"/>
      <c r="W51"/>
    </row>
    <row r="52" spans="1:23" ht="18" customHeight="1" x14ac:dyDescent="0.2">
      <c r="A52" s="96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Q52"/>
      <c r="R52"/>
      <c r="S52"/>
      <c r="T52"/>
      <c r="U52"/>
      <c r="V52"/>
      <c r="W52"/>
    </row>
    <row r="53" spans="1:23" ht="18" customHeight="1" x14ac:dyDescent="0.2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Q53"/>
      <c r="R53"/>
      <c r="S53"/>
      <c r="T53"/>
      <c r="U53"/>
      <c r="V53"/>
      <c r="W53"/>
    </row>
    <row r="54" spans="1:23" ht="18" customHeight="1" x14ac:dyDescent="0.2">
      <c r="A54" s="85" t="s">
        <v>552</v>
      </c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7"/>
      <c r="Q54"/>
      <c r="R54"/>
      <c r="S54"/>
      <c r="T54"/>
      <c r="U54"/>
      <c r="V54"/>
      <c r="W54"/>
    </row>
    <row r="55" spans="1:23" ht="18" customHeight="1" x14ac:dyDescent="0.2">
      <c r="A55" s="32" t="s">
        <v>7</v>
      </c>
      <c r="B55" s="32" t="s">
        <v>137</v>
      </c>
      <c r="C55" s="59" t="s">
        <v>11</v>
      </c>
      <c r="D55" s="59" t="s">
        <v>166</v>
      </c>
      <c r="E55" s="59" t="s">
        <v>12</v>
      </c>
      <c r="F55" s="59" t="s">
        <v>13</v>
      </c>
      <c r="G55" s="40" t="s">
        <v>14</v>
      </c>
      <c r="H55" s="89" t="s">
        <v>15</v>
      </c>
      <c r="I55" s="90"/>
      <c r="J55" s="90"/>
      <c r="K55" s="90"/>
      <c r="L55" s="91"/>
      <c r="Q55"/>
      <c r="R55"/>
      <c r="S55"/>
      <c r="T55"/>
      <c r="U55"/>
      <c r="V55"/>
      <c r="W55"/>
    </row>
    <row r="56" spans="1:23" ht="18" customHeight="1" x14ac:dyDescent="0.2">
      <c r="A56" s="61" t="s">
        <v>451</v>
      </c>
      <c r="B56" s="58" t="s">
        <v>452</v>
      </c>
      <c r="C56" s="22">
        <v>1</v>
      </c>
      <c r="D56" s="58" t="s">
        <v>166</v>
      </c>
      <c r="E56" s="58" t="s">
        <v>178</v>
      </c>
      <c r="F56" s="58" t="s">
        <v>18</v>
      </c>
      <c r="G56" s="38" t="s">
        <v>178</v>
      </c>
      <c r="H56" s="95" t="s">
        <v>453</v>
      </c>
      <c r="I56" s="95"/>
      <c r="J56" s="95"/>
      <c r="K56" s="95"/>
      <c r="L56" s="95"/>
      <c r="Q56"/>
      <c r="R56"/>
      <c r="S56"/>
      <c r="T56"/>
      <c r="U56"/>
      <c r="V56"/>
      <c r="W56"/>
    </row>
    <row r="57" spans="1:23" ht="18" customHeight="1" x14ac:dyDescent="0.2">
      <c r="A57" s="61" t="s">
        <v>416</v>
      </c>
      <c r="B57" s="58" t="s">
        <v>417</v>
      </c>
      <c r="C57" s="22">
        <f>'Initial Estimates'!$C$5*'Initial Estimates'!$C$10/'Stability Constants'!$C$9</f>
        <v>256.04985055528198</v>
      </c>
      <c r="D57" s="58" t="s">
        <v>166</v>
      </c>
      <c r="E57" s="58" t="s">
        <v>263</v>
      </c>
      <c r="F57" s="58" t="s">
        <v>25</v>
      </c>
      <c r="G57" s="38" t="s">
        <v>497</v>
      </c>
      <c r="H57" s="95" t="s">
        <v>423</v>
      </c>
      <c r="I57" s="95"/>
      <c r="J57" s="95"/>
      <c r="K57" s="95"/>
      <c r="L57" s="95"/>
      <c r="Q57"/>
      <c r="R57"/>
      <c r="S57"/>
      <c r="T57"/>
      <c r="U57"/>
      <c r="V57"/>
      <c r="W57"/>
    </row>
    <row r="58" spans="1:23" ht="18" customHeight="1" x14ac:dyDescent="0.2">
      <c r="A58" s="61" t="s">
        <v>394</v>
      </c>
      <c r="B58" s="58" t="s">
        <v>395</v>
      </c>
      <c r="C58" s="22">
        <v>0</v>
      </c>
      <c r="D58" s="58" t="s">
        <v>166</v>
      </c>
      <c r="E58" s="58" t="s">
        <v>178</v>
      </c>
      <c r="F58" s="58" t="s">
        <v>18</v>
      </c>
      <c r="G58" s="38" t="s">
        <v>396</v>
      </c>
      <c r="H58" s="77" t="s">
        <v>454</v>
      </c>
      <c r="I58" s="77"/>
      <c r="J58" s="77"/>
      <c r="K58" s="77"/>
      <c r="L58" s="77"/>
      <c r="Q58"/>
      <c r="R58"/>
      <c r="S58"/>
      <c r="T58"/>
      <c r="U58"/>
      <c r="V58"/>
      <c r="W58"/>
    </row>
    <row r="59" spans="1:23" ht="18" customHeight="1" x14ac:dyDescent="0.2">
      <c r="A59" s="61" t="s">
        <v>380</v>
      </c>
      <c r="B59" s="58" t="s">
        <v>381</v>
      </c>
      <c r="C59" s="22">
        <v>0</v>
      </c>
      <c r="D59" s="22" t="s">
        <v>166</v>
      </c>
      <c r="E59" s="58" t="s">
        <v>178</v>
      </c>
      <c r="F59" s="58" t="s">
        <v>18</v>
      </c>
      <c r="G59" s="38" t="s">
        <v>459</v>
      </c>
      <c r="H59" s="94" t="s">
        <v>382</v>
      </c>
      <c r="I59" s="94"/>
      <c r="J59" s="94"/>
      <c r="K59" s="94"/>
      <c r="L59" s="94"/>
      <c r="Q59"/>
      <c r="R59"/>
      <c r="S59"/>
      <c r="T59"/>
      <c r="U59"/>
      <c r="V59"/>
      <c r="W59"/>
    </row>
    <row r="60" spans="1:23" ht="18" customHeight="1" x14ac:dyDescent="0.2">
      <c r="A60" s="61" t="s">
        <v>455</v>
      </c>
      <c r="B60" s="58" t="s">
        <v>456</v>
      </c>
      <c r="C60" s="22">
        <f>2*C64/(PI()*'Initial Estimates'!C59)*(1+C59)</f>
        <v>3.9088454023369495E-3</v>
      </c>
      <c r="D60" s="58" t="s">
        <v>166</v>
      </c>
      <c r="E60" s="58" t="s">
        <v>178</v>
      </c>
      <c r="F60" s="58" t="s">
        <v>18</v>
      </c>
      <c r="G60" s="38" t="s">
        <v>457</v>
      </c>
      <c r="H60" s="77" t="s">
        <v>458</v>
      </c>
      <c r="I60" s="77"/>
      <c r="J60" s="77"/>
      <c r="K60" s="77"/>
      <c r="L60" s="77"/>
      <c r="Q60"/>
      <c r="R60"/>
      <c r="S60"/>
      <c r="T60"/>
      <c r="U60"/>
      <c r="V60"/>
      <c r="W60"/>
    </row>
    <row r="61" spans="1:23" ht="18" customHeight="1" x14ac:dyDescent="0.2">
      <c r="A61" s="85" t="s">
        <v>545</v>
      </c>
      <c r="B61" s="86"/>
      <c r="C61" s="86"/>
      <c r="D61" s="86"/>
      <c r="E61" s="86"/>
      <c r="F61" s="86"/>
      <c r="G61" s="86"/>
      <c r="H61" s="88"/>
      <c r="I61" s="88"/>
      <c r="J61" s="88"/>
      <c r="K61" s="88"/>
      <c r="L61" s="92"/>
      <c r="Q61"/>
      <c r="R61"/>
      <c r="S61"/>
      <c r="T61"/>
      <c r="U61"/>
      <c r="V61"/>
      <c r="W61"/>
    </row>
    <row r="62" spans="1:23" ht="18" customHeight="1" x14ac:dyDescent="0.2">
      <c r="A62" s="32" t="s">
        <v>7</v>
      </c>
      <c r="B62" s="32" t="s">
        <v>137</v>
      </c>
      <c r="C62" s="59" t="s">
        <v>11</v>
      </c>
      <c r="D62" s="59" t="s">
        <v>166</v>
      </c>
      <c r="E62" s="59" t="s">
        <v>12</v>
      </c>
      <c r="F62" s="59" t="s">
        <v>13</v>
      </c>
      <c r="G62" s="40" t="s">
        <v>14</v>
      </c>
      <c r="H62" s="89" t="s">
        <v>15</v>
      </c>
      <c r="I62" s="90"/>
      <c r="J62" s="90"/>
      <c r="K62" s="90"/>
      <c r="L62" s="91"/>
      <c r="Q62"/>
      <c r="R62"/>
      <c r="S62"/>
      <c r="T62"/>
      <c r="U62"/>
      <c r="V62"/>
      <c r="W62"/>
    </row>
    <row r="63" spans="1:23" ht="18" customHeight="1" x14ac:dyDescent="0.2">
      <c r="A63" s="58" t="s">
        <v>420</v>
      </c>
      <c r="B63" s="58" t="s">
        <v>421</v>
      </c>
      <c r="C63" s="45">
        <v>1.6</v>
      </c>
      <c r="D63" s="58" t="s">
        <v>166</v>
      </c>
      <c r="E63" s="58" t="s">
        <v>178</v>
      </c>
      <c r="F63" s="58" t="s">
        <v>528</v>
      </c>
      <c r="G63" s="38" t="s">
        <v>178</v>
      </c>
      <c r="H63" s="93" t="s">
        <v>350</v>
      </c>
      <c r="I63" s="93"/>
      <c r="J63" s="93"/>
      <c r="K63" s="93"/>
      <c r="L63" s="93"/>
      <c r="Q63"/>
      <c r="R63"/>
      <c r="S63"/>
      <c r="T63"/>
      <c r="U63"/>
      <c r="V63"/>
      <c r="W63"/>
    </row>
    <row r="64" spans="1:23" ht="18" customHeight="1" x14ac:dyDescent="0.2">
      <c r="A64" s="58" t="s">
        <v>446</v>
      </c>
      <c r="B64" s="58" t="s">
        <v>447</v>
      </c>
      <c r="C64" s="45">
        <v>0.1535</v>
      </c>
      <c r="D64" s="58" t="s">
        <v>166</v>
      </c>
      <c r="E64" s="58" t="s">
        <v>178</v>
      </c>
      <c r="F64" s="58" t="s">
        <v>440</v>
      </c>
      <c r="G64" s="38" t="s">
        <v>529</v>
      </c>
      <c r="H64" s="94" t="s">
        <v>530</v>
      </c>
      <c r="I64" s="94"/>
      <c r="J64" s="94"/>
      <c r="K64" s="94"/>
      <c r="L64" s="94"/>
      <c r="Q64"/>
      <c r="R64"/>
      <c r="S64"/>
      <c r="T64"/>
      <c r="U64"/>
      <c r="V64"/>
      <c r="W64"/>
    </row>
    <row r="65" spans="1:81" ht="18" customHeight="1" x14ac:dyDescent="0.2">
      <c r="A65" s="58" t="s">
        <v>488</v>
      </c>
      <c r="B65" s="56" t="s">
        <v>489</v>
      </c>
      <c r="C65" s="57">
        <v>7.4071346879138633E-2</v>
      </c>
      <c r="D65" s="58" t="s">
        <v>166</v>
      </c>
      <c r="E65" s="58" t="s">
        <v>178</v>
      </c>
      <c r="F65" s="58" t="s">
        <v>440</v>
      </c>
      <c r="G65" s="38" t="s">
        <v>178</v>
      </c>
      <c r="H65" s="94" t="s">
        <v>490</v>
      </c>
      <c r="I65" s="94"/>
      <c r="J65" s="94"/>
      <c r="K65" s="94"/>
      <c r="L65" s="94"/>
      <c r="Q65"/>
      <c r="R65"/>
      <c r="S65"/>
      <c r="T65"/>
      <c r="U65"/>
      <c r="V65"/>
      <c r="W65"/>
      <c r="CC65" s="58">
        <v>-335544.32000000001</v>
      </c>
    </row>
    <row r="66" spans="1:81" ht="18" customHeight="1" x14ac:dyDescent="0.2">
      <c r="A66" s="58" t="s">
        <v>444</v>
      </c>
      <c r="B66" s="58" t="s">
        <v>477</v>
      </c>
      <c r="C66" s="45">
        <f>2.8*PI()/180</f>
        <v>4.8869219055841226E-2</v>
      </c>
      <c r="D66" s="58" t="s">
        <v>166</v>
      </c>
      <c r="E66" s="58" t="s">
        <v>448</v>
      </c>
      <c r="F66" s="58" t="s">
        <v>13</v>
      </c>
      <c r="G66" s="38" t="s">
        <v>178</v>
      </c>
      <c r="H66" s="94" t="s">
        <v>450</v>
      </c>
      <c r="I66" s="94"/>
      <c r="J66" s="94"/>
      <c r="K66" s="94"/>
      <c r="L66" s="94"/>
      <c r="Q66"/>
      <c r="R66"/>
      <c r="S66"/>
      <c r="T66"/>
      <c r="U66"/>
      <c r="V66"/>
      <c r="W66"/>
    </row>
    <row r="67" spans="1:81" ht="18" customHeight="1" x14ac:dyDescent="0.2">
      <c r="A67" s="58" t="s">
        <v>521</v>
      </c>
      <c r="B67" s="56" t="s">
        <v>522</v>
      </c>
      <c r="C67" s="57">
        <f>C65/C69</f>
        <v>2.3581816784350666E-2</v>
      </c>
      <c r="D67" s="58" t="s">
        <v>166</v>
      </c>
      <c r="E67" s="58" t="s">
        <v>448</v>
      </c>
      <c r="F67" s="58" t="s">
        <v>25</v>
      </c>
      <c r="G67" s="38" t="s">
        <v>523</v>
      </c>
      <c r="H67" s="94" t="s">
        <v>524</v>
      </c>
      <c r="I67" s="94"/>
      <c r="J67" s="94"/>
      <c r="K67" s="94"/>
      <c r="L67" s="94"/>
      <c r="Q67"/>
      <c r="R67"/>
      <c r="S67"/>
      <c r="T67"/>
      <c r="U67"/>
      <c r="V67"/>
      <c r="W67"/>
    </row>
    <row r="68" spans="1:81" ht="18" customHeight="1" x14ac:dyDescent="0.2">
      <c r="A68" s="58" t="s">
        <v>460</v>
      </c>
      <c r="B68" s="58" t="s">
        <v>461</v>
      </c>
      <c r="C68" s="45">
        <f>C64/C66</f>
        <v>3.1410364840207632</v>
      </c>
      <c r="D68" s="58" t="s">
        <v>166</v>
      </c>
      <c r="E68" s="58" t="s">
        <v>462</v>
      </c>
      <c r="F68" s="58" t="s">
        <v>25</v>
      </c>
      <c r="G68" s="38" t="s">
        <v>463</v>
      </c>
      <c r="H68" s="77" t="s">
        <v>464</v>
      </c>
      <c r="I68" s="77"/>
      <c r="J68" s="77"/>
      <c r="K68" s="77"/>
      <c r="L68" s="77"/>
      <c r="Q68"/>
      <c r="R68"/>
      <c r="S68"/>
      <c r="T68"/>
      <c r="U68"/>
      <c r="V68"/>
      <c r="W68"/>
    </row>
    <row r="69" spans="1:81" ht="18" customHeight="1" x14ac:dyDescent="0.2">
      <c r="A69" s="58" t="s">
        <v>466</v>
      </c>
      <c r="B69" s="58" t="s">
        <v>467</v>
      </c>
      <c r="C69" s="45">
        <f>C68</f>
        <v>3.1410364840207632</v>
      </c>
      <c r="D69" s="58" t="s">
        <v>166</v>
      </c>
      <c r="E69" s="58" t="s">
        <v>462</v>
      </c>
      <c r="F69" s="58" t="s">
        <v>25</v>
      </c>
      <c r="G69" s="38" t="s">
        <v>468</v>
      </c>
      <c r="H69" s="77" t="s">
        <v>469</v>
      </c>
      <c r="I69" s="77"/>
      <c r="J69" s="77"/>
      <c r="K69" s="77"/>
      <c r="L69" s="77"/>
      <c r="Q69"/>
      <c r="R69"/>
      <c r="S69"/>
      <c r="T69"/>
      <c r="U69"/>
      <c r="V69"/>
      <c r="W69"/>
    </row>
    <row r="70" spans="1:81" ht="18" customHeight="1" x14ac:dyDescent="0.2">
      <c r="A70" s="61" t="s">
        <v>470</v>
      </c>
      <c r="B70" s="58" t="s">
        <v>471</v>
      </c>
      <c r="C70" s="45">
        <f>$C$7/C66</f>
        <v>0.36178599806827544</v>
      </c>
      <c r="D70" s="58" t="s">
        <v>166</v>
      </c>
      <c r="E70" s="58" t="s">
        <v>472</v>
      </c>
      <c r="F70" s="58" t="s">
        <v>25</v>
      </c>
      <c r="G70" s="38" t="s">
        <v>473</v>
      </c>
      <c r="H70" s="77" t="s">
        <v>474</v>
      </c>
      <c r="I70" s="77"/>
      <c r="J70" s="77"/>
      <c r="K70" s="77"/>
      <c r="L70" s="77"/>
      <c r="Q70"/>
      <c r="R70"/>
      <c r="S70"/>
      <c r="T70"/>
      <c r="U70"/>
      <c r="V70"/>
      <c r="W70"/>
    </row>
    <row r="71" spans="1:81" ht="18" customHeight="1" x14ac:dyDescent="0.2">
      <c r="A71" s="58" t="s">
        <v>475</v>
      </c>
      <c r="B71" s="58" t="s">
        <v>476</v>
      </c>
      <c r="C71" s="45">
        <f>2*'Stability Constants'!$C$13*('Stability Constants'!$C$4-'Stability Constants'!$C$3)*'Stability Constants'!$C$14*'Supersonic Stability'!C66</f>
        <v>95710.872751145769</v>
      </c>
      <c r="D71" s="58" t="s">
        <v>166</v>
      </c>
      <c r="E71" s="58" t="s">
        <v>265</v>
      </c>
      <c r="F71" s="58" t="s">
        <v>25</v>
      </c>
      <c r="G71" s="38" t="s">
        <v>478</v>
      </c>
      <c r="H71" s="77" t="s">
        <v>479</v>
      </c>
      <c r="I71" s="77"/>
      <c r="J71" s="77"/>
      <c r="K71" s="77"/>
      <c r="L71" s="77"/>
      <c r="Q71"/>
      <c r="R71"/>
      <c r="S71"/>
      <c r="T71"/>
      <c r="U71"/>
      <c r="V71"/>
      <c r="W71"/>
    </row>
    <row r="72" spans="1:81" ht="18" customHeight="1" x14ac:dyDescent="0.2">
      <c r="A72" s="58" t="s">
        <v>480</v>
      </c>
      <c r="B72" s="58" t="s">
        <v>481</v>
      </c>
      <c r="C72" s="45">
        <f>2*'Stability Constants'!$C$13*('Stability Constants'!$C$6-'Stability Constants'!$C$5)*'Stability Constants'!$C$15*'Supersonic Stability'!C66</f>
        <v>59875.19414031793</v>
      </c>
      <c r="D72" s="58" t="s">
        <v>166</v>
      </c>
      <c r="E72" s="58" t="s">
        <v>265</v>
      </c>
      <c r="F72" s="58" t="s">
        <v>25</v>
      </c>
      <c r="G72" s="38" t="s">
        <v>483</v>
      </c>
      <c r="H72" s="77" t="s">
        <v>479</v>
      </c>
      <c r="I72" s="77"/>
      <c r="J72" s="77"/>
      <c r="K72" s="77"/>
      <c r="L72" s="77"/>
      <c r="Q72"/>
      <c r="R72"/>
      <c r="S72"/>
      <c r="T72"/>
      <c r="U72"/>
      <c r="V72"/>
      <c r="W72"/>
    </row>
    <row r="73" spans="1:81" ht="18" customHeight="1" x14ac:dyDescent="0.2">
      <c r="A73" s="85" t="s">
        <v>547</v>
      </c>
      <c r="B73" s="86"/>
      <c r="C73" s="86"/>
      <c r="D73" s="86"/>
      <c r="E73" s="86"/>
      <c r="F73" s="86"/>
      <c r="G73" s="86"/>
      <c r="H73" s="88"/>
      <c r="I73" s="88"/>
      <c r="J73" s="88"/>
      <c r="K73" s="88"/>
      <c r="L73" s="92"/>
      <c r="Q73"/>
      <c r="R73"/>
      <c r="S73"/>
      <c r="T73"/>
      <c r="U73"/>
      <c r="V73"/>
      <c r="W73"/>
    </row>
    <row r="74" spans="1:81" ht="18" customHeight="1" x14ac:dyDescent="0.2">
      <c r="A74" s="32" t="s">
        <v>7</v>
      </c>
      <c r="B74" s="32" t="s">
        <v>137</v>
      </c>
      <c r="C74" s="59" t="s">
        <v>11</v>
      </c>
      <c r="D74" s="59" t="s">
        <v>166</v>
      </c>
      <c r="E74" s="59" t="s">
        <v>12</v>
      </c>
      <c r="F74" s="59" t="s">
        <v>13</v>
      </c>
      <c r="G74" s="40" t="s">
        <v>14</v>
      </c>
      <c r="H74" s="89" t="s">
        <v>15</v>
      </c>
      <c r="I74" s="90"/>
      <c r="J74" s="90"/>
      <c r="K74" s="90"/>
      <c r="L74" s="91"/>
      <c r="Q74"/>
      <c r="R74"/>
      <c r="S74"/>
      <c r="T74"/>
      <c r="U74"/>
      <c r="V74"/>
      <c r="W74"/>
    </row>
    <row r="75" spans="1:81" ht="18" customHeight="1" x14ac:dyDescent="0.2">
      <c r="A75" s="58" t="s">
        <v>420</v>
      </c>
      <c r="B75" s="58" t="s">
        <v>421</v>
      </c>
      <c r="C75" s="45">
        <v>1.7</v>
      </c>
      <c r="D75" s="58" t="s">
        <v>166</v>
      </c>
      <c r="E75" s="58" t="s">
        <v>178</v>
      </c>
      <c r="F75" s="58" t="s">
        <v>528</v>
      </c>
      <c r="G75" s="38" t="s">
        <v>178</v>
      </c>
      <c r="H75" s="93" t="s">
        <v>350</v>
      </c>
      <c r="I75" s="93"/>
      <c r="J75" s="93"/>
      <c r="K75" s="93"/>
      <c r="L75" s="93"/>
      <c r="Q75"/>
      <c r="R75"/>
      <c r="S75"/>
      <c r="T75"/>
      <c r="U75"/>
      <c r="V75"/>
      <c r="W75"/>
    </row>
    <row r="76" spans="1:81" ht="18" customHeight="1" x14ac:dyDescent="0.2">
      <c r="A76" s="58" t="s">
        <v>446</v>
      </c>
      <c r="B76" s="58" t="s">
        <v>447</v>
      </c>
      <c r="C76" s="45">
        <v>0.13600000000000001</v>
      </c>
      <c r="D76" s="58" t="s">
        <v>166</v>
      </c>
      <c r="E76" s="58" t="s">
        <v>178</v>
      </c>
      <c r="F76" s="58" t="s">
        <v>440</v>
      </c>
      <c r="G76" s="38" t="s">
        <v>529</v>
      </c>
      <c r="H76" s="94" t="s">
        <v>530</v>
      </c>
      <c r="I76" s="94"/>
      <c r="J76" s="94"/>
      <c r="K76" s="94"/>
      <c r="L76" s="94"/>
      <c r="Q76"/>
      <c r="R76"/>
      <c r="S76"/>
      <c r="T76"/>
      <c r="U76"/>
      <c r="V76"/>
      <c r="W76"/>
    </row>
    <row r="77" spans="1:81" ht="18" customHeight="1" x14ac:dyDescent="0.2">
      <c r="A77" s="58" t="s">
        <v>488</v>
      </c>
      <c r="B77" s="56" t="s">
        <v>489</v>
      </c>
      <c r="C77" s="57">
        <v>7.0292854636276464E-2</v>
      </c>
      <c r="D77" s="58" t="s">
        <v>166</v>
      </c>
      <c r="E77" s="58" t="s">
        <v>178</v>
      </c>
      <c r="F77" s="58" t="s">
        <v>440</v>
      </c>
      <c r="G77" s="38" t="s">
        <v>178</v>
      </c>
      <c r="H77" s="94" t="s">
        <v>490</v>
      </c>
      <c r="I77" s="94"/>
      <c r="J77" s="94"/>
      <c r="K77" s="94"/>
      <c r="L77" s="94"/>
      <c r="Q77"/>
      <c r="R77"/>
      <c r="S77"/>
      <c r="T77"/>
      <c r="U77"/>
      <c r="V77"/>
      <c r="W77"/>
    </row>
    <row r="78" spans="1:81" ht="18" customHeight="1" x14ac:dyDescent="0.2">
      <c r="A78" s="58" t="s">
        <v>444</v>
      </c>
      <c r="B78" s="58" t="s">
        <v>477</v>
      </c>
      <c r="C78" s="45">
        <f>2.67*PI()/180</f>
        <v>4.66002910282486E-2</v>
      </c>
      <c r="D78" s="58" t="s">
        <v>166</v>
      </c>
      <c r="E78" s="58" t="s">
        <v>448</v>
      </c>
      <c r="F78" s="58" t="s">
        <v>13</v>
      </c>
      <c r="G78" s="38" t="s">
        <v>539</v>
      </c>
      <c r="H78" s="94" t="s">
        <v>450</v>
      </c>
      <c r="I78" s="94"/>
      <c r="J78" s="94"/>
      <c r="K78" s="94"/>
      <c r="L78" s="94"/>
      <c r="Q78"/>
      <c r="R78"/>
      <c r="S78"/>
      <c r="T78"/>
      <c r="U78"/>
      <c r="V78"/>
      <c r="W78"/>
    </row>
    <row r="79" spans="1:81" ht="18" customHeight="1" x14ac:dyDescent="0.2">
      <c r="A79" s="58" t="s">
        <v>521</v>
      </c>
      <c r="B79" s="56" t="s">
        <v>522</v>
      </c>
      <c r="C79" s="57">
        <f>C77/C81</f>
        <v>2.4085790318065126E-2</v>
      </c>
      <c r="D79" s="58" t="s">
        <v>166</v>
      </c>
      <c r="E79" s="58" t="s">
        <v>448</v>
      </c>
      <c r="F79" s="58" t="s">
        <v>25</v>
      </c>
      <c r="G79" s="38" t="s">
        <v>523</v>
      </c>
      <c r="H79" s="94" t="s">
        <v>524</v>
      </c>
      <c r="I79" s="94"/>
      <c r="J79" s="94"/>
      <c r="K79" s="94"/>
      <c r="L79" s="94"/>
      <c r="Q79"/>
      <c r="R79"/>
      <c r="S79"/>
      <c r="T79"/>
      <c r="U79"/>
      <c r="V79"/>
      <c r="W79"/>
    </row>
    <row r="80" spans="1:81" ht="18" customHeight="1" x14ac:dyDescent="0.2">
      <c r="A80" s="58" t="s">
        <v>460</v>
      </c>
      <c r="B80" s="58" t="s">
        <v>461</v>
      </c>
      <c r="C80" s="45">
        <f>C76/C78</f>
        <v>2.9184367092805976</v>
      </c>
      <c r="D80" s="58" t="s">
        <v>166</v>
      </c>
      <c r="E80" s="58" t="s">
        <v>462</v>
      </c>
      <c r="F80" s="58" t="s">
        <v>25</v>
      </c>
      <c r="G80" s="38" t="s">
        <v>463</v>
      </c>
      <c r="H80" s="77" t="s">
        <v>464</v>
      </c>
      <c r="I80" s="77"/>
      <c r="J80" s="77"/>
      <c r="K80" s="77"/>
      <c r="L80" s="77"/>
      <c r="Q80"/>
      <c r="R80"/>
      <c r="S80"/>
      <c r="T80"/>
      <c r="U80"/>
      <c r="V80"/>
      <c r="W80"/>
    </row>
    <row r="81" spans="1:23" ht="18" customHeight="1" x14ac:dyDescent="0.2">
      <c r="A81" s="58" t="s">
        <v>466</v>
      </c>
      <c r="B81" s="58" t="s">
        <v>467</v>
      </c>
      <c r="C81" s="45">
        <f>C80</f>
        <v>2.9184367092805976</v>
      </c>
      <c r="D81" s="58" t="s">
        <v>166</v>
      </c>
      <c r="E81" s="58" t="s">
        <v>462</v>
      </c>
      <c r="F81" s="58" t="s">
        <v>25</v>
      </c>
      <c r="G81" s="38" t="s">
        <v>468</v>
      </c>
      <c r="H81" s="77" t="s">
        <v>469</v>
      </c>
      <c r="I81" s="77"/>
      <c r="J81" s="77"/>
      <c r="K81" s="77"/>
      <c r="L81" s="77"/>
      <c r="Q81"/>
      <c r="R81"/>
      <c r="S81"/>
      <c r="T81"/>
      <c r="U81"/>
      <c r="V81"/>
      <c r="W81"/>
    </row>
    <row r="82" spans="1:23" ht="18" customHeight="1" x14ac:dyDescent="0.2">
      <c r="A82" s="61" t="s">
        <v>470</v>
      </c>
      <c r="B82" s="58" t="s">
        <v>471</v>
      </c>
      <c r="C82" s="45">
        <f>$C$7/C78</f>
        <v>0.37940104666336</v>
      </c>
      <c r="D82" s="58" t="s">
        <v>166</v>
      </c>
      <c r="E82" s="58" t="s">
        <v>472</v>
      </c>
      <c r="F82" s="58" t="s">
        <v>25</v>
      </c>
      <c r="G82" s="38" t="s">
        <v>473</v>
      </c>
      <c r="H82" s="77" t="s">
        <v>474</v>
      </c>
      <c r="I82" s="77"/>
      <c r="J82" s="77"/>
      <c r="K82" s="77"/>
      <c r="L82" s="77"/>
      <c r="Q82"/>
      <c r="R82"/>
      <c r="S82"/>
      <c r="T82"/>
      <c r="U82"/>
      <c r="V82"/>
      <c r="W82"/>
    </row>
    <row r="83" spans="1:23" ht="18" customHeight="1" x14ac:dyDescent="0.2">
      <c r="A83" s="58" t="s">
        <v>475</v>
      </c>
      <c r="B83" s="58" t="s">
        <v>476</v>
      </c>
      <c r="C83" s="45">
        <f>2*'Stability Constants'!$C$13*('Stability Constants'!$C$4-'Stability Constants'!$C$3)*'Stability Constants'!$C$14*'Supersonic Stability'!C78</f>
        <v>91267.153659128293</v>
      </c>
      <c r="D83" s="58" t="s">
        <v>166</v>
      </c>
      <c r="E83" s="58" t="s">
        <v>265</v>
      </c>
      <c r="F83" s="58" t="s">
        <v>25</v>
      </c>
      <c r="G83" s="38" t="s">
        <v>478</v>
      </c>
      <c r="H83" s="77" t="s">
        <v>479</v>
      </c>
      <c r="I83" s="77"/>
      <c r="J83" s="77"/>
      <c r="K83" s="77"/>
      <c r="L83" s="77"/>
      <c r="Q83"/>
      <c r="R83"/>
      <c r="S83"/>
      <c r="T83"/>
      <c r="U83"/>
      <c r="V83"/>
      <c r="W83"/>
    </row>
    <row r="84" spans="1:23" ht="18" customHeight="1" x14ac:dyDescent="0.2">
      <c r="A84" s="58" t="s">
        <v>480</v>
      </c>
      <c r="B84" s="58" t="s">
        <v>481</v>
      </c>
      <c r="C84" s="45">
        <f>2*'Stability Constants'!$C$13*('Stability Constants'!$C$6-'Stability Constants'!$C$5)*'Stability Constants'!$C$15*'Supersonic Stability'!C78</f>
        <v>57095.274412374602</v>
      </c>
      <c r="D84" s="58" t="s">
        <v>166</v>
      </c>
      <c r="E84" s="58" t="s">
        <v>265</v>
      </c>
      <c r="F84" s="58" t="s">
        <v>25</v>
      </c>
      <c r="G84" s="38" t="s">
        <v>483</v>
      </c>
      <c r="H84" s="77" t="s">
        <v>479</v>
      </c>
      <c r="I84" s="77"/>
      <c r="J84" s="77"/>
      <c r="K84" s="77"/>
      <c r="L84" s="77"/>
      <c r="Q84"/>
      <c r="R84"/>
      <c r="S84"/>
      <c r="T84"/>
      <c r="U84"/>
      <c r="V84"/>
      <c r="W84"/>
    </row>
    <row r="85" spans="1:23" ht="18" customHeight="1" x14ac:dyDescent="0.2">
      <c r="A85" s="85" t="s">
        <v>546</v>
      </c>
      <c r="B85" s="86"/>
      <c r="C85" s="86"/>
      <c r="D85" s="86"/>
      <c r="E85" s="86"/>
      <c r="F85" s="86"/>
      <c r="G85" s="86"/>
      <c r="H85" s="88"/>
      <c r="I85" s="88"/>
      <c r="J85" s="88"/>
      <c r="K85" s="88"/>
      <c r="L85" s="92"/>
      <c r="Q85"/>
      <c r="R85"/>
      <c r="S85"/>
      <c r="T85"/>
      <c r="U85"/>
      <c r="V85"/>
      <c r="W85"/>
    </row>
    <row r="86" spans="1:23" ht="18" customHeight="1" x14ac:dyDescent="0.2">
      <c r="A86" s="32" t="s">
        <v>7</v>
      </c>
      <c r="B86" s="32" t="s">
        <v>137</v>
      </c>
      <c r="C86" s="59" t="s">
        <v>11</v>
      </c>
      <c r="D86" s="59" t="s">
        <v>166</v>
      </c>
      <c r="E86" s="59" t="s">
        <v>12</v>
      </c>
      <c r="F86" s="59" t="s">
        <v>13</v>
      </c>
      <c r="G86" s="40" t="s">
        <v>14</v>
      </c>
      <c r="H86" s="89" t="s">
        <v>15</v>
      </c>
      <c r="I86" s="90"/>
      <c r="J86" s="90"/>
      <c r="K86" s="90"/>
      <c r="L86" s="91"/>
      <c r="Q86"/>
      <c r="R86"/>
      <c r="S86"/>
      <c r="T86"/>
      <c r="U86"/>
      <c r="V86"/>
      <c r="W86"/>
    </row>
    <row r="87" spans="1:23" ht="18" customHeight="1" x14ac:dyDescent="0.2">
      <c r="A87" s="58" t="s">
        <v>420</v>
      </c>
      <c r="B87" s="58" t="s">
        <v>421</v>
      </c>
      <c r="C87" s="45">
        <v>1.8</v>
      </c>
      <c r="D87" s="58" t="s">
        <v>166</v>
      </c>
      <c r="E87" s="58" t="s">
        <v>178</v>
      </c>
      <c r="F87" s="58" t="s">
        <v>528</v>
      </c>
      <c r="G87" s="38" t="s">
        <v>178</v>
      </c>
      <c r="H87" s="93" t="s">
        <v>350</v>
      </c>
      <c r="I87" s="93"/>
      <c r="J87" s="93"/>
      <c r="K87" s="93"/>
      <c r="L87" s="93"/>
      <c r="Q87"/>
      <c r="R87"/>
      <c r="S87"/>
      <c r="T87"/>
      <c r="U87"/>
      <c r="V87"/>
      <c r="W87"/>
    </row>
    <row r="88" spans="1:23" ht="18" customHeight="1" x14ac:dyDescent="0.2">
      <c r="A88" s="58" t="s">
        <v>446</v>
      </c>
      <c r="B88" s="58" t="s">
        <v>447</v>
      </c>
      <c r="C88" s="45">
        <v>0.12130000000000001</v>
      </c>
      <c r="D88" s="58" t="s">
        <v>166</v>
      </c>
      <c r="E88" s="58" t="s">
        <v>178</v>
      </c>
      <c r="F88" s="58" t="s">
        <v>440</v>
      </c>
      <c r="G88" s="38" t="s">
        <v>529</v>
      </c>
      <c r="H88" s="94" t="s">
        <v>530</v>
      </c>
      <c r="I88" s="94"/>
      <c r="J88" s="94"/>
      <c r="K88" s="94"/>
      <c r="L88" s="94"/>
      <c r="Q88"/>
      <c r="R88"/>
      <c r="S88"/>
      <c r="T88"/>
      <c r="U88"/>
      <c r="V88"/>
      <c r="W88"/>
    </row>
    <row r="89" spans="1:23" ht="18" customHeight="1" x14ac:dyDescent="0.2">
      <c r="A89" s="58" t="s">
        <v>488</v>
      </c>
      <c r="B89" s="56" t="s">
        <v>489</v>
      </c>
      <c r="C89" s="57">
        <v>6.7099193143703231E-2</v>
      </c>
      <c r="D89" s="58" t="s">
        <v>166</v>
      </c>
      <c r="E89" s="58" t="s">
        <v>178</v>
      </c>
      <c r="F89" s="58" t="s">
        <v>440</v>
      </c>
      <c r="G89" s="38" t="s">
        <v>178</v>
      </c>
      <c r="H89" s="94" t="s">
        <v>490</v>
      </c>
      <c r="I89" s="94"/>
      <c r="J89" s="94"/>
      <c r="K89" s="94"/>
      <c r="L89" s="94"/>
      <c r="Q89"/>
      <c r="R89"/>
      <c r="S89"/>
      <c r="T89"/>
      <c r="U89"/>
      <c r="V89"/>
      <c r="W89"/>
    </row>
    <row r="90" spans="1:23" ht="18" customHeight="1" x14ac:dyDescent="0.2">
      <c r="A90" s="58" t="s">
        <v>444</v>
      </c>
      <c r="B90" s="58" t="s">
        <v>477</v>
      </c>
      <c r="C90" s="45">
        <f>2.56*PI()/180</f>
        <v>4.4680428851054839E-2</v>
      </c>
      <c r="D90" s="58" t="s">
        <v>166</v>
      </c>
      <c r="E90" s="58" t="s">
        <v>448</v>
      </c>
      <c r="F90" s="58" t="s">
        <v>13</v>
      </c>
      <c r="G90" s="38" t="s">
        <v>178</v>
      </c>
      <c r="H90" s="94" t="s">
        <v>450</v>
      </c>
      <c r="I90" s="94"/>
      <c r="J90" s="94"/>
      <c r="K90" s="94"/>
      <c r="L90" s="94"/>
      <c r="Q90"/>
      <c r="R90"/>
      <c r="S90"/>
      <c r="T90"/>
      <c r="U90"/>
      <c r="V90"/>
      <c r="W90"/>
    </row>
    <row r="91" spans="1:23" ht="18" customHeight="1" x14ac:dyDescent="0.2">
      <c r="A91" s="58" t="s">
        <v>521</v>
      </c>
      <c r="B91" s="56" t="s">
        <v>522</v>
      </c>
      <c r="C91" s="57">
        <f>C89/C93</f>
        <v>2.4715752062822907E-2</v>
      </c>
      <c r="D91" s="58" t="s">
        <v>166</v>
      </c>
      <c r="E91" s="58" t="s">
        <v>448</v>
      </c>
      <c r="F91" s="58" t="s">
        <v>25</v>
      </c>
      <c r="G91" s="38" t="s">
        <v>523</v>
      </c>
      <c r="H91" s="94" t="s">
        <v>524</v>
      </c>
      <c r="I91" s="94"/>
      <c r="J91" s="94"/>
      <c r="K91" s="94"/>
      <c r="L91" s="94"/>
      <c r="Q91"/>
      <c r="R91"/>
      <c r="S91"/>
      <c r="T91"/>
      <c r="U91"/>
      <c r="V91"/>
      <c r="W91"/>
    </row>
    <row r="92" spans="1:23" ht="18" customHeight="1" x14ac:dyDescent="0.2">
      <c r="A92" s="58" t="s">
        <v>460</v>
      </c>
      <c r="B92" s="58" t="s">
        <v>461</v>
      </c>
      <c r="C92" s="45">
        <f>C88/C90</f>
        <v>2.714835177709721</v>
      </c>
      <c r="D92" s="58" t="s">
        <v>166</v>
      </c>
      <c r="E92" s="58" t="s">
        <v>462</v>
      </c>
      <c r="F92" s="58" t="s">
        <v>25</v>
      </c>
      <c r="G92" s="38" t="s">
        <v>463</v>
      </c>
      <c r="H92" s="77" t="s">
        <v>464</v>
      </c>
      <c r="I92" s="77"/>
      <c r="J92" s="77"/>
      <c r="K92" s="77"/>
      <c r="L92" s="77"/>
      <c r="Q92"/>
      <c r="R92"/>
      <c r="S92"/>
      <c r="T92"/>
      <c r="U92"/>
      <c r="V92"/>
      <c r="W92"/>
    </row>
    <row r="93" spans="1:23" ht="18" customHeight="1" x14ac:dyDescent="0.2">
      <c r="A93" s="58" t="s">
        <v>466</v>
      </c>
      <c r="B93" s="58" t="s">
        <v>467</v>
      </c>
      <c r="C93" s="45">
        <f>C92</f>
        <v>2.714835177709721</v>
      </c>
      <c r="D93" s="58" t="s">
        <v>166</v>
      </c>
      <c r="E93" s="58" t="s">
        <v>462</v>
      </c>
      <c r="F93" s="58" t="s">
        <v>25</v>
      </c>
      <c r="G93" s="38" t="s">
        <v>468</v>
      </c>
      <c r="H93" s="77" t="s">
        <v>469</v>
      </c>
      <c r="I93" s="77"/>
      <c r="J93" s="77"/>
      <c r="K93" s="77"/>
      <c r="L93" s="77"/>
      <c r="Q93"/>
      <c r="R93"/>
      <c r="S93"/>
      <c r="T93"/>
      <c r="U93"/>
      <c r="V93"/>
      <c r="W93"/>
    </row>
    <row r="94" spans="1:23" ht="18" customHeight="1" x14ac:dyDescent="0.2">
      <c r="A94" s="61" t="s">
        <v>470</v>
      </c>
      <c r="B94" s="58" t="s">
        <v>471</v>
      </c>
      <c r="C94" s="45">
        <f>$C$7/C90</f>
        <v>0.39570343538717623</v>
      </c>
      <c r="D94" s="58" t="s">
        <v>166</v>
      </c>
      <c r="E94" s="58" t="s">
        <v>472</v>
      </c>
      <c r="F94" s="58" t="s">
        <v>25</v>
      </c>
      <c r="G94" s="38" t="s">
        <v>473</v>
      </c>
      <c r="H94" s="77" t="s">
        <v>474</v>
      </c>
      <c r="I94" s="77"/>
      <c r="J94" s="77"/>
      <c r="K94" s="77"/>
      <c r="L94" s="77"/>
      <c r="Q94"/>
      <c r="R94"/>
      <c r="S94"/>
      <c r="T94"/>
      <c r="U94"/>
      <c r="V94"/>
      <c r="W94"/>
    </row>
    <row r="95" spans="1:23" ht="18" customHeight="1" x14ac:dyDescent="0.2">
      <c r="A95" s="58" t="s">
        <v>475</v>
      </c>
      <c r="B95" s="58" t="s">
        <v>476</v>
      </c>
      <c r="C95" s="45">
        <f>2*'Stability Constants'!$C$13*('Stability Constants'!$C$4-'Stability Constants'!$C$3)*'Stability Constants'!$C$14*'Supersonic Stability'!C90</f>
        <v>87507.08365819043</v>
      </c>
      <c r="D95" s="58" t="s">
        <v>166</v>
      </c>
      <c r="E95" s="58" t="s">
        <v>265</v>
      </c>
      <c r="F95" s="58" t="s">
        <v>25</v>
      </c>
      <c r="G95" s="38" t="s">
        <v>478</v>
      </c>
      <c r="H95" s="77" t="s">
        <v>479</v>
      </c>
      <c r="I95" s="77"/>
      <c r="J95" s="77"/>
      <c r="K95" s="77"/>
      <c r="L95" s="77"/>
      <c r="Q95"/>
      <c r="R95"/>
      <c r="S95"/>
      <c r="T95"/>
      <c r="U95"/>
      <c r="V95"/>
      <c r="W95"/>
    </row>
    <row r="96" spans="1:23" ht="18" customHeight="1" x14ac:dyDescent="0.2">
      <c r="A96" s="58" t="s">
        <v>480</v>
      </c>
      <c r="B96" s="58" t="s">
        <v>481</v>
      </c>
      <c r="C96" s="45">
        <f>2*'Stability Constants'!$C$13*('Stability Constants'!$C$6-'Stability Constants'!$C$5)*'Stability Constants'!$C$15*'Supersonic Stability'!C90</f>
        <v>54743.0346425764</v>
      </c>
      <c r="D96" s="58" t="s">
        <v>166</v>
      </c>
      <c r="E96" s="58" t="s">
        <v>265</v>
      </c>
      <c r="F96" s="58" t="s">
        <v>25</v>
      </c>
      <c r="G96" s="38" t="s">
        <v>483</v>
      </c>
      <c r="H96" s="77" t="s">
        <v>479</v>
      </c>
      <c r="I96" s="77"/>
      <c r="J96" s="77"/>
      <c r="K96" s="77"/>
      <c r="L96" s="77"/>
      <c r="Q96"/>
      <c r="R96"/>
      <c r="S96"/>
      <c r="T96"/>
      <c r="U96"/>
      <c r="V96"/>
      <c r="W96"/>
    </row>
    <row r="97" spans="1:23" ht="18" customHeight="1" x14ac:dyDescent="0.2">
      <c r="A97" s="85" t="s">
        <v>553</v>
      </c>
      <c r="B97" s="86"/>
      <c r="C97" s="86"/>
      <c r="D97" s="86"/>
      <c r="E97" s="86"/>
      <c r="F97" s="86"/>
      <c r="G97" s="86"/>
      <c r="H97" s="88"/>
      <c r="I97" s="88"/>
      <c r="J97" s="88"/>
      <c r="K97" s="88"/>
      <c r="L97" s="92"/>
      <c r="Q97"/>
      <c r="R97"/>
      <c r="S97"/>
      <c r="T97"/>
      <c r="U97"/>
      <c r="V97"/>
      <c r="W97"/>
    </row>
    <row r="98" spans="1:23" ht="18" customHeight="1" x14ac:dyDescent="0.2">
      <c r="A98" s="32" t="s">
        <v>7</v>
      </c>
      <c r="B98" s="32" t="s">
        <v>137</v>
      </c>
      <c r="C98" s="59" t="s">
        <v>11</v>
      </c>
      <c r="D98" s="59" t="s">
        <v>166</v>
      </c>
      <c r="E98" s="59" t="s">
        <v>12</v>
      </c>
      <c r="F98" s="59" t="s">
        <v>13</v>
      </c>
      <c r="G98" s="40" t="s">
        <v>500</v>
      </c>
      <c r="H98" s="89" t="s">
        <v>15</v>
      </c>
      <c r="I98" s="90"/>
      <c r="J98" s="90"/>
      <c r="K98" s="90"/>
      <c r="L98" s="91"/>
      <c r="Q98"/>
      <c r="R98"/>
      <c r="S98"/>
      <c r="T98"/>
      <c r="U98"/>
      <c r="V98"/>
      <c r="W98"/>
    </row>
    <row r="99" spans="1:23" ht="18" customHeight="1" x14ac:dyDescent="0.2">
      <c r="A99" s="58" t="s">
        <v>491</v>
      </c>
      <c r="B99" s="56" t="s">
        <v>487</v>
      </c>
      <c r="C99" s="57">
        <f>(C64 + C65* 'Stability Constants'!$C$16*'Supersonic Stability'!$C$4/'Initial Estimates'!$C$5)*'Stability Constants'!$C$8/'Initial Estimates'!$C$10 - 'Supersonic Stability'!C65*'Stability Constants'!$C$16*'Supersonic Stability'!$C$4/'Initial Estimates'!$C$5*'Stability Constants'!$C$10/'Initial Estimates'!$C$10+'Supersonic Stability'!$C$5+('Supersonic Stability'!C71+'Stability Constants'!$C$11*'Supersonic Stability'!C72)/('Stability Constants'!$C$13*'Initial Estimates'!$C$5*'Initial Estimates'!$C$10)</f>
        <v>0</v>
      </c>
      <c r="D99" s="58" t="s">
        <v>166</v>
      </c>
      <c r="E99" s="58" t="s">
        <v>178</v>
      </c>
      <c r="F99" s="58" t="s">
        <v>25</v>
      </c>
      <c r="G99" s="38" t="s">
        <v>501</v>
      </c>
      <c r="H99" s="77" t="s">
        <v>479</v>
      </c>
      <c r="I99" s="77"/>
      <c r="J99" s="77"/>
      <c r="K99" s="77"/>
      <c r="L99" s="77"/>
      <c r="Q99"/>
      <c r="R99"/>
      <c r="S99"/>
      <c r="T99"/>
      <c r="U99"/>
      <c r="V99"/>
      <c r="W99"/>
    </row>
    <row r="100" spans="1:23" ht="18" customHeight="1" x14ac:dyDescent="0.2">
      <c r="A100" s="58" t="s">
        <v>492</v>
      </c>
      <c r="B100" s="56" t="s">
        <v>487</v>
      </c>
      <c r="C100" s="57">
        <f>(C76 + C77* 'Stability Constants'!$C$16*'Supersonic Stability'!$C$4/'Initial Estimates'!$C$5)*'Stability Constants'!$C$8/'Initial Estimates'!$C$10 - 'Supersonic Stability'!C77*'Stability Constants'!$C$16*'Supersonic Stability'!$C$4/'Initial Estimates'!$C$5*'Stability Constants'!$C$10/'Initial Estimates'!$C$10+'Supersonic Stability'!$C$5+('Supersonic Stability'!C83+'Stability Constants'!$C$11*'Supersonic Stability'!C84)/('Stability Constants'!$C$13*'Initial Estimates'!$C$5*'Initial Estimates'!$C$10)</f>
        <v>0</v>
      </c>
      <c r="D100" s="58" t="s">
        <v>166</v>
      </c>
      <c r="E100" s="58" t="s">
        <v>178</v>
      </c>
      <c r="F100" s="58" t="s">
        <v>25</v>
      </c>
      <c r="G100" s="38" t="s">
        <v>501</v>
      </c>
      <c r="H100" s="77" t="s">
        <v>479</v>
      </c>
      <c r="I100" s="77"/>
      <c r="J100" s="77"/>
      <c r="K100" s="77"/>
      <c r="L100" s="77"/>
      <c r="Q100"/>
      <c r="R100"/>
      <c r="S100"/>
      <c r="T100"/>
      <c r="U100"/>
      <c r="V100"/>
      <c r="W100"/>
    </row>
    <row r="101" spans="1:23" ht="18" customHeight="1" x14ac:dyDescent="0.2">
      <c r="A101" s="58" t="s">
        <v>493</v>
      </c>
      <c r="B101" s="56" t="s">
        <v>487</v>
      </c>
      <c r="C101" s="57">
        <f>(C88 + C89* 'Stability Constants'!$C$16*'Supersonic Stability'!$C$4/'Initial Estimates'!$C$5)*'Stability Constants'!$C$8/'Initial Estimates'!$C$10 - 'Supersonic Stability'!C89*'Stability Constants'!$C$16*'Supersonic Stability'!$C$4/'Initial Estimates'!$C$5*'Stability Constants'!$C$10/'Initial Estimates'!$C$10+'Supersonic Stability'!$C$5+('Supersonic Stability'!C95+'Stability Constants'!$C$11*'Supersonic Stability'!C96)/('Stability Constants'!$C$13*'Initial Estimates'!$C$5*'Initial Estimates'!$C$10)</f>
        <v>0</v>
      </c>
      <c r="D101" s="58" t="s">
        <v>166</v>
      </c>
      <c r="E101" s="58" t="s">
        <v>178</v>
      </c>
      <c r="F101" s="58" t="s">
        <v>25</v>
      </c>
      <c r="G101" s="38" t="s">
        <v>501</v>
      </c>
      <c r="H101" s="77" t="s">
        <v>479</v>
      </c>
      <c r="I101" s="77"/>
      <c r="J101" s="77"/>
      <c r="K101" s="77"/>
      <c r="L101" s="77"/>
      <c r="Q101"/>
      <c r="R101"/>
      <c r="S101"/>
      <c r="T101"/>
      <c r="U101"/>
      <c r="V101"/>
      <c r="W101"/>
    </row>
    <row r="102" spans="1:23" ht="18" customHeight="1" x14ac:dyDescent="0.2">
      <c r="A102" s="58" t="s">
        <v>550</v>
      </c>
      <c r="B102" s="56" t="s">
        <v>494</v>
      </c>
      <c r="C102" s="57">
        <f xml:space="preserve"> ( C68 + C69*(1 - C70)*'Stability Constants'!$C$16*('Supersonic Stability'!$C$4/'Initial Estimates'!$C$5))*('Stability Constants'!$C$8/'Initial Estimates'!$C$10) - C69*(1 - C70)*'Stability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-0.46255175246985136</v>
      </c>
      <c r="D102" s="58" t="s">
        <v>166</v>
      </c>
      <c r="E102" s="58" t="s">
        <v>462</v>
      </c>
      <c r="F102" s="58" t="s">
        <v>25</v>
      </c>
      <c r="G102" s="38" t="s">
        <v>499</v>
      </c>
      <c r="H102" s="77" t="s">
        <v>479</v>
      </c>
      <c r="I102" s="77"/>
      <c r="J102" s="77"/>
      <c r="K102" s="77"/>
      <c r="L102" s="77"/>
      <c r="Q102"/>
      <c r="R102"/>
      <c r="S102"/>
      <c r="T102"/>
      <c r="U102"/>
      <c r="V102"/>
      <c r="W102"/>
    </row>
    <row r="103" spans="1:23" ht="18" customHeight="1" x14ac:dyDescent="0.2">
      <c r="A103" s="58" t="s">
        <v>551</v>
      </c>
      <c r="B103" s="56" t="s">
        <v>494</v>
      </c>
      <c r="C103" s="57">
        <f xml:space="preserve"> ( C80 + C81*(1 - C82)*'Stability Constants'!$C$16*('Supersonic Stability'!$C$4/'Initial Estimates'!$C$5))*('Stability Constants'!$C$8/'Initial Estimates'!$C$10) - C81*(1 - C82)*'Stability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-0.27890924178061904</v>
      </c>
      <c r="D103" s="58" t="s">
        <v>166</v>
      </c>
      <c r="E103" s="58" t="s">
        <v>462</v>
      </c>
      <c r="F103" s="58" t="s">
        <v>25</v>
      </c>
      <c r="G103" s="38" t="s">
        <v>499</v>
      </c>
      <c r="H103" s="77" t="s">
        <v>479</v>
      </c>
      <c r="I103" s="77"/>
      <c r="J103" s="77"/>
      <c r="K103" s="77"/>
      <c r="L103" s="77"/>
      <c r="Q103"/>
      <c r="R103"/>
      <c r="S103"/>
      <c r="T103"/>
      <c r="U103"/>
      <c r="V103"/>
      <c r="W103"/>
    </row>
    <row r="104" spans="1:23" ht="18" customHeight="1" x14ac:dyDescent="0.2">
      <c r="A104" s="58" t="s">
        <v>549</v>
      </c>
      <c r="B104" s="56" t="s">
        <v>494</v>
      </c>
      <c r="C104" s="57">
        <f xml:space="preserve"> ( C92 + C93*(1 - C94)*'Stability Constants'!$C$16*('Supersonic Stability'!$C$4/'Initial Estimates'!$C$5))*('Stability Constants'!$C$8/'Initial Estimates'!$C$10) - C93*(1 - C94)*'Stability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-0.11720548422317212</v>
      </c>
      <c r="D104" s="58" t="s">
        <v>166</v>
      </c>
      <c r="E104" s="58" t="s">
        <v>462</v>
      </c>
      <c r="F104" s="58" t="s">
        <v>25</v>
      </c>
      <c r="G104" s="38" t="s">
        <v>499</v>
      </c>
      <c r="H104" s="77" t="s">
        <v>479</v>
      </c>
      <c r="I104" s="77"/>
      <c r="J104" s="77"/>
      <c r="K104" s="77"/>
      <c r="L104" s="77"/>
      <c r="Q104"/>
      <c r="R104"/>
      <c r="S104"/>
      <c r="T104"/>
      <c r="U104"/>
      <c r="V104"/>
      <c r="W104"/>
    </row>
    <row r="105" spans="1:23" ht="18" customHeight="1" x14ac:dyDescent="0.2">
      <c r="Q105"/>
      <c r="R105"/>
      <c r="S105"/>
      <c r="T105"/>
      <c r="U105"/>
      <c r="V105"/>
      <c r="W105"/>
    </row>
    <row r="106" spans="1:23" ht="18" customHeight="1" x14ac:dyDescent="0.2">
      <c r="A106" s="96"/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  <c r="Q106"/>
      <c r="R106"/>
      <c r="S106"/>
      <c r="T106"/>
      <c r="U106"/>
      <c r="V106"/>
      <c r="W106"/>
    </row>
    <row r="107" spans="1:23" ht="18" customHeight="1" x14ac:dyDescent="0.2">
      <c r="A107" s="97"/>
      <c r="B107" s="97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Q107"/>
      <c r="R107"/>
      <c r="S107"/>
      <c r="T107"/>
      <c r="U107"/>
      <c r="V107"/>
      <c r="W107"/>
    </row>
    <row r="108" spans="1:23" ht="18" customHeight="1" x14ac:dyDescent="0.2">
      <c r="A108" s="85" t="s">
        <v>554</v>
      </c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7"/>
      <c r="Q108"/>
      <c r="R108"/>
      <c r="S108"/>
      <c r="T108"/>
      <c r="U108"/>
      <c r="V108"/>
      <c r="W108"/>
    </row>
    <row r="109" spans="1:23" ht="18" customHeight="1" x14ac:dyDescent="0.2">
      <c r="A109" s="32" t="s">
        <v>7</v>
      </c>
      <c r="B109" s="32" t="s">
        <v>137</v>
      </c>
      <c r="C109" s="59" t="s">
        <v>11</v>
      </c>
      <c r="D109" s="59" t="s">
        <v>166</v>
      </c>
      <c r="E109" s="59" t="s">
        <v>12</v>
      </c>
      <c r="F109" s="59" t="s">
        <v>13</v>
      </c>
      <c r="G109" s="40" t="s">
        <v>14</v>
      </c>
      <c r="H109" s="89" t="s">
        <v>15</v>
      </c>
      <c r="I109" s="90"/>
      <c r="J109" s="90"/>
      <c r="K109" s="90"/>
      <c r="L109" s="91"/>
      <c r="Q109"/>
      <c r="R109"/>
      <c r="S109"/>
      <c r="T109"/>
      <c r="U109"/>
      <c r="V109"/>
      <c r="W109"/>
    </row>
    <row r="110" spans="1:23" ht="18" customHeight="1" x14ac:dyDescent="0.2">
      <c r="A110" s="61" t="s">
        <v>451</v>
      </c>
      <c r="B110" s="58" t="s">
        <v>452</v>
      </c>
      <c r="C110" s="22">
        <v>1</v>
      </c>
      <c r="D110" s="58" t="s">
        <v>166</v>
      </c>
      <c r="E110" s="58" t="s">
        <v>178</v>
      </c>
      <c r="F110" s="58" t="s">
        <v>18</v>
      </c>
      <c r="G110" s="38" t="s">
        <v>178</v>
      </c>
      <c r="H110" s="95" t="s">
        <v>453</v>
      </c>
      <c r="I110" s="95"/>
      <c r="J110" s="95"/>
      <c r="K110" s="95"/>
      <c r="L110" s="95"/>
      <c r="Q110"/>
      <c r="R110"/>
      <c r="S110"/>
      <c r="T110"/>
      <c r="U110"/>
      <c r="V110"/>
      <c r="W110"/>
    </row>
    <row r="111" spans="1:23" ht="18" customHeight="1" x14ac:dyDescent="0.2">
      <c r="A111" s="61" t="s">
        <v>416</v>
      </c>
      <c r="B111" s="58" t="s">
        <v>417</v>
      </c>
      <c r="C111" s="22">
        <f>'Initial Estimates'!$C$5*'Initial Estimates'!$C$10/'Stability Constants'!$C$9</f>
        <v>256.04985055528198</v>
      </c>
      <c r="D111" s="58" t="s">
        <v>166</v>
      </c>
      <c r="E111" s="58" t="s">
        <v>263</v>
      </c>
      <c r="F111" s="58" t="s">
        <v>25</v>
      </c>
      <c r="G111" s="38" t="s">
        <v>497</v>
      </c>
      <c r="H111" s="95" t="s">
        <v>423</v>
      </c>
      <c r="I111" s="95"/>
      <c r="J111" s="95"/>
      <c r="K111" s="95"/>
      <c r="L111" s="95"/>
      <c r="Q111"/>
      <c r="R111"/>
      <c r="S111"/>
      <c r="T111"/>
      <c r="U111"/>
      <c r="V111"/>
      <c r="W111"/>
    </row>
    <row r="112" spans="1:23" ht="18" customHeight="1" x14ac:dyDescent="0.2">
      <c r="A112" s="61" t="s">
        <v>394</v>
      </c>
      <c r="B112" s="58" t="s">
        <v>395</v>
      </c>
      <c r="C112" s="22">
        <v>0</v>
      </c>
      <c r="D112" s="58" t="s">
        <v>166</v>
      </c>
      <c r="E112" s="58" t="s">
        <v>178</v>
      </c>
      <c r="F112" s="58" t="s">
        <v>18</v>
      </c>
      <c r="G112" s="38" t="s">
        <v>396</v>
      </c>
      <c r="H112" s="77" t="s">
        <v>454</v>
      </c>
      <c r="I112" s="77"/>
      <c r="J112" s="77"/>
      <c r="K112" s="77"/>
      <c r="L112" s="77"/>
      <c r="Q112"/>
      <c r="R112"/>
      <c r="S112"/>
      <c r="T112"/>
      <c r="U112"/>
      <c r="V112"/>
      <c r="W112"/>
    </row>
    <row r="113" spans="1:23" ht="18" customHeight="1" x14ac:dyDescent="0.2">
      <c r="A113" s="61" t="s">
        <v>380</v>
      </c>
      <c r="B113" s="58" t="s">
        <v>381</v>
      </c>
      <c r="C113" s="22">
        <v>0</v>
      </c>
      <c r="D113" s="22" t="s">
        <v>166</v>
      </c>
      <c r="E113" s="58" t="s">
        <v>178</v>
      </c>
      <c r="F113" s="58" t="s">
        <v>18</v>
      </c>
      <c r="G113" s="38" t="s">
        <v>459</v>
      </c>
      <c r="H113" s="94" t="s">
        <v>382</v>
      </c>
      <c r="I113" s="94"/>
      <c r="J113" s="94"/>
      <c r="K113" s="94"/>
      <c r="L113" s="94"/>
      <c r="Q113"/>
      <c r="R113"/>
      <c r="S113"/>
      <c r="T113"/>
      <c r="U113"/>
      <c r="V113"/>
      <c r="W113"/>
    </row>
    <row r="114" spans="1:23" ht="18" customHeight="1" x14ac:dyDescent="0.2">
      <c r="A114" s="61" t="s">
        <v>455</v>
      </c>
      <c r="B114" s="58" t="s">
        <v>456</v>
      </c>
      <c r="C114" s="22" t="e">
        <f>2*C118/(PI()*'Initial Estimates'!C113)*(1+C113)</f>
        <v>#DIV/0!</v>
      </c>
      <c r="D114" s="58" t="s">
        <v>166</v>
      </c>
      <c r="E114" s="58" t="s">
        <v>178</v>
      </c>
      <c r="F114" s="58" t="s">
        <v>18</v>
      </c>
      <c r="G114" s="38" t="s">
        <v>457</v>
      </c>
      <c r="H114" s="77" t="s">
        <v>458</v>
      </c>
      <c r="I114" s="77"/>
      <c r="J114" s="77"/>
      <c r="K114" s="77"/>
      <c r="L114" s="77"/>
      <c r="Q114"/>
      <c r="R114"/>
      <c r="S114"/>
      <c r="T114"/>
      <c r="U114"/>
      <c r="V114"/>
      <c r="W114"/>
    </row>
    <row r="115" spans="1:23" ht="18" customHeight="1" x14ac:dyDescent="0.2">
      <c r="A115" s="85" t="s">
        <v>545</v>
      </c>
      <c r="B115" s="86"/>
      <c r="C115" s="86"/>
      <c r="D115" s="86"/>
      <c r="E115" s="86"/>
      <c r="F115" s="86"/>
      <c r="G115" s="86"/>
      <c r="H115" s="88"/>
      <c r="I115" s="88"/>
      <c r="J115" s="88"/>
      <c r="K115" s="88"/>
      <c r="L115" s="92"/>
      <c r="Q115"/>
      <c r="R115"/>
      <c r="S115"/>
      <c r="T115"/>
      <c r="U115"/>
      <c r="V115"/>
      <c r="W115"/>
    </row>
    <row r="116" spans="1:23" ht="18" customHeight="1" x14ac:dyDescent="0.2">
      <c r="A116" s="32" t="s">
        <v>7</v>
      </c>
      <c r="B116" s="32" t="s">
        <v>137</v>
      </c>
      <c r="C116" s="59" t="s">
        <v>11</v>
      </c>
      <c r="D116" s="59" t="s">
        <v>166</v>
      </c>
      <c r="E116" s="59" t="s">
        <v>12</v>
      </c>
      <c r="F116" s="59" t="s">
        <v>13</v>
      </c>
      <c r="G116" s="40" t="s">
        <v>14</v>
      </c>
      <c r="H116" s="89" t="s">
        <v>15</v>
      </c>
      <c r="I116" s="90"/>
      <c r="J116" s="90"/>
      <c r="K116" s="90"/>
      <c r="L116" s="91"/>
      <c r="Q116"/>
      <c r="R116"/>
      <c r="S116"/>
      <c r="T116"/>
      <c r="U116"/>
      <c r="V116"/>
      <c r="W116"/>
    </row>
    <row r="117" spans="1:23" ht="18" customHeight="1" x14ac:dyDescent="0.2">
      <c r="A117" s="58" t="s">
        <v>420</v>
      </c>
      <c r="B117" s="58" t="s">
        <v>421</v>
      </c>
      <c r="C117" s="45">
        <v>1.6</v>
      </c>
      <c r="D117" s="58" t="s">
        <v>166</v>
      </c>
      <c r="E117" s="58" t="s">
        <v>178</v>
      </c>
      <c r="F117" s="58" t="s">
        <v>528</v>
      </c>
      <c r="G117" s="38" t="s">
        <v>178</v>
      </c>
      <c r="H117" s="93" t="s">
        <v>350</v>
      </c>
      <c r="I117" s="93"/>
      <c r="J117" s="93"/>
      <c r="K117" s="93"/>
      <c r="L117" s="93"/>
      <c r="Q117"/>
      <c r="R117"/>
      <c r="S117"/>
      <c r="T117"/>
      <c r="U117"/>
      <c r="V117"/>
      <c r="W117"/>
    </row>
    <row r="118" spans="1:23" ht="18" customHeight="1" x14ac:dyDescent="0.2">
      <c r="A118" s="58" t="s">
        <v>446</v>
      </c>
      <c r="B118" s="58" t="s">
        <v>447</v>
      </c>
      <c r="C118" s="45">
        <v>0.19339999999999999</v>
      </c>
      <c r="D118" s="58" t="s">
        <v>166</v>
      </c>
      <c r="E118" s="58" t="s">
        <v>178</v>
      </c>
      <c r="F118" s="58" t="s">
        <v>440</v>
      </c>
      <c r="G118" s="38" t="s">
        <v>529</v>
      </c>
      <c r="H118" s="94" t="s">
        <v>530</v>
      </c>
      <c r="I118" s="94"/>
      <c r="J118" s="94"/>
      <c r="K118" s="94"/>
      <c r="L118" s="94"/>
      <c r="Q118"/>
      <c r="R118"/>
      <c r="S118"/>
      <c r="T118"/>
      <c r="U118"/>
      <c r="V118"/>
      <c r="W118"/>
    </row>
    <row r="119" spans="1:23" ht="18" customHeight="1" x14ac:dyDescent="0.2">
      <c r="A119" s="58" t="s">
        <v>488</v>
      </c>
      <c r="B119" s="56" t="s">
        <v>489</v>
      </c>
      <c r="C119" s="57">
        <v>9.3378889837222326E-2</v>
      </c>
      <c r="D119" s="58" t="s">
        <v>166</v>
      </c>
      <c r="E119" s="58" t="s">
        <v>178</v>
      </c>
      <c r="F119" s="58" t="s">
        <v>440</v>
      </c>
      <c r="G119" s="38" t="s">
        <v>178</v>
      </c>
      <c r="H119" s="94" t="s">
        <v>490</v>
      </c>
      <c r="I119" s="94"/>
      <c r="J119" s="94"/>
      <c r="K119" s="94"/>
      <c r="L119" s="94"/>
      <c r="Q119"/>
      <c r="R119"/>
      <c r="S119"/>
      <c r="T119"/>
      <c r="U119"/>
      <c r="V119"/>
      <c r="W119"/>
    </row>
    <row r="120" spans="1:23" ht="18" customHeight="1" x14ac:dyDescent="0.2">
      <c r="A120" s="58" t="s">
        <v>444</v>
      </c>
      <c r="B120" s="58" t="s">
        <v>477</v>
      </c>
      <c r="C120" s="45">
        <f>3.53*PI()/180</f>
        <v>6.161012259539983E-2</v>
      </c>
      <c r="D120" s="58" t="s">
        <v>166</v>
      </c>
      <c r="E120" s="58" t="s">
        <v>448</v>
      </c>
      <c r="F120" s="58" t="s">
        <v>13</v>
      </c>
      <c r="G120" s="38" t="s">
        <v>178</v>
      </c>
      <c r="H120" s="94" t="s">
        <v>450</v>
      </c>
      <c r="I120" s="94"/>
      <c r="J120" s="94"/>
      <c r="K120" s="94"/>
      <c r="L120" s="94"/>
      <c r="Q120"/>
      <c r="R120"/>
      <c r="S120"/>
      <c r="T120"/>
      <c r="U120"/>
      <c r="V120"/>
      <c r="W120"/>
    </row>
    <row r="121" spans="1:23" ht="18" customHeight="1" x14ac:dyDescent="0.2">
      <c r="A121" s="58" t="s">
        <v>521</v>
      </c>
      <c r="B121" s="56" t="s">
        <v>522</v>
      </c>
      <c r="C121" s="57">
        <f>C119/C123</f>
        <v>2.9747077821580162E-2</v>
      </c>
      <c r="D121" s="58" t="s">
        <v>166</v>
      </c>
      <c r="E121" s="58" t="s">
        <v>448</v>
      </c>
      <c r="F121" s="58" t="s">
        <v>25</v>
      </c>
      <c r="G121" s="38" t="s">
        <v>523</v>
      </c>
      <c r="H121" s="94" t="s">
        <v>524</v>
      </c>
      <c r="I121" s="94"/>
      <c r="J121" s="94"/>
      <c r="K121" s="94"/>
      <c r="L121" s="94"/>
      <c r="Q121"/>
      <c r="R121"/>
      <c r="S121"/>
      <c r="T121"/>
      <c r="U121"/>
      <c r="V121"/>
      <c r="W121"/>
    </row>
    <row r="122" spans="1:23" ht="18" customHeight="1" x14ac:dyDescent="0.2">
      <c r="A122" s="58" t="s">
        <v>460</v>
      </c>
      <c r="B122" s="58" t="s">
        <v>461</v>
      </c>
      <c r="C122" s="45">
        <f>C118/C120</f>
        <v>3.1390945489603741</v>
      </c>
      <c r="D122" s="58" t="s">
        <v>166</v>
      </c>
      <c r="E122" s="58" t="s">
        <v>462</v>
      </c>
      <c r="F122" s="58" t="s">
        <v>25</v>
      </c>
      <c r="G122" s="38" t="s">
        <v>463</v>
      </c>
      <c r="H122" s="77" t="s">
        <v>464</v>
      </c>
      <c r="I122" s="77"/>
      <c r="J122" s="77"/>
      <c r="K122" s="77"/>
      <c r="L122" s="77"/>
      <c r="Q122"/>
      <c r="R122"/>
      <c r="S122"/>
      <c r="T122"/>
      <c r="U122"/>
      <c r="V122"/>
      <c r="W122"/>
    </row>
    <row r="123" spans="1:23" ht="18" customHeight="1" x14ac:dyDescent="0.2">
      <c r="A123" s="58" t="s">
        <v>466</v>
      </c>
      <c r="B123" s="58" t="s">
        <v>467</v>
      </c>
      <c r="C123" s="45">
        <f>C122</f>
        <v>3.1390945489603741</v>
      </c>
      <c r="D123" s="58" t="s">
        <v>166</v>
      </c>
      <c r="E123" s="58" t="s">
        <v>462</v>
      </c>
      <c r="F123" s="58" t="s">
        <v>25</v>
      </c>
      <c r="G123" s="38" t="s">
        <v>468</v>
      </c>
      <c r="H123" s="77" t="s">
        <v>469</v>
      </c>
      <c r="I123" s="77"/>
      <c r="J123" s="77"/>
      <c r="K123" s="77"/>
      <c r="L123" s="77"/>
      <c r="Q123"/>
      <c r="R123"/>
      <c r="S123"/>
      <c r="T123"/>
      <c r="U123"/>
      <c r="V123"/>
      <c r="W123"/>
    </row>
    <row r="124" spans="1:23" ht="18" customHeight="1" x14ac:dyDescent="0.2">
      <c r="A124" s="61" t="s">
        <v>470</v>
      </c>
      <c r="B124" s="58" t="s">
        <v>471</v>
      </c>
      <c r="C124" s="45">
        <f>$C$7/C120</f>
        <v>0.28696906362356128</v>
      </c>
      <c r="D124" s="58" t="s">
        <v>166</v>
      </c>
      <c r="E124" s="58" t="s">
        <v>472</v>
      </c>
      <c r="F124" s="58" t="s">
        <v>25</v>
      </c>
      <c r="G124" s="38" t="s">
        <v>473</v>
      </c>
      <c r="H124" s="77" t="s">
        <v>474</v>
      </c>
      <c r="I124" s="77"/>
      <c r="J124" s="77"/>
      <c r="K124" s="77"/>
      <c r="L124" s="77"/>
      <c r="Q124"/>
      <c r="R124"/>
      <c r="S124"/>
      <c r="T124"/>
      <c r="U124"/>
      <c r="V124"/>
      <c r="W124"/>
    </row>
    <row r="125" spans="1:23" ht="18" customHeight="1" x14ac:dyDescent="0.2">
      <c r="A125" s="58" t="s">
        <v>475</v>
      </c>
      <c r="B125" s="58" t="s">
        <v>476</v>
      </c>
      <c r="C125" s="45">
        <f>2*'Stability Constants'!$C$13*('Stability Constants'!$C$4-'Stability Constants'!$C$3)*'Stability Constants'!$C$14*'Supersonic Stability'!C120</f>
        <v>120664.06457555163</v>
      </c>
      <c r="D125" s="58" t="s">
        <v>166</v>
      </c>
      <c r="E125" s="58" t="s">
        <v>265</v>
      </c>
      <c r="F125" s="58" t="s">
        <v>25</v>
      </c>
      <c r="G125" s="38" t="s">
        <v>478</v>
      </c>
      <c r="H125" s="77" t="s">
        <v>479</v>
      </c>
      <c r="I125" s="77"/>
      <c r="J125" s="77"/>
      <c r="K125" s="77"/>
      <c r="L125" s="77"/>
      <c r="Q125"/>
      <c r="R125"/>
      <c r="S125"/>
      <c r="T125"/>
      <c r="U125"/>
      <c r="V125"/>
      <c r="W125"/>
    </row>
    <row r="126" spans="1:23" ht="18" customHeight="1" x14ac:dyDescent="0.2">
      <c r="A126" s="58" t="s">
        <v>480</v>
      </c>
      <c r="B126" s="58" t="s">
        <v>481</v>
      </c>
      <c r="C126" s="45">
        <f>2*'Stability Constants'!$C$13*('Stability Constants'!$C$6-'Stability Constants'!$C$5)*'Stability Constants'!$C$15*'Supersonic Stability'!C120</f>
        <v>75485.512612615101</v>
      </c>
      <c r="D126" s="58" t="s">
        <v>166</v>
      </c>
      <c r="E126" s="58" t="s">
        <v>265</v>
      </c>
      <c r="F126" s="58" t="s">
        <v>25</v>
      </c>
      <c r="G126" s="38" t="s">
        <v>483</v>
      </c>
      <c r="H126" s="77" t="s">
        <v>479</v>
      </c>
      <c r="I126" s="77"/>
      <c r="J126" s="77"/>
      <c r="K126" s="77"/>
      <c r="L126" s="77"/>
      <c r="Q126"/>
      <c r="R126"/>
      <c r="S126"/>
      <c r="T126"/>
      <c r="U126"/>
      <c r="V126"/>
      <c r="W126"/>
    </row>
    <row r="127" spans="1:23" ht="18" customHeight="1" x14ac:dyDescent="0.2">
      <c r="A127" s="85" t="s">
        <v>547</v>
      </c>
      <c r="B127" s="86"/>
      <c r="C127" s="86"/>
      <c r="D127" s="86"/>
      <c r="E127" s="86"/>
      <c r="F127" s="86"/>
      <c r="G127" s="86"/>
      <c r="H127" s="88"/>
      <c r="I127" s="88"/>
      <c r="J127" s="88"/>
      <c r="K127" s="88"/>
      <c r="L127" s="92"/>
      <c r="Q127"/>
      <c r="R127"/>
      <c r="S127"/>
      <c r="T127"/>
      <c r="U127"/>
      <c r="V127"/>
      <c r="W127"/>
    </row>
    <row r="128" spans="1:23" ht="18" customHeight="1" x14ac:dyDescent="0.2">
      <c r="A128" s="32" t="s">
        <v>7</v>
      </c>
      <c r="B128" s="32" t="s">
        <v>137</v>
      </c>
      <c r="C128" s="59" t="s">
        <v>11</v>
      </c>
      <c r="D128" s="59" t="s">
        <v>166</v>
      </c>
      <c r="E128" s="59" t="s">
        <v>12</v>
      </c>
      <c r="F128" s="59" t="s">
        <v>13</v>
      </c>
      <c r="G128" s="40" t="s">
        <v>14</v>
      </c>
      <c r="H128" s="89" t="s">
        <v>15</v>
      </c>
      <c r="I128" s="90"/>
      <c r="J128" s="90"/>
      <c r="K128" s="90"/>
      <c r="L128" s="91"/>
      <c r="P128"/>
      <c r="Q128"/>
      <c r="R128"/>
      <c r="S128"/>
      <c r="T128"/>
      <c r="U128"/>
      <c r="V128"/>
      <c r="W128"/>
    </row>
    <row r="129" spans="1:23" ht="18" customHeight="1" x14ac:dyDescent="0.2">
      <c r="A129" s="58" t="s">
        <v>420</v>
      </c>
      <c r="B129" s="58" t="s">
        <v>421</v>
      </c>
      <c r="C129" s="45">
        <v>1.7</v>
      </c>
      <c r="D129" s="58" t="s">
        <v>166</v>
      </c>
      <c r="E129" s="58" t="s">
        <v>178</v>
      </c>
      <c r="F129" s="58" t="s">
        <v>528</v>
      </c>
      <c r="G129" s="38" t="s">
        <v>178</v>
      </c>
      <c r="H129" s="93" t="s">
        <v>350</v>
      </c>
      <c r="I129" s="93"/>
      <c r="J129" s="93"/>
      <c r="K129" s="93"/>
      <c r="L129" s="93"/>
      <c r="P129"/>
      <c r="Q129"/>
      <c r="R129"/>
      <c r="S129"/>
      <c r="T129"/>
      <c r="U129"/>
      <c r="V129"/>
      <c r="W129"/>
    </row>
    <row r="130" spans="1:23" ht="18" customHeight="1" x14ac:dyDescent="0.2">
      <c r="A130" s="58" t="s">
        <v>446</v>
      </c>
      <c r="B130" s="58" t="s">
        <v>447</v>
      </c>
      <c r="C130" s="45">
        <v>0.17119999999999999</v>
      </c>
      <c r="D130" s="58" t="s">
        <v>166</v>
      </c>
      <c r="E130" s="58" t="s">
        <v>178</v>
      </c>
      <c r="F130" s="58" t="s">
        <v>440</v>
      </c>
      <c r="G130" s="38" t="s">
        <v>529</v>
      </c>
      <c r="H130" s="94" t="s">
        <v>530</v>
      </c>
      <c r="I130" s="94"/>
      <c r="J130" s="94"/>
      <c r="K130" s="94"/>
      <c r="L130" s="94"/>
      <c r="P130"/>
      <c r="Q130"/>
      <c r="R130"/>
      <c r="S130"/>
      <c r="T130"/>
      <c r="U130"/>
      <c r="V130"/>
      <c r="W130"/>
    </row>
    <row r="131" spans="1:23" ht="18" customHeight="1" x14ac:dyDescent="0.2">
      <c r="A131" s="58" t="s">
        <v>488</v>
      </c>
      <c r="B131" s="56" t="s">
        <v>489</v>
      </c>
      <c r="C131" s="57">
        <v>8.871383951097353E-2</v>
      </c>
      <c r="D131" s="58" t="s">
        <v>166</v>
      </c>
      <c r="E131" s="58" t="s">
        <v>178</v>
      </c>
      <c r="F131" s="58" t="s">
        <v>440</v>
      </c>
      <c r="G131" s="38" t="s">
        <v>178</v>
      </c>
      <c r="H131" s="94" t="s">
        <v>490</v>
      </c>
      <c r="I131" s="94"/>
      <c r="J131" s="94"/>
      <c r="K131" s="94"/>
      <c r="L131" s="94"/>
      <c r="P131"/>
      <c r="Q131"/>
      <c r="R131"/>
      <c r="S131"/>
      <c r="T131"/>
      <c r="U131"/>
      <c r="V131"/>
      <c r="W131"/>
    </row>
    <row r="132" spans="1:23" ht="18" customHeight="1" x14ac:dyDescent="0.2">
      <c r="A132" s="58" t="s">
        <v>444</v>
      </c>
      <c r="B132" s="58" t="s">
        <v>477</v>
      </c>
      <c r="C132" s="45">
        <f>3.37*PI()/180</f>
        <v>5.881759579220891E-2</v>
      </c>
      <c r="D132" s="58" t="s">
        <v>166</v>
      </c>
      <c r="E132" s="58" t="s">
        <v>448</v>
      </c>
      <c r="F132" s="58" t="s">
        <v>13</v>
      </c>
      <c r="G132" s="38" t="s">
        <v>539</v>
      </c>
      <c r="H132" s="94" t="s">
        <v>450</v>
      </c>
      <c r="I132" s="94"/>
      <c r="J132" s="94"/>
      <c r="K132" s="94"/>
      <c r="L132" s="94"/>
      <c r="P132"/>
      <c r="Q132"/>
      <c r="R132"/>
      <c r="S132"/>
      <c r="T132"/>
      <c r="U132"/>
      <c r="V132"/>
      <c r="W132"/>
    </row>
    <row r="133" spans="1:23" ht="18" customHeight="1" x14ac:dyDescent="0.2">
      <c r="A133" s="58" t="s">
        <v>521</v>
      </c>
      <c r="B133" s="56" t="s">
        <v>522</v>
      </c>
      <c r="C133" s="57">
        <f>C131/C135</f>
        <v>3.0478590850066198E-2</v>
      </c>
      <c r="D133" s="58" t="s">
        <v>166</v>
      </c>
      <c r="E133" s="58" t="s">
        <v>448</v>
      </c>
      <c r="F133" s="58" t="s">
        <v>25</v>
      </c>
      <c r="G133" s="38" t="s">
        <v>523</v>
      </c>
      <c r="H133" s="94" t="s">
        <v>524</v>
      </c>
      <c r="I133" s="94"/>
      <c r="J133" s="94"/>
      <c r="K133" s="94"/>
      <c r="L133" s="94"/>
      <c r="P133"/>
      <c r="Q133"/>
      <c r="R133"/>
      <c r="S133"/>
      <c r="T133"/>
      <c r="U133"/>
      <c r="V133"/>
      <c r="W133"/>
    </row>
    <row r="134" spans="1:23" ht="18" customHeight="1" x14ac:dyDescent="0.2">
      <c r="A134" s="58" t="s">
        <v>460</v>
      </c>
      <c r="B134" s="58" t="s">
        <v>461</v>
      </c>
      <c r="C134" s="45">
        <f>C130/C132</f>
        <v>2.9106936061245379</v>
      </c>
      <c r="D134" s="58" t="s">
        <v>166</v>
      </c>
      <c r="E134" s="58" t="s">
        <v>462</v>
      </c>
      <c r="F134" s="58" t="s">
        <v>25</v>
      </c>
      <c r="G134" s="38" t="s">
        <v>463</v>
      </c>
      <c r="H134" s="77" t="s">
        <v>464</v>
      </c>
      <c r="I134" s="77"/>
      <c r="J134" s="77"/>
      <c r="K134" s="77"/>
      <c r="L134" s="77"/>
      <c r="P134"/>
      <c r="Q134"/>
      <c r="R134"/>
      <c r="S134"/>
      <c r="T134"/>
      <c r="U134"/>
      <c r="V134"/>
      <c r="W134"/>
    </row>
    <row r="135" spans="1:23" ht="18" customHeight="1" x14ac:dyDescent="0.2">
      <c r="A135" s="58" t="s">
        <v>466</v>
      </c>
      <c r="B135" s="58" t="s">
        <v>467</v>
      </c>
      <c r="C135" s="45">
        <f>C134</f>
        <v>2.9106936061245379</v>
      </c>
      <c r="D135" s="58" t="s">
        <v>166</v>
      </c>
      <c r="E135" s="58" t="s">
        <v>462</v>
      </c>
      <c r="F135" s="58" t="s">
        <v>25</v>
      </c>
      <c r="G135" s="38" t="s">
        <v>468</v>
      </c>
      <c r="H135" s="77" t="s">
        <v>469</v>
      </c>
      <c r="I135" s="77"/>
      <c r="J135" s="77"/>
      <c r="K135" s="77"/>
      <c r="L135" s="77"/>
      <c r="P135"/>
      <c r="Q135"/>
      <c r="R135"/>
      <c r="S135"/>
      <c r="T135"/>
      <c r="U135"/>
      <c r="V135"/>
      <c r="W135"/>
    </row>
    <row r="136" spans="1:23" ht="18" customHeight="1" x14ac:dyDescent="0.2">
      <c r="A136" s="61" t="s">
        <v>470</v>
      </c>
      <c r="B136" s="58" t="s">
        <v>471</v>
      </c>
      <c r="C136" s="45">
        <f>$C$7/C132</f>
        <v>0.30059370759381931</v>
      </c>
      <c r="D136" s="58" t="s">
        <v>166</v>
      </c>
      <c r="E136" s="58" t="s">
        <v>472</v>
      </c>
      <c r="F136" s="58" t="s">
        <v>25</v>
      </c>
      <c r="G136" s="38" t="s">
        <v>473</v>
      </c>
      <c r="H136" s="77" t="s">
        <v>474</v>
      </c>
      <c r="I136" s="77"/>
      <c r="J136" s="77"/>
      <c r="K136" s="77"/>
      <c r="L136" s="77"/>
      <c r="P136"/>
      <c r="Q136"/>
      <c r="R136"/>
      <c r="S136"/>
      <c r="T136"/>
      <c r="U136"/>
      <c r="V136"/>
      <c r="W136"/>
    </row>
    <row r="137" spans="1:23" ht="18" customHeight="1" x14ac:dyDescent="0.2">
      <c r="A137" s="58" t="s">
        <v>475</v>
      </c>
      <c r="B137" s="58" t="s">
        <v>476</v>
      </c>
      <c r="C137" s="45">
        <f>2*'Stability Constants'!$C$13*('Stability Constants'!$C$4-'Stability Constants'!$C$3)*'Stability Constants'!$C$14*'Supersonic Stability'!C132</f>
        <v>115194.87184691474</v>
      </c>
      <c r="D137" s="58" t="s">
        <v>166</v>
      </c>
      <c r="E137" s="58" t="s">
        <v>265</v>
      </c>
      <c r="F137" s="58" t="s">
        <v>25</v>
      </c>
      <c r="G137" s="38" t="s">
        <v>478</v>
      </c>
      <c r="H137" s="77" t="s">
        <v>479</v>
      </c>
      <c r="I137" s="77"/>
      <c r="J137" s="77"/>
      <c r="K137" s="77"/>
      <c r="L137" s="77"/>
      <c r="P137"/>
      <c r="Q137"/>
      <c r="R137"/>
      <c r="S137"/>
      <c r="T137"/>
      <c r="U137"/>
      <c r="V137"/>
      <c r="W137"/>
    </row>
    <row r="138" spans="1:23" ht="18" customHeight="1" x14ac:dyDescent="0.2">
      <c r="A138" s="58" t="s">
        <v>480</v>
      </c>
      <c r="B138" s="58" t="s">
        <v>481</v>
      </c>
      <c r="C138" s="45">
        <f>2*'Stability Constants'!$C$13*('Stability Constants'!$C$6-'Stability Constants'!$C$5)*'Stability Constants'!$C$15*'Supersonic Stability'!C132</f>
        <v>72064.072947454086</v>
      </c>
      <c r="D138" s="58" t="s">
        <v>166</v>
      </c>
      <c r="E138" s="58" t="s">
        <v>265</v>
      </c>
      <c r="F138" s="58" t="s">
        <v>25</v>
      </c>
      <c r="G138" s="38" t="s">
        <v>483</v>
      </c>
      <c r="H138" s="77" t="s">
        <v>479</v>
      </c>
      <c r="I138" s="77"/>
      <c r="J138" s="77"/>
      <c r="K138" s="77"/>
      <c r="L138" s="77"/>
      <c r="P138"/>
      <c r="Q138"/>
      <c r="R138"/>
      <c r="S138"/>
      <c r="T138"/>
      <c r="U138"/>
      <c r="V138"/>
      <c r="W138"/>
    </row>
    <row r="139" spans="1:23" ht="18" customHeight="1" x14ac:dyDescent="0.2">
      <c r="A139" s="85" t="s">
        <v>546</v>
      </c>
      <c r="B139" s="86"/>
      <c r="C139" s="86"/>
      <c r="D139" s="86"/>
      <c r="E139" s="86"/>
      <c r="F139" s="86"/>
      <c r="G139" s="86"/>
      <c r="H139" s="88"/>
      <c r="I139" s="88"/>
      <c r="J139" s="88"/>
      <c r="K139" s="88"/>
      <c r="L139" s="92"/>
      <c r="P139"/>
      <c r="Q139"/>
      <c r="R139"/>
      <c r="S139"/>
      <c r="T139"/>
      <c r="U139"/>
      <c r="V139"/>
      <c r="W139"/>
    </row>
    <row r="140" spans="1:23" ht="46" customHeight="1" x14ac:dyDescent="0.2">
      <c r="A140" s="32" t="s">
        <v>7</v>
      </c>
      <c r="B140" s="32" t="s">
        <v>137</v>
      </c>
      <c r="C140" s="59" t="s">
        <v>11</v>
      </c>
      <c r="D140" s="59" t="s">
        <v>166</v>
      </c>
      <c r="E140" s="59" t="s">
        <v>12</v>
      </c>
      <c r="F140" s="59" t="s">
        <v>13</v>
      </c>
      <c r="G140" s="40" t="s">
        <v>14</v>
      </c>
      <c r="H140" s="89" t="s">
        <v>15</v>
      </c>
      <c r="I140" s="90"/>
      <c r="J140" s="90"/>
      <c r="K140" s="90"/>
      <c r="L140" s="91"/>
      <c r="P140"/>
      <c r="Q140"/>
      <c r="R140"/>
      <c r="S140"/>
      <c r="T140"/>
      <c r="U140"/>
      <c r="V140"/>
      <c r="W140"/>
    </row>
    <row r="141" spans="1:23" ht="18" customHeight="1" x14ac:dyDescent="0.2">
      <c r="A141" s="58" t="s">
        <v>420</v>
      </c>
      <c r="B141" s="58" t="s">
        <v>421</v>
      </c>
      <c r="C141" s="45">
        <v>1.8</v>
      </c>
      <c r="D141" s="58" t="s">
        <v>166</v>
      </c>
      <c r="E141" s="58" t="s">
        <v>178</v>
      </c>
      <c r="F141" s="58" t="s">
        <v>528</v>
      </c>
      <c r="G141" s="38" t="s">
        <v>178</v>
      </c>
      <c r="H141" s="93" t="s">
        <v>350</v>
      </c>
      <c r="I141" s="93"/>
      <c r="J141" s="93"/>
      <c r="K141" s="93"/>
      <c r="L141" s="93"/>
      <c r="P141"/>
      <c r="Q141"/>
      <c r="R141"/>
      <c r="S141"/>
      <c r="T141"/>
      <c r="U141"/>
      <c r="V141"/>
      <c r="W141"/>
    </row>
    <row r="142" spans="1:23" ht="18" customHeight="1" x14ac:dyDescent="0.2">
      <c r="A142" s="58" t="s">
        <v>446</v>
      </c>
      <c r="B142" s="58" t="s">
        <v>447</v>
      </c>
      <c r="C142" s="45">
        <v>0.1527</v>
      </c>
      <c r="D142" s="58" t="s">
        <v>166</v>
      </c>
      <c r="E142" s="58" t="s">
        <v>178</v>
      </c>
      <c r="F142" s="58" t="s">
        <v>440</v>
      </c>
      <c r="G142" s="38" t="s">
        <v>529</v>
      </c>
      <c r="H142" s="94" t="s">
        <v>530</v>
      </c>
      <c r="I142" s="94"/>
      <c r="J142" s="94"/>
      <c r="K142" s="94"/>
      <c r="L142" s="94"/>
      <c r="P142"/>
      <c r="Q142"/>
      <c r="R142"/>
      <c r="S142"/>
      <c r="T142"/>
      <c r="U142"/>
      <c r="V142"/>
      <c r="W142"/>
    </row>
    <row r="143" spans="1:23" ht="18" customHeight="1" x14ac:dyDescent="0.2">
      <c r="A143" s="58" t="s">
        <v>488</v>
      </c>
      <c r="B143" s="56" t="s">
        <v>489</v>
      </c>
      <c r="C143" s="57">
        <v>8.4895571438886527E-2</v>
      </c>
      <c r="D143" s="58" t="s">
        <v>166</v>
      </c>
      <c r="E143" s="58" t="s">
        <v>178</v>
      </c>
      <c r="F143" s="58" t="s">
        <v>440</v>
      </c>
      <c r="G143" s="38" t="s">
        <v>178</v>
      </c>
      <c r="H143" s="94" t="s">
        <v>490</v>
      </c>
      <c r="I143" s="94"/>
      <c r="J143" s="94"/>
      <c r="K143" s="94"/>
      <c r="L143" s="94"/>
      <c r="P143"/>
      <c r="Q143"/>
      <c r="R143"/>
      <c r="S143"/>
      <c r="T143"/>
      <c r="U143"/>
      <c r="V143"/>
      <c r="W143"/>
    </row>
    <row r="144" spans="1:23" ht="18" customHeight="1" x14ac:dyDescent="0.2">
      <c r="A144" s="58" t="s">
        <v>444</v>
      </c>
      <c r="B144" s="58" t="s">
        <v>477</v>
      </c>
      <c r="C144" s="45">
        <f>3.24*PI()/180</f>
        <v>5.6548667764616284E-2</v>
      </c>
      <c r="D144" s="58" t="s">
        <v>166</v>
      </c>
      <c r="E144" s="58" t="s">
        <v>448</v>
      </c>
      <c r="F144" s="58" t="s">
        <v>13</v>
      </c>
      <c r="G144" s="38" t="s">
        <v>178</v>
      </c>
      <c r="H144" s="94" t="s">
        <v>450</v>
      </c>
      <c r="I144" s="94"/>
      <c r="J144" s="94"/>
      <c r="K144" s="94"/>
      <c r="L144" s="94"/>
      <c r="P144"/>
      <c r="Q144"/>
      <c r="R144"/>
      <c r="S144"/>
      <c r="T144"/>
      <c r="U144"/>
      <c r="V144"/>
      <c r="W144"/>
    </row>
    <row r="145" spans="1:23" ht="18" customHeight="1" x14ac:dyDescent="0.2">
      <c r="A145" s="58" t="s">
        <v>521</v>
      </c>
      <c r="B145" s="56" t="s">
        <v>522</v>
      </c>
      <c r="C145" s="57">
        <f>C143/C147</f>
        <v>3.1438974878748145E-2</v>
      </c>
      <c r="D145" s="58" t="s">
        <v>166</v>
      </c>
      <c r="E145" s="58" t="s">
        <v>448</v>
      </c>
      <c r="F145" s="58" t="s">
        <v>25</v>
      </c>
      <c r="G145" s="38" t="s">
        <v>523</v>
      </c>
      <c r="H145" s="94" t="s">
        <v>524</v>
      </c>
      <c r="I145" s="94"/>
      <c r="J145" s="94"/>
      <c r="K145" s="94"/>
      <c r="L145" s="94"/>
      <c r="P145"/>
      <c r="Q145"/>
      <c r="R145"/>
      <c r="S145"/>
      <c r="T145"/>
      <c r="U145"/>
      <c r="V145"/>
      <c r="W145"/>
    </row>
    <row r="146" spans="1:23" ht="18" customHeight="1" x14ac:dyDescent="0.2">
      <c r="A146" s="58" t="s">
        <v>460</v>
      </c>
      <c r="B146" s="58" t="s">
        <v>461</v>
      </c>
      <c r="C146" s="45">
        <f>C142/C144</f>
        <v>2.7003288677924906</v>
      </c>
      <c r="D146" s="58" t="s">
        <v>166</v>
      </c>
      <c r="E146" s="58" t="s">
        <v>462</v>
      </c>
      <c r="F146" s="58" t="s">
        <v>25</v>
      </c>
      <c r="G146" s="38" t="s">
        <v>463</v>
      </c>
      <c r="H146" s="77" t="s">
        <v>464</v>
      </c>
      <c r="I146" s="77"/>
      <c r="J146" s="77"/>
      <c r="K146" s="77"/>
      <c r="L146" s="77"/>
      <c r="P146"/>
      <c r="Q146"/>
      <c r="R146"/>
      <c r="S146"/>
      <c r="T146"/>
      <c r="U146"/>
      <c r="V146"/>
      <c r="W146"/>
    </row>
    <row r="147" spans="1:23" ht="18" customHeight="1" x14ac:dyDescent="0.2">
      <c r="A147" s="58" t="s">
        <v>466</v>
      </c>
      <c r="B147" s="58" t="s">
        <v>467</v>
      </c>
      <c r="C147" s="45">
        <f>C146</f>
        <v>2.7003288677924906</v>
      </c>
      <c r="D147" s="58" t="s">
        <v>166</v>
      </c>
      <c r="E147" s="58" t="s">
        <v>462</v>
      </c>
      <c r="F147" s="58" t="s">
        <v>25</v>
      </c>
      <c r="G147" s="38" t="s">
        <v>468</v>
      </c>
      <c r="H147" s="77" t="s">
        <v>469</v>
      </c>
      <c r="I147" s="77"/>
      <c r="J147" s="77"/>
      <c r="K147" s="77"/>
      <c r="L147" s="77"/>
      <c r="P147"/>
      <c r="Q147"/>
      <c r="R147"/>
      <c r="S147"/>
      <c r="T147"/>
      <c r="U147"/>
      <c r="V147"/>
      <c r="W147"/>
    </row>
    <row r="148" spans="1:23" ht="18" customHeight="1" x14ac:dyDescent="0.2">
      <c r="A148" s="61" t="s">
        <v>470</v>
      </c>
      <c r="B148" s="58" t="s">
        <v>471</v>
      </c>
      <c r="C148" s="45">
        <f>$C$7/C144</f>
        <v>0.3126545662318429</v>
      </c>
      <c r="D148" s="58" t="s">
        <v>166</v>
      </c>
      <c r="E148" s="58" t="s">
        <v>472</v>
      </c>
      <c r="F148" s="58" t="s">
        <v>25</v>
      </c>
      <c r="G148" s="38" t="s">
        <v>473</v>
      </c>
      <c r="H148" s="77" t="s">
        <v>474</v>
      </c>
      <c r="I148" s="77"/>
      <c r="J148" s="77"/>
      <c r="K148" s="77"/>
      <c r="L148" s="77"/>
      <c r="P148"/>
      <c r="Q148"/>
      <c r="R148"/>
      <c r="S148"/>
      <c r="T148"/>
      <c r="U148"/>
      <c r="V148"/>
      <c r="W148"/>
    </row>
    <row r="149" spans="1:23" ht="18" customHeight="1" x14ac:dyDescent="0.2">
      <c r="A149" s="58" t="s">
        <v>475</v>
      </c>
      <c r="B149" s="58" t="s">
        <v>476</v>
      </c>
      <c r="C149" s="45">
        <f>2*'Stability Constants'!$C$13*('Stability Constants'!$C$4-'Stability Constants'!$C$3)*'Stability Constants'!$C$14*'Supersonic Stability'!C144</f>
        <v>110751.15275489727</v>
      </c>
      <c r="D149" s="58" t="s">
        <v>166</v>
      </c>
      <c r="E149" s="58" t="s">
        <v>265</v>
      </c>
      <c r="F149" s="58" t="s">
        <v>25</v>
      </c>
      <c r="G149" s="38" t="s">
        <v>478</v>
      </c>
      <c r="H149" s="77" t="s">
        <v>479</v>
      </c>
      <c r="I149" s="77"/>
      <c r="J149" s="77"/>
      <c r="K149" s="77"/>
      <c r="L149" s="77"/>
      <c r="P149"/>
      <c r="Q149"/>
      <c r="R149"/>
      <c r="S149"/>
      <c r="T149"/>
      <c r="U149"/>
      <c r="V149"/>
      <c r="W149"/>
    </row>
    <row r="150" spans="1:23" ht="18" customHeight="1" x14ac:dyDescent="0.2">
      <c r="A150" s="58" t="s">
        <v>480</v>
      </c>
      <c r="B150" s="58" t="s">
        <v>481</v>
      </c>
      <c r="C150" s="45">
        <f>2*'Stability Constants'!$C$13*('Stability Constants'!$C$6-'Stability Constants'!$C$5)*'Stability Constants'!$C$15*'Supersonic Stability'!C144</f>
        <v>69284.153219510757</v>
      </c>
      <c r="D150" s="58" t="s">
        <v>166</v>
      </c>
      <c r="E150" s="58" t="s">
        <v>265</v>
      </c>
      <c r="F150" s="58" t="s">
        <v>25</v>
      </c>
      <c r="G150" s="38" t="s">
        <v>483</v>
      </c>
      <c r="H150" s="77" t="s">
        <v>479</v>
      </c>
      <c r="I150" s="77"/>
      <c r="J150" s="77"/>
      <c r="K150" s="77"/>
      <c r="L150" s="77"/>
      <c r="P150"/>
      <c r="Q150"/>
      <c r="R150"/>
      <c r="S150"/>
      <c r="T150"/>
      <c r="U150"/>
      <c r="V150"/>
      <c r="W150"/>
    </row>
    <row r="151" spans="1:23" ht="18" customHeight="1" x14ac:dyDescent="0.2">
      <c r="A151" s="85" t="s">
        <v>555</v>
      </c>
      <c r="B151" s="86"/>
      <c r="C151" s="86"/>
      <c r="D151" s="86"/>
      <c r="E151" s="86"/>
      <c r="F151" s="86"/>
      <c r="G151" s="86"/>
      <c r="H151" s="88"/>
      <c r="I151" s="88"/>
      <c r="J151" s="88"/>
      <c r="K151" s="88"/>
      <c r="L151" s="92"/>
      <c r="P151"/>
      <c r="Q151"/>
      <c r="R151"/>
      <c r="S151"/>
      <c r="T151"/>
      <c r="U151"/>
      <c r="V151"/>
      <c r="W151"/>
    </row>
    <row r="152" spans="1:23" ht="18" customHeight="1" x14ac:dyDescent="0.2">
      <c r="A152" s="32" t="s">
        <v>7</v>
      </c>
      <c r="B152" s="32" t="s">
        <v>137</v>
      </c>
      <c r="C152" s="59" t="s">
        <v>11</v>
      </c>
      <c r="D152" s="59" t="s">
        <v>166</v>
      </c>
      <c r="E152" s="59" t="s">
        <v>12</v>
      </c>
      <c r="F152" s="59" t="s">
        <v>13</v>
      </c>
      <c r="G152" s="40" t="s">
        <v>500</v>
      </c>
      <c r="H152" s="89" t="s">
        <v>15</v>
      </c>
      <c r="I152" s="90"/>
      <c r="J152" s="90"/>
      <c r="K152" s="90"/>
      <c r="L152" s="91"/>
      <c r="P152"/>
      <c r="Q152"/>
      <c r="R152"/>
      <c r="S152"/>
      <c r="T152"/>
      <c r="U152"/>
      <c r="V152"/>
      <c r="W152"/>
    </row>
    <row r="153" spans="1:23" ht="18" customHeight="1" x14ac:dyDescent="0.2">
      <c r="A153" s="58" t="s">
        <v>491</v>
      </c>
      <c r="B153" s="56" t="s">
        <v>487</v>
      </c>
      <c r="C153" s="57">
        <f>(C118 + C119* 'Stability Constants'!$C$16*'Supersonic Stability'!$C$4/'Initial Estimates'!$C$5)*'Stability Constants'!$C$8/'Initial Estimates'!$C$10 - 'Supersonic Stability'!C119*'Stability Constants'!$C$16*'Supersonic Stability'!$C$4/'Initial Estimates'!$C$5*'Stability Constants'!$C$10/'Initial Estimates'!$C$10+'Supersonic Stability'!$C$5+('Supersonic Stability'!C125+'Stability Constants'!$C$11*'Supersonic Stability'!C126)/('Stability Constants'!$C$13*'Initial Estimates'!$C$5*'Initial Estimates'!$C$10)</f>
        <v>1.2490009027033011E-16</v>
      </c>
      <c r="D153" s="58" t="s">
        <v>166</v>
      </c>
      <c r="E153" s="58" t="s">
        <v>178</v>
      </c>
      <c r="F153" s="58" t="s">
        <v>25</v>
      </c>
      <c r="G153" s="38" t="s">
        <v>501</v>
      </c>
      <c r="H153" s="77" t="s">
        <v>479</v>
      </c>
      <c r="I153" s="77"/>
      <c r="J153" s="77"/>
      <c r="K153" s="77"/>
      <c r="L153" s="77"/>
      <c r="P153"/>
      <c r="Q153"/>
      <c r="R153"/>
      <c r="S153"/>
      <c r="T153"/>
      <c r="U153"/>
      <c r="V153"/>
      <c r="W153"/>
    </row>
    <row r="154" spans="1:23" ht="18" customHeight="1" x14ac:dyDescent="0.2">
      <c r="A154" s="58" t="s">
        <v>492</v>
      </c>
      <c r="B154" s="56" t="s">
        <v>487</v>
      </c>
      <c r="C154" s="57">
        <f>(C130 + C131* 'Stability Constants'!$C$16*'Supersonic Stability'!$C$4/'Initial Estimates'!$C$5)*'Stability Constants'!$C$8/'Initial Estimates'!$C$10 - 'Supersonic Stability'!C131*'Stability Constants'!$C$16*'Supersonic Stability'!$C$4/'Initial Estimates'!$C$5*'Stability Constants'!$C$10/'Initial Estimates'!$C$10+'Supersonic Stability'!$C$5+('Supersonic Stability'!C137+'Stability Constants'!$C$11*'Supersonic Stability'!C138)/('Stability Constants'!$C$13*'Initial Estimates'!$C$5*'Initial Estimates'!$C$10)</f>
        <v>-7.0506377728291048E-6</v>
      </c>
      <c r="D154" s="58" t="s">
        <v>166</v>
      </c>
      <c r="E154" s="58" t="s">
        <v>178</v>
      </c>
      <c r="F154" s="58" t="s">
        <v>25</v>
      </c>
      <c r="G154" s="38" t="s">
        <v>501</v>
      </c>
      <c r="H154" s="77" t="s">
        <v>479</v>
      </c>
      <c r="I154" s="77"/>
      <c r="J154" s="77"/>
      <c r="K154" s="77"/>
      <c r="L154" s="77"/>
      <c r="P154"/>
      <c r="Q154"/>
      <c r="R154"/>
      <c r="S154"/>
      <c r="T154"/>
      <c r="U154"/>
      <c r="V154"/>
      <c r="W154"/>
    </row>
    <row r="155" spans="1:23" ht="18" customHeight="1" x14ac:dyDescent="0.2">
      <c r="A155" s="58" t="s">
        <v>493</v>
      </c>
      <c r="B155" s="56" t="s">
        <v>487</v>
      </c>
      <c r="C155" s="57">
        <f>(C142 + C143* 'Stability Constants'!$C$16*'Supersonic Stability'!$C$4/'Initial Estimates'!$C$5)*'Stability Constants'!$C$8/'Initial Estimates'!$C$10 - 'Supersonic Stability'!C143*'Stability Constants'!$C$16*'Supersonic Stability'!$C$4/'Initial Estimates'!$C$5*'Stability Constants'!$C$10/'Initial Estimates'!$C$10+'Supersonic Stability'!$C$5+('Supersonic Stability'!C149+'Stability Constants'!$C$11*'Supersonic Stability'!C150)/('Stability Constants'!$C$13*'Initial Estimates'!$C$5*'Initial Estimates'!$C$10)</f>
        <v>-1.2490009027033011E-16</v>
      </c>
      <c r="D155" s="58" t="s">
        <v>166</v>
      </c>
      <c r="E155" s="58" t="s">
        <v>178</v>
      </c>
      <c r="F155" s="58" t="s">
        <v>25</v>
      </c>
      <c r="G155" s="38" t="s">
        <v>501</v>
      </c>
      <c r="H155" s="77" t="s">
        <v>479</v>
      </c>
      <c r="I155" s="77"/>
      <c r="J155" s="77"/>
      <c r="K155" s="77"/>
      <c r="L155" s="77"/>
      <c r="P155"/>
      <c r="Q155"/>
      <c r="R155"/>
      <c r="S155"/>
      <c r="T155"/>
      <c r="U155"/>
      <c r="V155"/>
      <c r="W155"/>
    </row>
    <row r="156" spans="1:23" ht="18" customHeight="1" x14ac:dyDescent="0.2">
      <c r="A156" s="58" t="s">
        <v>550</v>
      </c>
      <c r="B156" s="56" t="s">
        <v>494</v>
      </c>
      <c r="C156" s="57">
        <f xml:space="preserve"> ( C122 + C123*(1 - C124)*'Stability Constants'!$C$16*('Supersonic Stability'!$C$4/'Initial Estimates'!$C$5))*('Stability Constants'!$C$8/'Initial Estimates'!$C$10) - C123*(1 - C124)*'Stability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-0.69315721166534383</v>
      </c>
      <c r="D156" s="58" t="s">
        <v>166</v>
      </c>
      <c r="E156" s="58" t="s">
        <v>462</v>
      </c>
      <c r="F156" s="58" t="s">
        <v>25</v>
      </c>
      <c r="G156" s="38" t="s">
        <v>499</v>
      </c>
      <c r="H156" s="77" t="s">
        <v>479</v>
      </c>
      <c r="I156" s="77"/>
      <c r="J156" s="77"/>
      <c r="K156" s="77"/>
      <c r="L156" s="77"/>
      <c r="P156"/>
      <c r="Q156"/>
      <c r="R156"/>
      <c r="S156"/>
      <c r="T156"/>
      <c r="U156"/>
      <c r="V156"/>
      <c r="W156"/>
    </row>
    <row r="157" spans="1:23" ht="18" customHeight="1" x14ac:dyDescent="0.2">
      <c r="A157" s="58" t="s">
        <v>551</v>
      </c>
      <c r="B157" s="56" t="s">
        <v>494</v>
      </c>
      <c r="C157" s="57">
        <f xml:space="preserve"> ( C134 + C135*(1 - C136)*'Stability Constants'!$C$16*('Supersonic Stability'!$C$4/'Initial Estimates'!$C$5))*('Stability Constants'!$C$8/'Initial Estimates'!$C$10) - C135*(1 - C136)*'Stability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-0.50078416642944845</v>
      </c>
      <c r="D157" s="58" t="s">
        <v>166</v>
      </c>
      <c r="E157" s="58" t="s">
        <v>462</v>
      </c>
      <c r="F157" s="58" t="s">
        <v>25</v>
      </c>
      <c r="G157" s="38" t="s">
        <v>499</v>
      </c>
      <c r="H157" s="77" t="s">
        <v>479</v>
      </c>
      <c r="I157" s="77"/>
      <c r="J157" s="77"/>
      <c r="K157" s="77"/>
      <c r="L157" s="77"/>
      <c r="P157"/>
      <c r="Q157"/>
      <c r="R157"/>
      <c r="S157"/>
      <c r="T157"/>
      <c r="U157"/>
      <c r="V157"/>
      <c r="W157"/>
    </row>
    <row r="158" spans="1:23" ht="18" customHeight="1" x14ac:dyDescent="0.2">
      <c r="A158" s="58" t="s">
        <v>549</v>
      </c>
      <c r="B158" s="56" t="s">
        <v>494</v>
      </c>
      <c r="C158" s="57">
        <f xml:space="preserve"> ( C146 + C147*(1 - C148)*'Stability Constants'!$C$16*('Supersonic Stability'!$C$4/'Initial Estimates'!$C$5))*('Stability Constants'!$C$8/'Initial Estimates'!$C$10) - C147*(1 - C148)*'Stability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-0.3303358583683379</v>
      </c>
      <c r="D158" s="58" t="s">
        <v>166</v>
      </c>
      <c r="E158" s="58" t="s">
        <v>462</v>
      </c>
      <c r="F158" s="58" t="s">
        <v>25</v>
      </c>
      <c r="G158" s="38" t="s">
        <v>499</v>
      </c>
      <c r="H158" s="77" t="s">
        <v>479</v>
      </c>
      <c r="I158" s="77"/>
      <c r="J158" s="77"/>
      <c r="K158" s="77"/>
      <c r="L158" s="77"/>
      <c r="P158"/>
      <c r="Q158"/>
      <c r="R158"/>
      <c r="S158"/>
      <c r="T158"/>
      <c r="U158"/>
      <c r="V158"/>
      <c r="W158"/>
    </row>
    <row r="159" spans="1:23" ht="18" customHeight="1" x14ac:dyDescent="0.2">
      <c r="P159"/>
      <c r="Q159"/>
      <c r="R159"/>
      <c r="S159"/>
      <c r="T159"/>
      <c r="U159"/>
      <c r="V159"/>
      <c r="W159"/>
    </row>
    <row r="160" spans="1:23" ht="18" customHeight="1" x14ac:dyDescent="0.2">
      <c r="A160" s="96"/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P160"/>
      <c r="Q160"/>
      <c r="R160"/>
      <c r="S160"/>
      <c r="T160"/>
      <c r="U160"/>
      <c r="V160"/>
      <c r="W160"/>
    </row>
    <row r="161" spans="1:23" ht="18" customHeight="1" x14ac:dyDescent="0.2">
      <c r="A161" s="97"/>
      <c r="B161" s="97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P161"/>
      <c r="Q161"/>
      <c r="R161"/>
      <c r="S161"/>
      <c r="T161"/>
      <c r="U161"/>
      <c r="V161"/>
      <c r="W161"/>
    </row>
    <row r="162" spans="1:23" ht="18" customHeight="1" x14ac:dyDescent="0.2">
      <c r="A162" s="85" t="s">
        <v>556</v>
      </c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7"/>
      <c r="P162"/>
      <c r="Q162"/>
      <c r="R162"/>
      <c r="S162"/>
      <c r="T162"/>
      <c r="U162"/>
      <c r="V162"/>
      <c r="W162"/>
    </row>
    <row r="163" spans="1:23" ht="18" customHeight="1" x14ac:dyDescent="0.2">
      <c r="A163" s="32" t="s">
        <v>7</v>
      </c>
      <c r="B163" s="32" t="s">
        <v>137</v>
      </c>
      <c r="C163" s="59" t="s">
        <v>11</v>
      </c>
      <c r="D163" s="59" t="s">
        <v>166</v>
      </c>
      <c r="E163" s="59" t="s">
        <v>12</v>
      </c>
      <c r="F163" s="59" t="s">
        <v>13</v>
      </c>
      <c r="G163" s="40" t="s">
        <v>14</v>
      </c>
      <c r="H163" s="89" t="s">
        <v>15</v>
      </c>
      <c r="I163" s="90"/>
      <c r="J163" s="90"/>
      <c r="K163" s="90"/>
      <c r="L163" s="91"/>
      <c r="P163"/>
      <c r="Q163"/>
      <c r="R163"/>
      <c r="S163"/>
      <c r="T163"/>
      <c r="U163"/>
      <c r="V163"/>
      <c r="W163"/>
    </row>
    <row r="164" spans="1:23" ht="18" customHeight="1" x14ac:dyDescent="0.2">
      <c r="A164" s="61" t="s">
        <v>451</v>
      </c>
      <c r="B164" s="58" t="s">
        <v>452</v>
      </c>
      <c r="C164" s="22">
        <v>1</v>
      </c>
      <c r="D164" s="58" t="s">
        <v>166</v>
      </c>
      <c r="E164" s="58" t="s">
        <v>178</v>
      </c>
      <c r="F164" s="58" t="s">
        <v>18</v>
      </c>
      <c r="G164" s="38" t="s">
        <v>178</v>
      </c>
      <c r="H164" s="95" t="s">
        <v>453</v>
      </c>
      <c r="I164" s="95"/>
      <c r="J164" s="95"/>
      <c r="K164" s="95"/>
      <c r="L164" s="95"/>
      <c r="P164"/>
      <c r="Q164"/>
      <c r="R164"/>
      <c r="S164"/>
      <c r="T164"/>
      <c r="U164"/>
      <c r="V164"/>
      <c r="W164"/>
    </row>
    <row r="165" spans="1:23" ht="18" customHeight="1" x14ac:dyDescent="0.2">
      <c r="A165" s="61" t="s">
        <v>416</v>
      </c>
      <c r="B165" s="58" t="s">
        <v>417</v>
      </c>
      <c r="C165" s="22">
        <f>'Initial Estimates'!$C$5*'Initial Estimates'!$C$10/'Stability Constants'!$C$9</f>
        <v>256.04985055528198</v>
      </c>
      <c r="D165" s="58" t="s">
        <v>166</v>
      </c>
      <c r="E165" s="58" t="s">
        <v>263</v>
      </c>
      <c r="F165" s="58" t="s">
        <v>25</v>
      </c>
      <c r="G165" s="38" t="s">
        <v>497</v>
      </c>
      <c r="H165" s="95" t="s">
        <v>423</v>
      </c>
      <c r="I165" s="95"/>
      <c r="J165" s="95"/>
      <c r="K165" s="95"/>
      <c r="L165" s="95"/>
      <c r="P165"/>
      <c r="Q165"/>
      <c r="R165"/>
      <c r="S165"/>
      <c r="T165"/>
      <c r="U165"/>
      <c r="V165"/>
      <c r="W165"/>
    </row>
    <row r="166" spans="1:23" ht="18" customHeight="1" x14ac:dyDescent="0.2">
      <c r="A166" s="61" t="s">
        <v>394</v>
      </c>
      <c r="B166" s="58" t="s">
        <v>395</v>
      </c>
      <c r="C166" s="22">
        <v>0</v>
      </c>
      <c r="D166" s="58" t="s">
        <v>166</v>
      </c>
      <c r="E166" s="58" t="s">
        <v>178</v>
      </c>
      <c r="F166" s="58" t="s">
        <v>18</v>
      </c>
      <c r="G166" s="38" t="s">
        <v>396</v>
      </c>
      <c r="H166" s="77" t="s">
        <v>454</v>
      </c>
      <c r="I166" s="77"/>
      <c r="J166" s="77"/>
      <c r="K166" s="77"/>
      <c r="L166" s="77"/>
      <c r="P166"/>
      <c r="Q166"/>
      <c r="R166"/>
      <c r="S166"/>
      <c r="T166"/>
      <c r="U166"/>
      <c r="V166"/>
      <c r="W166"/>
    </row>
    <row r="167" spans="1:23" ht="18" customHeight="1" x14ac:dyDescent="0.2">
      <c r="A167" s="61" t="s">
        <v>380</v>
      </c>
      <c r="B167" s="58" t="s">
        <v>381</v>
      </c>
      <c r="C167" s="22">
        <v>0</v>
      </c>
      <c r="D167" s="22" t="s">
        <v>166</v>
      </c>
      <c r="E167" s="58" t="s">
        <v>178</v>
      </c>
      <c r="F167" s="58" t="s">
        <v>18</v>
      </c>
      <c r="G167" s="38" t="s">
        <v>459</v>
      </c>
      <c r="H167" s="94" t="s">
        <v>382</v>
      </c>
      <c r="I167" s="94"/>
      <c r="J167" s="94"/>
      <c r="K167" s="94"/>
      <c r="L167" s="94"/>
      <c r="P167"/>
      <c r="Q167"/>
      <c r="R167"/>
      <c r="S167"/>
      <c r="T167"/>
      <c r="U167"/>
      <c r="V167"/>
      <c r="W167"/>
    </row>
    <row r="168" spans="1:23" ht="18" customHeight="1" x14ac:dyDescent="0.2">
      <c r="A168" s="61" t="s">
        <v>455</v>
      </c>
      <c r="B168" s="58" t="s">
        <v>456</v>
      </c>
      <c r="C168" s="22" t="e">
        <f>2*C172/(PI()*'Initial Estimates'!C167)*(1+C167)</f>
        <v>#DIV/0!</v>
      </c>
      <c r="D168" s="58" t="s">
        <v>166</v>
      </c>
      <c r="E168" s="58" t="s">
        <v>178</v>
      </c>
      <c r="F168" s="58" t="s">
        <v>18</v>
      </c>
      <c r="G168" s="38" t="s">
        <v>457</v>
      </c>
      <c r="H168" s="77" t="s">
        <v>458</v>
      </c>
      <c r="I168" s="77"/>
      <c r="J168" s="77"/>
      <c r="K168" s="77"/>
      <c r="L168" s="77"/>
      <c r="P168"/>
      <c r="Q168"/>
      <c r="R168"/>
      <c r="S168"/>
      <c r="T168"/>
      <c r="U168"/>
      <c r="V168"/>
      <c r="W168"/>
    </row>
    <row r="169" spans="1:23" ht="18" customHeight="1" x14ac:dyDescent="0.2">
      <c r="A169" s="85" t="s">
        <v>545</v>
      </c>
      <c r="B169" s="86"/>
      <c r="C169" s="86"/>
      <c r="D169" s="86"/>
      <c r="E169" s="86"/>
      <c r="F169" s="86"/>
      <c r="G169" s="86"/>
      <c r="H169" s="88"/>
      <c r="I169" s="88"/>
      <c r="J169" s="88"/>
      <c r="K169" s="88"/>
      <c r="L169" s="92"/>
      <c r="P169"/>
      <c r="Q169"/>
      <c r="R169"/>
      <c r="S169"/>
      <c r="T169"/>
      <c r="U169"/>
      <c r="V169"/>
      <c r="W169"/>
    </row>
    <row r="170" spans="1:23" ht="18" customHeight="1" x14ac:dyDescent="0.2">
      <c r="A170" s="32" t="s">
        <v>7</v>
      </c>
      <c r="B170" s="32" t="s">
        <v>137</v>
      </c>
      <c r="C170" s="59" t="s">
        <v>11</v>
      </c>
      <c r="D170" s="59" t="s">
        <v>166</v>
      </c>
      <c r="E170" s="59" t="s">
        <v>12</v>
      </c>
      <c r="F170" s="59" t="s">
        <v>13</v>
      </c>
      <c r="G170" s="40" t="s">
        <v>14</v>
      </c>
      <c r="H170" s="89" t="s">
        <v>15</v>
      </c>
      <c r="I170" s="90"/>
      <c r="J170" s="90"/>
      <c r="K170" s="90"/>
      <c r="L170" s="91"/>
      <c r="P170"/>
      <c r="Q170"/>
      <c r="R170"/>
      <c r="S170"/>
      <c r="T170"/>
      <c r="U170"/>
      <c r="V170"/>
      <c r="W170"/>
    </row>
    <row r="171" spans="1:23" ht="18" customHeight="1" x14ac:dyDescent="0.2">
      <c r="A171" s="58" t="s">
        <v>420</v>
      </c>
      <c r="B171" s="58" t="s">
        <v>421</v>
      </c>
      <c r="C171" s="45">
        <v>1.6</v>
      </c>
      <c r="D171" s="58" t="s">
        <v>166</v>
      </c>
      <c r="E171" s="58" t="s">
        <v>178</v>
      </c>
      <c r="F171" s="58" t="s">
        <v>528</v>
      </c>
      <c r="G171" s="38" t="s">
        <v>178</v>
      </c>
      <c r="H171" s="93" t="s">
        <v>350</v>
      </c>
      <c r="I171" s="93"/>
      <c r="J171" s="93"/>
      <c r="K171" s="93"/>
      <c r="L171" s="93"/>
      <c r="P171"/>
      <c r="Q171"/>
      <c r="R171"/>
      <c r="S171"/>
      <c r="T171"/>
      <c r="U171"/>
      <c r="V171"/>
      <c r="W171"/>
    </row>
    <row r="172" spans="1:23" ht="18" customHeight="1" x14ac:dyDescent="0.2">
      <c r="A172" s="58" t="s">
        <v>446</v>
      </c>
      <c r="B172" s="58" t="s">
        <v>447</v>
      </c>
      <c r="C172" s="45">
        <v>0.14610000000000001</v>
      </c>
      <c r="D172" s="58" t="s">
        <v>166</v>
      </c>
      <c r="E172" s="58" t="s">
        <v>178</v>
      </c>
      <c r="F172" s="58" t="s">
        <v>440</v>
      </c>
      <c r="G172" s="38" t="s">
        <v>529</v>
      </c>
      <c r="H172" s="94" t="s">
        <v>530</v>
      </c>
      <c r="I172" s="94"/>
      <c r="J172" s="94"/>
      <c r="K172" s="94"/>
      <c r="L172" s="94"/>
      <c r="P172"/>
      <c r="Q172"/>
      <c r="R172"/>
      <c r="S172"/>
      <c r="T172"/>
      <c r="U172"/>
      <c r="V172"/>
      <c r="W172"/>
    </row>
    <row r="173" spans="1:23" ht="18" customHeight="1" x14ac:dyDescent="0.2">
      <c r="A173" s="58" t="s">
        <v>488</v>
      </c>
      <c r="B173" s="56" t="s">
        <v>489</v>
      </c>
      <c r="C173" s="57">
        <v>7.0376778962831052E-2</v>
      </c>
      <c r="D173" s="58" t="s">
        <v>166</v>
      </c>
      <c r="E173" s="58" t="s">
        <v>178</v>
      </c>
      <c r="F173" s="58" t="s">
        <v>440</v>
      </c>
      <c r="G173" s="38" t="s">
        <v>178</v>
      </c>
      <c r="H173" s="94" t="s">
        <v>490</v>
      </c>
      <c r="I173" s="94"/>
      <c r="J173" s="94"/>
      <c r="K173" s="94"/>
      <c r="L173" s="94"/>
      <c r="Q173"/>
      <c r="R173"/>
      <c r="S173"/>
      <c r="T173"/>
      <c r="U173"/>
      <c r="V173"/>
      <c r="W173"/>
    </row>
    <row r="174" spans="1:23" ht="18" customHeight="1" x14ac:dyDescent="0.2">
      <c r="A174" s="58" t="s">
        <v>444</v>
      </c>
      <c r="B174" s="58" t="s">
        <v>477</v>
      </c>
      <c r="C174" s="45">
        <f>2.66*PI()/180</f>
        <v>4.6425758103049171E-2</v>
      </c>
      <c r="D174" s="58" t="s">
        <v>166</v>
      </c>
      <c r="E174" s="58" t="s">
        <v>448</v>
      </c>
      <c r="F174" s="58" t="s">
        <v>13</v>
      </c>
      <c r="G174" s="38" t="s">
        <v>178</v>
      </c>
      <c r="H174" s="94" t="s">
        <v>450</v>
      </c>
      <c r="I174" s="94"/>
      <c r="J174" s="94"/>
      <c r="K174" s="94"/>
      <c r="L174" s="94"/>
      <c r="Q174"/>
      <c r="R174"/>
      <c r="S174"/>
      <c r="T174"/>
      <c r="U174"/>
      <c r="V174"/>
      <c r="W174"/>
    </row>
    <row r="175" spans="1:23" ht="18" customHeight="1" x14ac:dyDescent="0.2">
      <c r="A175" s="58" t="s">
        <v>521</v>
      </c>
      <c r="B175" s="56" t="s">
        <v>522</v>
      </c>
      <c r="C175" s="57">
        <f>C173/C177</f>
        <v>2.2363417633129049E-2</v>
      </c>
      <c r="D175" s="58" t="s">
        <v>166</v>
      </c>
      <c r="E175" s="58" t="s">
        <v>448</v>
      </c>
      <c r="F175" s="58" t="s">
        <v>25</v>
      </c>
      <c r="G175" s="38" t="s">
        <v>523</v>
      </c>
      <c r="H175" s="94" t="s">
        <v>524</v>
      </c>
      <c r="I175" s="94"/>
      <c r="J175" s="94"/>
      <c r="K175" s="94"/>
      <c r="L175" s="94"/>
      <c r="Q175"/>
      <c r="R175"/>
      <c r="S175"/>
      <c r="T175"/>
      <c r="U175"/>
      <c r="V175"/>
      <c r="W175"/>
    </row>
    <row r="176" spans="1:23" ht="18" customHeight="1" x14ac:dyDescent="0.2">
      <c r="A176" s="58" t="s">
        <v>460</v>
      </c>
      <c r="B176" s="58" t="s">
        <v>461</v>
      </c>
      <c r="C176" s="45">
        <f>C172/C174</f>
        <v>3.1469599198726792</v>
      </c>
      <c r="D176" s="58" t="s">
        <v>166</v>
      </c>
      <c r="E176" s="58" t="s">
        <v>462</v>
      </c>
      <c r="F176" s="58" t="s">
        <v>25</v>
      </c>
      <c r="G176" s="38" t="s">
        <v>463</v>
      </c>
      <c r="H176" s="77" t="s">
        <v>464</v>
      </c>
      <c r="I176" s="77"/>
      <c r="J176" s="77"/>
      <c r="K176" s="77"/>
      <c r="L176" s="77"/>
      <c r="Q176"/>
      <c r="R176"/>
      <c r="S176"/>
      <c r="T176"/>
      <c r="U176"/>
      <c r="V176"/>
      <c r="W176"/>
    </row>
    <row r="177" spans="1:23" ht="18" customHeight="1" x14ac:dyDescent="0.2">
      <c r="A177" s="58" t="s">
        <v>466</v>
      </c>
      <c r="B177" s="58" t="s">
        <v>467</v>
      </c>
      <c r="C177" s="45">
        <f>C176</f>
        <v>3.1469599198726792</v>
      </c>
      <c r="D177" s="58" t="s">
        <v>166</v>
      </c>
      <c r="E177" s="58" t="s">
        <v>462</v>
      </c>
      <c r="F177" s="58" t="s">
        <v>25</v>
      </c>
      <c r="G177" s="38" t="s">
        <v>468</v>
      </c>
      <c r="H177" s="77" t="s">
        <v>469</v>
      </c>
      <c r="I177" s="77"/>
      <c r="J177" s="77"/>
      <c r="K177" s="77"/>
      <c r="L177" s="77"/>
      <c r="Q177"/>
      <c r="R177"/>
      <c r="S177"/>
      <c r="T177"/>
      <c r="U177"/>
      <c r="V177"/>
      <c r="W177"/>
    </row>
    <row r="178" spans="1:23" ht="18" customHeight="1" x14ac:dyDescent="0.2">
      <c r="A178" s="61" t="s">
        <v>470</v>
      </c>
      <c r="B178" s="58" t="s">
        <v>471</v>
      </c>
      <c r="C178" s="45">
        <f>$C$7/C174</f>
        <v>0.38082736638765829</v>
      </c>
      <c r="D178" s="58" t="s">
        <v>166</v>
      </c>
      <c r="E178" s="58" t="s">
        <v>472</v>
      </c>
      <c r="F178" s="58" t="s">
        <v>25</v>
      </c>
      <c r="G178" s="38" t="s">
        <v>473</v>
      </c>
      <c r="H178" s="77" t="s">
        <v>474</v>
      </c>
      <c r="I178" s="77"/>
      <c r="J178" s="77"/>
      <c r="K178" s="77"/>
      <c r="L178" s="77"/>
      <c r="Q178"/>
      <c r="R178"/>
      <c r="S178"/>
      <c r="T178"/>
      <c r="U178"/>
      <c r="V178"/>
      <c r="W178"/>
    </row>
    <row r="179" spans="1:23" ht="18" customHeight="1" x14ac:dyDescent="0.2">
      <c r="A179" s="58" t="s">
        <v>475</v>
      </c>
      <c r="B179" s="58" t="s">
        <v>476</v>
      </c>
      <c r="C179" s="45">
        <f>2*'Stability Constants'!$C$13*('Stability Constants'!$C$4-'Stability Constants'!$C$3)*'Stability Constants'!$C$14*'Supersonic Stability'!C174</f>
        <v>90925.329113588494</v>
      </c>
      <c r="D179" s="58" t="s">
        <v>166</v>
      </c>
      <c r="E179" s="58" t="s">
        <v>265</v>
      </c>
      <c r="F179" s="58" t="s">
        <v>25</v>
      </c>
      <c r="G179" s="38" t="s">
        <v>478</v>
      </c>
      <c r="H179" s="77" t="s">
        <v>479</v>
      </c>
      <c r="I179" s="77"/>
      <c r="J179" s="77"/>
      <c r="K179" s="77"/>
      <c r="L179" s="77"/>
      <c r="Q179"/>
      <c r="R179"/>
      <c r="S179"/>
      <c r="T179"/>
      <c r="U179"/>
      <c r="V179"/>
      <c r="W179"/>
    </row>
    <row r="180" spans="1:23" ht="18" customHeight="1" x14ac:dyDescent="0.2">
      <c r="A180" s="58" t="s">
        <v>480</v>
      </c>
      <c r="B180" s="58" t="s">
        <v>481</v>
      </c>
      <c r="C180" s="45">
        <f>2*'Stability Constants'!$C$13*('Stability Constants'!$C$6-'Stability Constants'!$C$5)*'Stability Constants'!$C$15*'Supersonic Stability'!C174</f>
        <v>56881.434433302042</v>
      </c>
      <c r="D180" s="58" t="s">
        <v>166</v>
      </c>
      <c r="E180" s="58" t="s">
        <v>265</v>
      </c>
      <c r="F180" s="58" t="s">
        <v>25</v>
      </c>
      <c r="G180" s="38" t="s">
        <v>483</v>
      </c>
      <c r="H180" s="77" t="s">
        <v>479</v>
      </c>
      <c r="I180" s="77"/>
      <c r="J180" s="77"/>
      <c r="K180" s="77"/>
      <c r="L180" s="77"/>
      <c r="Q180"/>
      <c r="R180"/>
      <c r="S180"/>
      <c r="T180"/>
      <c r="U180"/>
      <c r="V180"/>
      <c r="W180"/>
    </row>
    <row r="181" spans="1:23" ht="18" customHeight="1" x14ac:dyDescent="0.2">
      <c r="A181" s="85" t="s">
        <v>547</v>
      </c>
      <c r="B181" s="86"/>
      <c r="C181" s="86"/>
      <c r="D181" s="86"/>
      <c r="E181" s="86"/>
      <c r="F181" s="86"/>
      <c r="G181" s="86"/>
      <c r="H181" s="88"/>
      <c r="I181" s="88"/>
      <c r="J181" s="88"/>
      <c r="K181" s="88"/>
      <c r="L181" s="92"/>
      <c r="Q181"/>
      <c r="R181"/>
      <c r="S181"/>
      <c r="T181"/>
      <c r="U181"/>
      <c r="V181"/>
      <c r="W181"/>
    </row>
    <row r="182" spans="1:23" ht="18" customHeight="1" x14ac:dyDescent="0.2">
      <c r="A182" s="32" t="s">
        <v>7</v>
      </c>
      <c r="B182" s="32" t="s">
        <v>137</v>
      </c>
      <c r="C182" s="59" t="s">
        <v>11</v>
      </c>
      <c r="D182" s="59" t="s">
        <v>166</v>
      </c>
      <c r="E182" s="59" t="s">
        <v>12</v>
      </c>
      <c r="F182" s="59" t="s">
        <v>13</v>
      </c>
      <c r="G182" s="40" t="s">
        <v>14</v>
      </c>
      <c r="H182" s="89" t="s">
        <v>15</v>
      </c>
      <c r="I182" s="90"/>
      <c r="J182" s="90"/>
      <c r="K182" s="90"/>
      <c r="L182" s="91"/>
      <c r="Q182"/>
      <c r="R182"/>
      <c r="S182"/>
      <c r="T182"/>
      <c r="U182"/>
      <c r="V182"/>
      <c r="W182"/>
    </row>
    <row r="183" spans="1:23" ht="18" customHeight="1" x14ac:dyDescent="0.2">
      <c r="A183" s="58" t="s">
        <v>420</v>
      </c>
      <c r="B183" s="58" t="s">
        <v>421</v>
      </c>
      <c r="C183" s="45">
        <v>1.7</v>
      </c>
      <c r="D183" s="58" t="s">
        <v>166</v>
      </c>
      <c r="E183" s="58" t="s">
        <v>178</v>
      </c>
      <c r="F183" s="58" t="s">
        <v>528</v>
      </c>
      <c r="G183" s="38" t="s">
        <v>178</v>
      </c>
      <c r="H183" s="93" t="s">
        <v>350</v>
      </c>
      <c r="I183" s="93"/>
      <c r="J183" s="93"/>
      <c r="K183" s="93"/>
      <c r="L183" s="93"/>
      <c r="Q183"/>
      <c r="R183"/>
      <c r="S183"/>
      <c r="T183"/>
      <c r="U183"/>
      <c r="V183"/>
      <c r="W183"/>
    </row>
    <row r="184" spans="1:23" ht="18" customHeight="1" x14ac:dyDescent="0.2">
      <c r="A184" s="58" t="s">
        <v>446</v>
      </c>
      <c r="B184" s="58" t="s">
        <v>447</v>
      </c>
      <c r="C184" s="45">
        <v>0.1293</v>
      </c>
      <c r="D184" s="58" t="s">
        <v>166</v>
      </c>
      <c r="E184" s="58" t="s">
        <v>178</v>
      </c>
      <c r="F184" s="58" t="s">
        <v>440</v>
      </c>
      <c r="G184" s="38" t="s">
        <v>529</v>
      </c>
      <c r="H184" s="94" t="s">
        <v>530</v>
      </c>
      <c r="I184" s="94"/>
      <c r="J184" s="94"/>
      <c r="K184" s="94"/>
      <c r="L184" s="94"/>
      <c r="Q184"/>
      <c r="R184"/>
      <c r="S184"/>
      <c r="T184"/>
      <c r="U184"/>
      <c r="V184"/>
      <c r="W184"/>
    </row>
    <row r="185" spans="1:23" ht="18" customHeight="1" x14ac:dyDescent="0.2">
      <c r="A185" s="58" t="s">
        <v>488</v>
      </c>
      <c r="B185" s="56" t="s">
        <v>489</v>
      </c>
      <c r="C185" s="57">
        <v>6.6867794461096905E-2</v>
      </c>
      <c r="D185" s="58" t="s">
        <v>166</v>
      </c>
      <c r="E185" s="58" t="s">
        <v>178</v>
      </c>
      <c r="F185" s="58" t="s">
        <v>440</v>
      </c>
      <c r="G185" s="38" t="s">
        <v>178</v>
      </c>
      <c r="H185" s="94" t="s">
        <v>490</v>
      </c>
      <c r="I185" s="94"/>
      <c r="J185" s="94"/>
      <c r="K185" s="94"/>
      <c r="L185" s="94"/>
      <c r="Q185"/>
      <c r="R185"/>
      <c r="S185"/>
      <c r="T185"/>
      <c r="U185"/>
      <c r="V185"/>
      <c r="W185"/>
    </row>
    <row r="186" spans="1:23" ht="18" customHeight="1" x14ac:dyDescent="0.2">
      <c r="A186" s="58" t="s">
        <v>444</v>
      </c>
      <c r="B186" s="58" t="s">
        <v>477</v>
      </c>
      <c r="C186" s="45">
        <f>2.54*PI()/180</f>
        <v>4.4331363000655974E-2</v>
      </c>
      <c r="D186" s="58" t="s">
        <v>166</v>
      </c>
      <c r="E186" s="58" t="s">
        <v>448</v>
      </c>
      <c r="F186" s="58" t="s">
        <v>13</v>
      </c>
      <c r="G186" s="38" t="s">
        <v>539</v>
      </c>
      <c r="H186" s="94" t="s">
        <v>450</v>
      </c>
      <c r="I186" s="94"/>
      <c r="J186" s="94"/>
      <c r="K186" s="94"/>
      <c r="L186" s="94"/>
      <c r="Q186"/>
      <c r="R186"/>
      <c r="S186"/>
      <c r="T186"/>
      <c r="U186"/>
      <c r="V186"/>
      <c r="W186"/>
    </row>
    <row r="187" spans="1:23" ht="18" customHeight="1" x14ac:dyDescent="0.2">
      <c r="A187" s="58" t="s">
        <v>521</v>
      </c>
      <c r="B187" s="56" t="s">
        <v>522</v>
      </c>
      <c r="C187" s="57">
        <f>C185/C189</f>
        <v>2.2926067048013456E-2</v>
      </c>
      <c r="D187" s="58" t="s">
        <v>166</v>
      </c>
      <c r="E187" s="58" t="s">
        <v>448</v>
      </c>
      <c r="F187" s="58" t="s">
        <v>25</v>
      </c>
      <c r="G187" s="38" t="s">
        <v>523</v>
      </c>
      <c r="H187" s="94" t="s">
        <v>524</v>
      </c>
      <c r="I187" s="94"/>
      <c r="J187" s="94"/>
      <c r="K187" s="94"/>
      <c r="L187" s="94"/>
      <c r="Q187"/>
      <c r="R187"/>
      <c r="S187"/>
      <c r="T187"/>
      <c r="U187"/>
      <c r="V187"/>
      <c r="W187"/>
    </row>
    <row r="188" spans="1:23" ht="18" customHeight="1" x14ac:dyDescent="0.2">
      <c r="A188" s="58" t="s">
        <v>460</v>
      </c>
      <c r="B188" s="58" t="s">
        <v>461</v>
      </c>
      <c r="C188" s="45">
        <f>C184/C186</f>
        <v>2.9166709807250171</v>
      </c>
      <c r="D188" s="58" t="s">
        <v>166</v>
      </c>
      <c r="E188" s="58" t="s">
        <v>462</v>
      </c>
      <c r="F188" s="58" t="s">
        <v>25</v>
      </c>
      <c r="G188" s="38" t="s">
        <v>463</v>
      </c>
      <c r="H188" s="77" t="s">
        <v>464</v>
      </c>
      <c r="I188" s="77"/>
      <c r="J188" s="77"/>
      <c r="K188" s="77"/>
      <c r="L188" s="77"/>
      <c r="Q188"/>
      <c r="R188"/>
      <c r="S188"/>
      <c r="T188"/>
      <c r="U188"/>
      <c r="V188"/>
      <c r="W188"/>
    </row>
    <row r="189" spans="1:23" ht="18" customHeight="1" x14ac:dyDescent="0.2">
      <c r="A189" s="58" t="s">
        <v>466</v>
      </c>
      <c r="B189" s="58" t="s">
        <v>467</v>
      </c>
      <c r="C189" s="45">
        <f>C188</f>
        <v>2.9166709807250171</v>
      </c>
      <c r="D189" s="58" t="s">
        <v>166</v>
      </c>
      <c r="E189" s="58" t="s">
        <v>462</v>
      </c>
      <c r="F189" s="58" t="s">
        <v>25</v>
      </c>
      <c r="G189" s="38" t="s">
        <v>468</v>
      </c>
      <c r="H189" s="77" t="s">
        <v>469</v>
      </c>
      <c r="I189" s="77"/>
      <c r="J189" s="77"/>
      <c r="K189" s="77"/>
      <c r="L189" s="77"/>
      <c r="Q189"/>
      <c r="R189"/>
      <c r="S189"/>
      <c r="T189"/>
      <c r="U189"/>
      <c r="V189"/>
      <c r="W189"/>
    </row>
    <row r="190" spans="1:23" ht="18" customHeight="1" x14ac:dyDescent="0.2">
      <c r="A190" s="61" t="s">
        <v>470</v>
      </c>
      <c r="B190" s="58" t="s">
        <v>471</v>
      </c>
      <c r="C190" s="45">
        <f>$C$7/C186</f>
        <v>0.39881921046896501</v>
      </c>
      <c r="D190" s="58" t="s">
        <v>166</v>
      </c>
      <c r="E190" s="58" t="s">
        <v>472</v>
      </c>
      <c r="F190" s="58" t="s">
        <v>25</v>
      </c>
      <c r="G190" s="38" t="s">
        <v>473</v>
      </c>
      <c r="H190" s="77" t="s">
        <v>474</v>
      </c>
      <c r="I190" s="77"/>
      <c r="J190" s="77"/>
      <c r="K190" s="77"/>
      <c r="L190" s="77"/>
      <c r="Q190"/>
      <c r="R190"/>
      <c r="S190"/>
      <c r="T190"/>
      <c r="U190"/>
      <c r="V190"/>
      <c r="W190"/>
    </row>
    <row r="191" spans="1:23" ht="18" customHeight="1" x14ac:dyDescent="0.2">
      <c r="A191" s="58" t="s">
        <v>475</v>
      </c>
      <c r="B191" s="58" t="s">
        <v>476</v>
      </c>
      <c r="C191" s="45">
        <f>2*'Stability Constants'!$C$13*('Stability Constants'!$C$4-'Stability Constants'!$C$3)*'Stability Constants'!$C$14*'Supersonic Stability'!C186</f>
        <v>86823.434567110817</v>
      </c>
      <c r="D191" s="58" t="s">
        <v>166</v>
      </c>
      <c r="E191" s="58" t="s">
        <v>265</v>
      </c>
      <c r="F191" s="58" t="s">
        <v>25</v>
      </c>
      <c r="G191" s="38" t="s">
        <v>478</v>
      </c>
      <c r="H191" s="77" t="s">
        <v>479</v>
      </c>
      <c r="I191" s="77"/>
      <c r="J191" s="77"/>
      <c r="K191" s="77"/>
      <c r="L191" s="77"/>
      <c r="Q191"/>
      <c r="R191"/>
      <c r="S191"/>
      <c r="T191"/>
      <c r="U191"/>
      <c r="V191"/>
      <c r="W191"/>
    </row>
    <row r="192" spans="1:23" ht="18" customHeight="1" x14ac:dyDescent="0.2">
      <c r="A192" s="58" t="s">
        <v>480</v>
      </c>
      <c r="B192" s="58" t="s">
        <v>481</v>
      </c>
      <c r="C192" s="45">
        <f>2*'Stability Constants'!$C$13*('Stability Constants'!$C$6-'Stability Constants'!$C$5)*'Stability Constants'!$C$15*'Supersonic Stability'!C186</f>
        <v>54315.354684431273</v>
      </c>
      <c r="D192" s="58" t="s">
        <v>166</v>
      </c>
      <c r="E192" s="58" t="s">
        <v>265</v>
      </c>
      <c r="F192" s="58" t="s">
        <v>25</v>
      </c>
      <c r="G192" s="38" t="s">
        <v>483</v>
      </c>
      <c r="H192" s="77" t="s">
        <v>479</v>
      </c>
      <c r="I192" s="77"/>
      <c r="J192" s="77"/>
      <c r="K192" s="77"/>
      <c r="L192" s="77"/>
      <c r="Q192"/>
      <c r="R192"/>
      <c r="S192"/>
      <c r="T192"/>
      <c r="U192"/>
      <c r="V192"/>
      <c r="W192"/>
    </row>
    <row r="193" spans="1:23" ht="18" customHeight="1" x14ac:dyDescent="0.2">
      <c r="A193" s="85" t="s">
        <v>546</v>
      </c>
      <c r="B193" s="86"/>
      <c r="C193" s="86"/>
      <c r="D193" s="86"/>
      <c r="E193" s="86"/>
      <c r="F193" s="86"/>
      <c r="G193" s="86"/>
      <c r="H193" s="88"/>
      <c r="I193" s="88"/>
      <c r="J193" s="88"/>
      <c r="K193" s="88"/>
      <c r="L193" s="92"/>
      <c r="Q193"/>
      <c r="R193"/>
      <c r="S193"/>
      <c r="T193"/>
      <c r="U193"/>
      <c r="V193"/>
      <c r="W193"/>
    </row>
    <row r="194" spans="1:23" ht="18" customHeight="1" x14ac:dyDescent="0.2">
      <c r="A194" s="32" t="s">
        <v>7</v>
      </c>
      <c r="B194" s="32" t="s">
        <v>137</v>
      </c>
      <c r="C194" s="59" t="s">
        <v>11</v>
      </c>
      <c r="D194" s="59" t="s">
        <v>166</v>
      </c>
      <c r="E194" s="59" t="s">
        <v>12</v>
      </c>
      <c r="F194" s="59" t="s">
        <v>13</v>
      </c>
      <c r="G194" s="40" t="s">
        <v>14</v>
      </c>
      <c r="H194" s="89" t="s">
        <v>15</v>
      </c>
      <c r="I194" s="90"/>
      <c r="J194" s="90"/>
      <c r="K194" s="90"/>
      <c r="L194" s="91"/>
      <c r="Q194"/>
      <c r="R194"/>
      <c r="S194"/>
      <c r="T194"/>
      <c r="U194"/>
      <c r="V194"/>
      <c r="W194"/>
    </row>
    <row r="195" spans="1:23" ht="18" customHeight="1" x14ac:dyDescent="0.2">
      <c r="A195" s="58" t="s">
        <v>420</v>
      </c>
      <c r="B195" s="58" t="s">
        <v>421</v>
      </c>
      <c r="C195" s="45">
        <v>1.8</v>
      </c>
      <c r="D195" s="58" t="s">
        <v>166</v>
      </c>
      <c r="E195" s="58" t="s">
        <v>178</v>
      </c>
      <c r="F195" s="58" t="s">
        <v>528</v>
      </c>
      <c r="G195" s="38" t="s">
        <v>178</v>
      </c>
      <c r="H195" s="93" t="s">
        <v>350</v>
      </c>
      <c r="I195" s="93"/>
      <c r="J195" s="93"/>
      <c r="K195" s="93"/>
      <c r="L195" s="93"/>
      <c r="Q195"/>
      <c r="R195"/>
      <c r="S195"/>
      <c r="T195"/>
      <c r="U195"/>
      <c r="V195"/>
      <c r="W195"/>
    </row>
    <row r="196" spans="1:23" ht="18" customHeight="1" x14ac:dyDescent="0.2">
      <c r="A196" s="58" t="s">
        <v>446</v>
      </c>
      <c r="B196" s="58" t="s">
        <v>447</v>
      </c>
      <c r="C196" s="45">
        <v>0.1154</v>
      </c>
      <c r="D196" s="58" t="s">
        <v>166</v>
      </c>
      <c r="E196" s="58" t="s">
        <v>178</v>
      </c>
      <c r="F196" s="58" t="s">
        <v>440</v>
      </c>
      <c r="G196" s="38" t="s">
        <v>529</v>
      </c>
      <c r="H196" s="94" t="s">
        <v>530</v>
      </c>
      <c r="I196" s="94"/>
      <c r="J196" s="94"/>
      <c r="K196" s="94"/>
      <c r="L196" s="94"/>
      <c r="Q196"/>
      <c r="R196"/>
      <c r="S196"/>
      <c r="T196"/>
      <c r="U196"/>
      <c r="V196"/>
      <c r="W196"/>
    </row>
    <row r="197" spans="1:23" ht="18" customHeight="1" x14ac:dyDescent="0.2">
      <c r="A197" s="58" t="s">
        <v>488</v>
      </c>
      <c r="B197" s="56" t="s">
        <v>489</v>
      </c>
      <c r="C197" s="57">
        <v>6.4615630740711527E-2</v>
      </c>
      <c r="D197" s="58" t="s">
        <v>166</v>
      </c>
      <c r="E197" s="58" t="s">
        <v>178</v>
      </c>
      <c r="F197" s="58" t="s">
        <v>440</v>
      </c>
      <c r="G197" s="38" t="s">
        <v>178</v>
      </c>
      <c r="H197" s="94" t="s">
        <v>490</v>
      </c>
      <c r="I197" s="94"/>
      <c r="J197" s="94"/>
      <c r="K197" s="94"/>
      <c r="L197" s="94"/>
      <c r="Q197"/>
      <c r="R197"/>
      <c r="S197"/>
      <c r="T197"/>
      <c r="U197"/>
      <c r="V197"/>
      <c r="W197"/>
    </row>
    <row r="198" spans="1:23" ht="18" customHeight="1" x14ac:dyDescent="0.2">
      <c r="A198" s="58" t="s">
        <v>444</v>
      </c>
      <c r="B198" s="58" t="s">
        <v>477</v>
      </c>
      <c r="C198" s="45">
        <f>2.44*PI()/180</f>
        <v>4.2586033748661642E-2</v>
      </c>
      <c r="D198" s="58" t="s">
        <v>166</v>
      </c>
      <c r="E198" s="58" t="s">
        <v>448</v>
      </c>
      <c r="F198" s="58" t="s">
        <v>13</v>
      </c>
      <c r="G198" s="38" t="s">
        <v>178</v>
      </c>
      <c r="H198" s="94" t="s">
        <v>450</v>
      </c>
      <c r="I198" s="94"/>
      <c r="J198" s="94"/>
      <c r="K198" s="94"/>
      <c r="L198" s="94"/>
      <c r="Q198"/>
      <c r="R198"/>
      <c r="S198"/>
      <c r="T198"/>
      <c r="U198"/>
      <c r="V198"/>
      <c r="W198"/>
    </row>
    <row r="199" spans="1:23" ht="18" customHeight="1" x14ac:dyDescent="0.2">
      <c r="A199" s="58" t="s">
        <v>521</v>
      </c>
      <c r="B199" s="56" t="s">
        <v>522</v>
      </c>
      <c r="C199" s="57">
        <f>C197/C201</f>
        <v>2.3845090393544193E-2</v>
      </c>
      <c r="D199" s="58" t="s">
        <v>166</v>
      </c>
      <c r="E199" s="58" t="s">
        <v>448</v>
      </c>
      <c r="F199" s="58" t="s">
        <v>25</v>
      </c>
      <c r="G199" s="38" t="s">
        <v>523</v>
      </c>
      <c r="H199" s="94" t="s">
        <v>524</v>
      </c>
      <c r="I199" s="94"/>
      <c r="J199" s="94"/>
      <c r="K199" s="94"/>
      <c r="L199" s="94"/>
      <c r="Q199"/>
      <c r="R199"/>
      <c r="S199"/>
      <c r="T199"/>
      <c r="U199"/>
      <c r="V199"/>
      <c r="W199"/>
    </row>
    <row r="200" spans="1:23" ht="18" customHeight="1" x14ac:dyDescent="0.2">
      <c r="A200" s="58" t="s">
        <v>460</v>
      </c>
      <c r="B200" s="58" t="s">
        <v>461</v>
      </c>
      <c r="C200" s="45">
        <f>C196/C198</f>
        <v>2.7098085884465983</v>
      </c>
      <c r="D200" s="58" t="s">
        <v>166</v>
      </c>
      <c r="E200" s="58" t="s">
        <v>462</v>
      </c>
      <c r="F200" s="58" t="s">
        <v>25</v>
      </c>
      <c r="G200" s="38" t="s">
        <v>463</v>
      </c>
      <c r="H200" s="77" t="s">
        <v>464</v>
      </c>
      <c r="I200" s="77"/>
      <c r="J200" s="77"/>
      <c r="K200" s="77"/>
      <c r="L200" s="77"/>
      <c r="Q200"/>
      <c r="R200"/>
      <c r="S200"/>
      <c r="T200"/>
      <c r="U200"/>
      <c r="V200"/>
      <c r="W200"/>
    </row>
    <row r="201" spans="1:23" ht="18" customHeight="1" x14ac:dyDescent="0.2">
      <c r="A201" s="58" t="s">
        <v>466</v>
      </c>
      <c r="B201" s="58" t="s">
        <v>467</v>
      </c>
      <c r="C201" s="45">
        <f>C200</f>
        <v>2.7098085884465983</v>
      </c>
      <c r="D201" s="58" t="s">
        <v>166</v>
      </c>
      <c r="E201" s="58" t="s">
        <v>462</v>
      </c>
      <c r="F201" s="58" t="s">
        <v>25</v>
      </c>
      <c r="G201" s="38" t="s">
        <v>468</v>
      </c>
      <c r="H201" s="77" t="s">
        <v>469</v>
      </c>
      <c r="I201" s="77"/>
      <c r="J201" s="77"/>
      <c r="K201" s="77"/>
      <c r="L201" s="77"/>
      <c r="Q201"/>
      <c r="R201"/>
      <c r="S201"/>
      <c r="T201"/>
      <c r="U201"/>
      <c r="V201"/>
      <c r="W201"/>
    </row>
    <row r="202" spans="1:23" ht="18" customHeight="1" x14ac:dyDescent="0.2">
      <c r="A202" s="61" t="s">
        <v>470</v>
      </c>
      <c r="B202" s="58" t="s">
        <v>471</v>
      </c>
      <c r="C202" s="45">
        <f>$C$7/C198</f>
        <v>0.41516426007834883</v>
      </c>
      <c r="D202" s="58" t="s">
        <v>166</v>
      </c>
      <c r="E202" s="58" t="s">
        <v>472</v>
      </c>
      <c r="F202" s="58" t="s">
        <v>25</v>
      </c>
      <c r="G202" s="38" t="s">
        <v>473</v>
      </c>
      <c r="H202" s="77" t="s">
        <v>474</v>
      </c>
      <c r="I202" s="77"/>
      <c r="J202" s="77"/>
      <c r="K202" s="77"/>
      <c r="L202" s="77"/>
      <c r="Q202"/>
      <c r="R202"/>
      <c r="S202"/>
      <c r="T202"/>
      <c r="U202"/>
      <c r="V202"/>
      <c r="W202"/>
    </row>
    <row r="203" spans="1:23" ht="18" customHeight="1" x14ac:dyDescent="0.2">
      <c r="A203" s="58" t="s">
        <v>475</v>
      </c>
      <c r="B203" s="58" t="s">
        <v>476</v>
      </c>
      <c r="C203" s="45">
        <f>2*'Stability Constants'!$C$13*('Stability Constants'!$C$4-'Stability Constants'!$C$3)*'Stability Constants'!$C$14*'Supersonic Stability'!C198</f>
        <v>83405.189111712752</v>
      </c>
      <c r="D203" s="58" t="s">
        <v>166</v>
      </c>
      <c r="E203" s="58" t="s">
        <v>265</v>
      </c>
      <c r="F203" s="58" t="s">
        <v>25</v>
      </c>
      <c r="G203" s="38" t="s">
        <v>478</v>
      </c>
      <c r="H203" s="77" t="s">
        <v>479</v>
      </c>
      <c r="I203" s="77"/>
      <c r="J203" s="77"/>
      <c r="K203" s="77"/>
      <c r="L203" s="77"/>
      <c r="Q203"/>
      <c r="R203"/>
      <c r="S203"/>
      <c r="T203"/>
      <c r="U203"/>
      <c r="V203"/>
      <c r="W203"/>
    </row>
    <row r="204" spans="1:23" ht="18" customHeight="1" x14ac:dyDescent="0.2">
      <c r="A204" s="58" t="s">
        <v>480</v>
      </c>
      <c r="B204" s="58" t="s">
        <v>481</v>
      </c>
      <c r="C204" s="45">
        <f>2*'Stability Constants'!$C$13*('Stability Constants'!$C$6-'Stability Constants'!$C$5)*'Stability Constants'!$C$15*'Supersonic Stability'!C198</f>
        <v>52176.954893705632</v>
      </c>
      <c r="D204" s="58" t="s">
        <v>166</v>
      </c>
      <c r="E204" s="58" t="s">
        <v>265</v>
      </c>
      <c r="F204" s="58" t="s">
        <v>25</v>
      </c>
      <c r="G204" s="38" t="s">
        <v>483</v>
      </c>
      <c r="H204" s="77" t="s">
        <v>479</v>
      </c>
      <c r="I204" s="77"/>
      <c r="J204" s="77"/>
      <c r="K204" s="77"/>
      <c r="L204" s="77"/>
      <c r="Q204"/>
      <c r="R204"/>
      <c r="S204"/>
      <c r="T204"/>
      <c r="U204"/>
      <c r="V204"/>
      <c r="W204"/>
    </row>
    <row r="205" spans="1:23" ht="18" customHeight="1" x14ac:dyDescent="0.2">
      <c r="A205" s="85" t="s">
        <v>557</v>
      </c>
      <c r="B205" s="86"/>
      <c r="C205" s="86"/>
      <c r="D205" s="86"/>
      <c r="E205" s="86"/>
      <c r="F205" s="86"/>
      <c r="G205" s="86"/>
      <c r="H205" s="88"/>
      <c r="I205" s="88"/>
      <c r="J205" s="88"/>
      <c r="K205" s="88"/>
      <c r="L205" s="92"/>
      <c r="Q205"/>
      <c r="R205"/>
      <c r="S205"/>
      <c r="T205"/>
      <c r="U205"/>
      <c r="V205"/>
      <c r="W205"/>
    </row>
    <row r="206" spans="1:23" ht="18" customHeight="1" x14ac:dyDescent="0.2">
      <c r="A206" s="32" t="s">
        <v>7</v>
      </c>
      <c r="B206" s="32" t="s">
        <v>137</v>
      </c>
      <c r="C206" s="59" t="s">
        <v>11</v>
      </c>
      <c r="D206" s="59" t="s">
        <v>166</v>
      </c>
      <c r="E206" s="59" t="s">
        <v>12</v>
      </c>
      <c r="F206" s="59" t="s">
        <v>13</v>
      </c>
      <c r="G206" s="40" t="s">
        <v>500</v>
      </c>
      <c r="H206" s="89" t="s">
        <v>15</v>
      </c>
      <c r="I206" s="90"/>
      <c r="J206" s="90"/>
      <c r="K206" s="90"/>
      <c r="L206" s="91"/>
      <c r="Q206"/>
      <c r="R206"/>
      <c r="S206"/>
      <c r="T206"/>
      <c r="U206"/>
      <c r="V206"/>
      <c r="W206"/>
    </row>
    <row r="207" spans="1:23" ht="18" customHeight="1" x14ac:dyDescent="0.2">
      <c r="A207" s="58" t="s">
        <v>491</v>
      </c>
      <c r="B207" s="56" t="s">
        <v>487</v>
      </c>
      <c r="C207" s="57">
        <f>(C172 + C173* 'Stability Constants'!$C$16*'Supersonic Stability'!$C$4/'Initial Estimates'!$C$5)*'Stability Constants'!$C$8/'Initial Estimates'!$C$10 - 'Supersonic Stability'!C173*'Stability Constants'!$C$16*'Supersonic Stability'!$C$4/'Initial Estimates'!$C$5*'Stability Constants'!$C$10/'Initial Estimates'!$C$10+'Supersonic Stability'!$C$5+('Supersonic Stability'!C179+'Stability Constants'!$C$11*'Supersonic Stability'!C180)/('Stability Constants'!$C$13*'Initial Estimates'!$C$5*'Initial Estimates'!$C$10)</f>
        <v>0</v>
      </c>
      <c r="D207" s="58" t="s">
        <v>166</v>
      </c>
      <c r="E207" s="58" t="s">
        <v>178</v>
      </c>
      <c r="F207" s="58" t="s">
        <v>25</v>
      </c>
      <c r="G207" s="38" t="s">
        <v>501</v>
      </c>
      <c r="H207" s="77" t="s">
        <v>479</v>
      </c>
      <c r="I207" s="77"/>
      <c r="J207" s="77"/>
      <c r="K207" s="77"/>
      <c r="L207" s="77"/>
      <c r="Q207"/>
      <c r="R207"/>
      <c r="S207"/>
      <c r="T207"/>
      <c r="U207"/>
      <c r="V207"/>
      <c r="W207"/>
    </row>
    <row r="208" spans="1:23" ht="18" customHeight="1" x14ac:dyDescent="0.2">
      <c r="A208" s="58" t="s">
        <v>492</v>
      </c>
      <c r="B208" s="56" t="s">
        <v>487</v>
      </c>
      <c r="C208" s="57">
        <f>(C184 + C185* 'Stability Constants'!$C$16*'Supersonic Stability'!$C$4/'Initial Estimates'!$C$5)*'Stability Constants'!$C$8/'Initial Estimates'!$C$10 - 'Supersonic Stability'!C185*'Stability Constants'!$C$16*'Supersonic Stability'!$C$4/'Initial Estimates'!$C$5*'Stability Constants'!$C$10/'Initial Estimates'!$C$10+'Supersonic Stability'!$C$5+('Supersonic Stability'!C191+'Stability Constants'!$C$11*'Supersonic Stability'!C192)/('Stability Constants'!$C$13*'Initial Estimates'!$C$5*'Initial Estimates'!$C$10)</f>
        <v>0</v>
      </c>
      <c r="D208" s="58" t="s">
        <v>166</v>
      </c>
      <c r="E208" s="58" t="s">
        <v>178</v>
      </c>
      <c r="F208" s="58" t="s">
        <v>25</v>
      </c>
      <c r="G208" s="38" t="s">
        <v>501</v>
      </c>
      <c r="H208" s="77" t="s">
        <v>479</v>
      </c>
      <c r="I208" s="77"/>
      <c r="J208" s="77"/>
      <c r="K208" s="77"/>
      <c r="L208" s="77"/>
      <c r="Q208"/>
      <c r="R208"/>
      <c r="S208"/>
      <c r="T208"/>
      <c r="U208"/>
      <c r="V208"/>
      <c r="W208"/>
    </row>
    <row r="209" spans="1:23" ht="18" customHeight="1" x14ac:dyDescent="0.2">
      <c r="A209" s="58" t="s">
        <v>493</v>
      </c>
      <c r="B209" s="56" t="s">
        <v>487</v>
      </c>
      <c r="C209" s="57">
        <f>(C196 + C197* 'Stability Constants'!$C$16*'Supersonic Stability'!$C$4/'Initial Estimates'!$C$5)*'Stability Constants'!$C$8/'Initial Estimates'!$C$10 - 'Supersonic Stability'!C197*'Stability Constants'!$C$16*'Supersonic Stability'!$C$4/'Initial Estimates'!$C$5*'Stability Constants'!$C$10/'Initial Estimates'!$C$10+'Supersonic Stability'!$C$5+('Supersonic Stability'!C203+'Stability Constants'!$C$11*'Supersonic Stability'!C204)/('Stability Constants'!$C$13*'Initial Estimates'!$C$5*'Initial Estimates'!$C$10)</f>
        <v>-6.6871751191455858E-4</v>
      </c>
      <c r="D209" s="58" t="s">
        <v>166</v>
      </c>
      <c r="E209" s="58" t="s">
        <v>178</v>
      </c>
      <c r="F209" s="58" t="s">
        <v>25</v>
      </c>
      <c r="G209" s="38" t="s">
        <v>501</v>
      </c>
      <c r="H209" s="77" t="s">
        <v>479</v>
      </c>
      <c r="I209" s="77"/>
      <c r="J209" s="77"/>
      <c r="K209" s="77"/>
      <c r="L209" s="77"/>
      <c r="Q209"/>
      <c r="R209"/>
      <c r="S209"/>
      <c r="T209"/>
      <c r="U209"/>
      <c r="V209"/>
      <c r="W209"/>
    </row>
    <row r="210" spans="1:23" ht="18" customHeight="1" x14ac:dyDescent="0.2">
      <c r="A210" s="58" t="s">
        <v>550</v>
      </c>
      <c r="B210" s="56" t="s">
        <v>494</v>
      </c>
      <c r="C210" s="57">
        <f xml:space="preserve"> ( C176 + C177*(1 - C178)*'Stability Constants'!$C$16*('Supersonic Stability'!$C$4/'Initial Estimates'!$C$5))*('Stability Constants'!$C$8/'Initial Estimates'!$C$10) - C177*(1 - C178)*'Stability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-0.40695515016961992</v>
      </c>
      <c r="D210" s="58" t="s">
        <v>166</v>
      </c>
      <c r="E210" s="58" t="s">
        <v>462</v>
      </c>
      <c r="F210" s="58" t="s">
        <v>25</v>
      </c>
      <c r="G210" s="38" t="s">
        <v>499</v>
      </c>
      <c r="H210" s="77" t="s">
        <v>479</v>
      </c>
      <c r="I210" s="77"/>
      <c r="J210" s="77"/>
      <c r="K210" s="77"/>
      <c r="L210" s="77"/>
      <c r="Q210"/>
      <c r="R210"/>
      <c r="S210"/>
      <c r="T210"/>
      <c r="U210"/>
      <c r="V210"/>
      <c r="W210"/>
    </row>
    <row r="211" spans="1:23" ht="18" customHeight="1" x14ac:dyDescent="0.2">
      <c r="A211" s="58" t="s">
        <v>551</v>
      </c>
      <c r="B211" s="56" t="s">
        <v>494</v>
      </c>
      <c r="C211" s="57">
        <f xml:space="preserve"> ( C188 + C189*(1 - C190)*'Stability Constants'!$C$16*('Supersonic Stability'!$C$4/'Initial Estimates'!$C$5))*('Stability Constants'!$C$8/'Initial Estimates'!$C$10) - C189*(1 - C190)*'Stability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-0.22199500679034856</v>
      </c>
      <c r="D211" s="58" t="s">
        <v>166</v>
      </c>
      <c r="E211" s="58" t="s">
        <v>462</v>
      </c>
      <c r="F211" s="58" t="s">
        <v>25</v>
      </c>
      <c r="G211" s="38" t="s">
        <v>499</v>
      </c>
      <c r="H211" s="77" t="s">
        <v>479</v>
      </c>
      <c r="I211" s="77"/>
      <c r="J211" s="77"/>
      <c r="K211" s="77"/>
      <c r="L211" s="77"/>
      <c r="Q211"/>
      <c r="R211"/>
      <c r="S211"/>
      <c r="T211"/>
      <c r="U211"/>
      <c r="V211"/>
      <c r="W211"/>
    </row>
    <row r="212" spans="1:23" ht="18" customHeight="1" x14ac:dyDescent="0.2">
      <c r="A212" s="58" t="s">
        <v>549</v>
      </c>
      <c r="B212" s="56" t="s">
        <v>494</v>
      </c>
      <c r="C212" s="57">
        <f xml:space="preserve"> ( C200 + C201*(1 - C202)*'Stability Constants'!$C$16*('Supersonic Stability'!$C$4/'Initial Estimates'!$C$5))*('Stability Constants'!$C$8/'Initial Estimates'!$C$10) - C201*(1 - C202)*'Stability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-6.2331703003610017E-2</v>
      </c>
      <c r="D212" s="58" t="s">
        <v>166</v>
      </c>
      <c r="E212" s="58" t="s">
        <v>462</v>
      </c>
      <c r="F212" s="58" t="s">
        <v>25</v>
      </c>
      <c r="G212" s="38" t="s">
        <v>499</v>
      </c>
      <c r="H212" s="77" t="s">
        <v>479</v>
      </c>
      <c r="I212" s="77"/>
      <c r="J212" s="77"/>
      <c r="K212" s="77"/>
      <c r="L212" s="77"/>
      <c r="Q212"/>
      <c r="R212"/>
      <c r="S212"/>
      <c r="T212"/>
      <c r="U212"/>
      <c r="V212"/>
      <c r="W212"/>
    </row>
    <row r="213" spans="1:23" ht="18" customHeight="1" x14ac:dyDescent="0.2">
      <c r="Q213"/>
      <c r="R213"/>
      <c r="S213"/>
      <c r="T213"/>
      <c r="U213"/>
      <c r="V213"/>
      <c r="W213"/>
    </row>
    <row r="214" spans="1:23" ht="18" customHeight="1" x14ac:dyDescent="0.2">
      <c r="Q214"/>
      <c r="R214"/>
      <c r="S214"/>
      <c r="T214"/>
      <c r="U214"/>
      <c r="V214"/>
      <c r="W214"/>
    </row>
    <row r="215" spans="1:23" ht="18" customHeight="1" x14ac:dyDescent="0.2">
      <c r="Q215"/>
      <c r="R215"/>
      <c r="S215"/>
      <c r="T215"/>
      <c r="U215"/>
      <c r="V215"/>
      <c r="W215"/>
    </row>
    <row r="216" spans="1:23" ht="18" customHeight="1" x14ac:dyDescent="0.2">
      <c r="Q216"/>
      <c r="R216"/>
      <c r="S216"/>
      <c r="T216"/>
      <c r="U216"/>
      <c r="V216"/>
      <c r="W216"/>
    </row>
    <row r="217" spans="1:23" ht="18" customHeight="1" x14ac:dyDescent="0.2">
      <c r="Q217"/>
      <c r="R217"/>
      <c r="S217"/>
      <c r="T217"/>
      <c r="U217"/>
      <c r="V217"/>
      <c r="W217"/>
    </row>
    <row r="218" spans="1:23" ht="18" customHeight="1" x14ac:dyDescent="0.2">
      <c r="Q218"/>
      <c r="R218"/>
      <c r="S218"/>
      <c r="T218"/>
      <c r="U218"/>
      <c r="V218"/>
      <c r="W218"/>
    </row>
    <row r="219" spans="1:23" ht="18" customHeight="1" x14ac:dyDescent="0.2">
      <c r="Q219"/>
      <c r="R219"/>
      <c r="S219"/>
      <c r="T219"/>
      <c r="U219"/>
      <c r="V219"/>
      <c r="W219"/>
    </row>
    <row r="220" spans="1:23" ht="18" customHeight="1" x14ac:dyDescent="0.2">
      <c r="Q220"/>
      <c r="R220"/>
      <c r="S220"/>
      <c r="T220"/>
      <c r="U220"/>
      <c r="V220"/>
      <c r="W220"/>
    </row>
  </sheetData>
  <dataConsolidate/>
  <mergeCells count="207">
    <mergeCell ref="H211:L211"/>
    <mergeCell ref="H212:L212"/>
    <mergeCell ref="A205:L205"/>
    <mergeCell ref="H206:L206"/>
    <mergeCell ref="H207:L207"/>
    <mergeCell ref="H208:L208"/>
    <mergeCell ref="H209:L209"/>
    <mergeCell ref="H210:L210"/>
    <mergeCell ref="H199:L199"/>
    <mergeCell ref="H200:L200"/>
    <mergeCell ref="H201:L201"/>
    <mergeCell ref="H202:L202"/>
    <mergeCell ref="H203:L203"/>
    <mergeCell ref="H204:L204"/>
    <mergeCell ref="H194:L194"/>
    <mergeCell ref="H195:L195"/>
    <mergeCell ref="H196:L196"/>
    <mergeCell ref="H197:L197"/>
    <mergeCell ref="H198:L198"/>
    <mergeCell ref="H187:L187"/>
    <mergeCell ref="H188:L188"/>
    <mergeCell ref="H189:L189"/>
    <mergeCell ref="H190:L190"/>
    <mergeCell ref="H191:L191"/>
    <mergeCell ref="H192:L192"/>
    <mergeCell ref="A193:L193"/>
    <mergeCell ref="A181:L181"/>
    <mergeCell ref="H182:L182"/>
    <mergeCell ref="H183:L183"/>
    <mergeCell ref="H184:L184"/>
    <mergeCell ref="H185:L185"/>
    <mergeCell ref="H186:L186"/>
    <mergeCell ref="H175:L175"/>
    <mergeCell ref="H176:L176"/>
    <mergeCell ref="H177:L177"/>
    <mergeCell ref="H178:L178"/>
    <mergeCell ref="H179:L179"/>
    <mergeCell ref="H180:L180"/>
    <mergeCell ref="A169:L169"/>
    <mergeCell ref="H170:L170"/>
    <mergeCell ref="H171:L171"/>
    <mergeCell ref="H172:L172"/>
    <mergeCell ref="H173:L173"/>
    <mergeCell ref="H174:L174"/>
    <mergeCell ref="H163:L163"/>
    <mergeCell ref="H164:L164"/>
    <mergeCell ref="H165:L165"/>
    <mergeCell ref="H166:L166"/>
    <mergeCell ref="H167:L167"/>
    <mergeCell ref="H168:L168"/>
    <mergeCell ref="H155:L155"/>
    <mergeCell ref="H156:L156"/>
    <mergeCell ref="H157:L157"/>
    <mergeCell ref="H158:L158"/>
    <mergeCell ref="A160:L161"/>
    <mergeCell ref="A162:L162"/>
    <mergeCell ref="H149:L149"/>
    <mergeCell ref="H150:L150"/>
    <mergeCell ref="A151:L151"/>
    <mergeCell ref="H152:L152"/>
    <mergeCell ref="H153:L153"/>
    <mergeCell ref="H154:L154"/>
    <mergeCell ref="H143:L143"/>
    <mergeCell ref="H144:L144"/>
    <mergeCell ref="H145:L145"/>
    <mergeCell ref="H146:L146"/>
    <mergeCell ref="H147:L147"/>
    <mergeCell ref="H148:L148"/>
    <mergeCell ref="H137:L137"/>
    <mergeCell ref="H138:L138"/>
    <mergeCell ref="A139:L139"/>
    <mergeCell ref="H140:L140"/>
    <mergeCell ref="H141:L141"/>
    <mergeCell ref="H142:L142"/>
    <mergeCell ref="H131:L131"/>
    <mergeCell ref="H132:L132"/>
    <mergeCell ref="H133:L133"/>
    <mergeCell ref="H134:L134"/>
    <mergeCell ref="H135:L135"/>
    <mergeCell ref="H136:L136"/>
    <mergeCell ref="H125:L125"/>
    <mergeCell ref="H126:L126"/>
    <mergeCell ref="A127:L127"/>
    <mergeCell ref="H128:L128"/>
    <mergeCell ref="H129:L129"/>
    <mergeCell ref="H130:L130"/>
    <mergeCell ref="H119:L119"/>
    <mergeCell ref="H120:L120"/>
    <mergeCell ref="H121:L121"/>
    <mergeCell ref="H122:L122"/>
    <mergeCell ref="H123:L123"/>
    <mergeCell ref="H124:L124"/>
    <mergeCell ref="H113:L113"/>
    <mergeCell ref="H114:L114"/>
    <mergeCell ref="A115:L115"/>
    <mergeCell ref="H116:L116"/>
    <mergeCell ref="H117:L117"/>
    <mergeCell ref="H118:L118"/>
    <mergeCell ref="A106:L107"/>
    <mergeCell ref="A108:L108"/>
    <mergeCell ref="H109:L109"/>
    <mergeCell ref="H110:L110"/>
    <mergeCell ref="H111:L111"/>
    <mergeCell ref="H112:L112"/>
    <mergeCell ref="H104:L104"/>
    <mergeCell ref="H98:L98"/>
    <mergeCell ref="H99:L99"/>
    <mergeCell ref="H100:L100"/>
    <mergeCell ref="H101:L101"/>
    <mergeCell ref="H102:L102"/>
    <mergeCell ref="H103:L103"/>
    <mergeCell ref="H92:L92"/>
    <mergeCell ref="H93:L93"/>
    <mergeCell ref="H94:L94"/>
    <mergeCell ref="H95:L95"/>
    <mergeCell ref="H96:L96"/>
    <mergeCell ref="A97:L97"/>
    <mergeCell ref="H86:L86"/>
    <mergeCell ref="H87:L87"/>
    <mergeCell ref="H88:L88"/>
    <mergeCell ref="H89:L89"/>
    <mergeCell ref="H90:L90"/>
    <mergeCell ref="H91:L91"/>
    <mergeCell ref="H80:L80"/>
    <mergeCell ref="H81:L81"/>
    <mergeCell ref="H82:L82"/>
    <mergeCell ref="H83:L83"/>
    <mergeCell ref="H84:L84"/>
    <mergeCell ref="A85:L85"/>
    <mergeCell ref="H74:L74"/>
    <mergeCell ref="H75:L75"/>
    <mergeCell ref="H76:L76"/>
    <mergeCell ref="H77:L77"/>
    <mergeCell ref="H78:L78"/>
    <mergeCell ref="H79:L79"/>
    <mergeCell ref="H68:L68"/>
    <mergeCell ref="H69:L69"/>
    <mergeCell ref="H70:L70"/>
    <mergeCell ref="H71:L71"/>
    <mergeCell ref="H72:L72"/>
    <mergeCell ref="A73:L73"/>
    <mergeCell ref="H62:L62"/>
    <mergeCell ref="H63:L63"/>
    <mergeCell ref="H64:L64"/>
    <mergeCell ref="H65:L65"/>
    <mergeCell ref="H66:L66"/>
    <mergeCell ref="H67:L67"/>
    <mergeCell ref="H56:L56"/>
    <mergeCell ref="H57:L57"/>
    <mergeCell ref="H58:L58"/>
    <mergeCell ref="H59:L59"/>
    <mergeCell ref="H60:L60"/>
    <mergeCell ref="A61:L61"/>
    <mergeCell ref="H49:L49"/>
    <mergeCell ref="H50:L50"/>
    <mergeCell ref="H51:L51"/>
    <mergeCell ref="A54:L54"/>
    <mergeCell ref="H55:L55"/>
    <mergeCell ref="A52:L53"/>
    <mergeCell ref="H43:L43"/>
    <mergeCell ref="A44:L44"/>
    <mergeCell ref="H45:L45"/>
    <mergeCell ref="H46:L46"/>
    <mergeCell ref="H47:L47"/>
    <mergeCell ref="H48:L48"/>
    <mergeCell ref="H37:L37"/>
    <mergeCell ref="H38:L38"/>
    <mergeCell ref="H39:L39"/>
    <mergeCell ref="H40:L40"/>
    <mergeCell ref="H41:L41"/>
    <mergeCell ref="H42:L42"/>
    <mergeCell ref="H31:L31"/>
    <mergeCell ref="A32:L32"/>
    <mergeCell ref="H33:L33"/>
    <mergeCell ref="H34:L34"/>
    <mergeCell ref="H35:L35"/>
    <mergeCell ref="H36:L36"/>
    <mergeCell ref="H25:L25"/>
    <mergeCell ref="H26:L26"/>
    <mergeCell ref="H27:L27"/>
    <mergeCell ref="H28:L28"/>
    <mergeCell ref="H29:L29"/>
    <mergeCell ref="H30:L30"/>
    <mergeCell ref="H19:L19"/>
    <mergeCell ref="A20:L20"/>
    <mergeCell ref="H21:L21"/>
    <mergeCell ref="H22:L22"/>
    <mergeCell ref="H23:L23"/>
    <mergeCell ref="H24:L24"/>
    <mergeCell ref="H13:L13"/>
    <mergeCell ref="H14:L14"/>
    <mergeCell ref="H15:L15"/>
    <mergeCell ref="H16:L16"/>
    <mergeCell ref="H17:L17"/>
    <mergeCell ref="H18:L18"/>
    <mergeCell ref="H7:L7"/>
    <mergeCell ref="A8:L8"/>
    <mergeCell ref="H9:L9"/>
    <mergeCell ref="H10:L10"/>
    <mergeCell ref="H11:L11"/>
    <mergeCell ref="H12:L12"/>
    <mergeCell ref="A1:L1"/>
    <mergeCell ref="H2:L2"/>
    <mergeCell ref="H3:L3"/>
    <mergeCell ref="H4:L4"/>
    <mergeCell ref="H5:L5"/>
    <mergeCell ref="H6:L6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V41"/>
  <sheetViews>
    <sheetView zoomScale="70" zoomScaleNormal="70" zoomScalePageLayoutView="70" workbookViewId="0">
      <selection activeCell="O23" sqref="O23"/>
    </sheetView>
  </sheetViews>
  <sheetFormatPr baseColWidth="10" defaultColWidth="15.1640625" defaultRowHeight="15" customHeight="1" x14ac:dyDescent="0.2"/>
  <cols>
    <col min="6" max="6" width="38" customWidth="1"/>
  </cols>
  <sheetData>
    <row r="1" spans="1:18" ht="16" x14ac:dyDescent="0.2">
      <c r="A1" s="1" t="s">
        <v>5</v>
      </c>
      <c r="B1" s="1" t="s">
        <v>6</v>
      </c>
      <c r="C1" s="1" t="s">
        <v>8</v>
      </c>
      <c r="D1" s="1" t="s">
        <v>9</v>
      </c>
      <c r="F1" s="6" t="s">
        <v>10</v>
      </c>
      <c r="G1" s="7"/>
      <c r="H1" s="7"/>
      <c r="I1" s="7"/>
      <c r="Q1" s="1"/>
      <c r="R1" s="1"/>
    </row>
    <row r="2" spans="1:18" ht="16" x14ac:dyDescent="0.2">
      <c r="A2" s="1" t="s">
        <v>30</v>
      </c>
      <c r="B2">
        <f t="shared" ref="B2:B10" si="0">VALUE(G23)</f>
        <v>1228.3170542032508</v>
      </c>
      <c r="F2" s="5" t="s">
        <v>7</v>
      </c>
      <c r="G2" s="5" t="s">
        <v>11</v>
      </c>
      <c r="H2" s="5" t="s">
        <v>12</v>
      </c>
      <c r="I2" s="5" t="s">
        <v>15</v>
      </c>
      <c r="Q2" s="1"/>
      <c r="R2" s="1"/>
    </row>
    <row r="3" spans="1:18" ht="16" x14ac:dyDescent="0.2">
      <c r="A3" s="1" t="s">
        <v>31</v>
      </c>
      <c r="B3">
        <f t="shared" si="0"/>
        <v>1236.1872793101027</v>
      </c>
      <c r="F3" s="3" t="s">
        <v>32</v>
      </c>
      <c r="G3" s="3">
        <v>90</v>
      </c>
      <c r="H3" s="3" t="s">
        <v>33</v>
      </c>
      <c r="I3" s="98" t="s">
        <v>34</v>
      </c>
      <c r="Q3" s="1"/>
      <c r="R3" s="1"/>
    </row>
    <row r="4" spans="1:18" ht="16" x14ac:dyDescent="0.2">
      <c r="A4" s="1" t="s">
        <v>37</v>
      </c>
      <c r="B4">
        <f t="shared" si="0"/>
        <v>1244.1035178142038</v>
      </c>
      <c r="F4" s="3" t="s">
        <v>38</v>
      </c>
      <c r="G4" s="3">
        <v>42.17</v>
      </c>
      <c r="H4" s="3" t="s">
        <v>33</v>
      </c>
      <c r="I4" s="71"/>
      <c r="Q4" s="1"/>
      <c r="R4" s="1"/>
    </row>
    <row r="5" spans="1:18" ht="16" x14ac:dyDescent="0.2">
      <c r="A5" s="1" t="s">
        <v>39</v>
      </c>
      <c r="B5">
        <f t="shared" si="0"/>
        <v>1252.111715344339</v>
      </c>
      <c r="F5" s="3" t="s">
        <v>41</v>
      </c>
      <c r="G5" s="3">
        <v>29.9</v>
      </c>
      <c r="H5" s="3" t="s">
        <v>33</v>
      </c>
      <c r="I5" s="71"/>
      <c r="Q5" s="1"/>
      <c r="R5" s="1"/>
    </row>
    <row r="6" spans="1:18" ht="16" x14ac:dyDescent="0.2">
      <c r="A6" s="1" t="s">
        <v>42</v>
      </c>
      <c r="B6">
        <f t="shared" si="0"/>
        <v>1260.1599266174355</v>
      </c>
      <c r="F6" s="3" t="s">
        <v>43</v>
      </c>
      <c r="G6" s="3">
        <v>17.93</v>
      </c>
      <c r="H6" s="3" t="s">
        <v>33</v>
      </c>
      <c r="I6" s="71"/>
      <c r="Q6" s="1"/>
      <c r="R6" s="1"/>
    </row>
    <row r="7" spans="1:18" ht="16" x14ac:dyDescent="0.2">
      <c r="A7" s="1" t="s">
        <v>44</v>
      </c>
      <c r="B7">
        <f t="shared" si="0"/>
        <v>1268.3007788336677</v>
      </c>
      <c r="F7" s="3" t="s">
        <v>45</v>
      </c>
      <c r="G7" s="3">
        <v>8.5</v>
      </c>
      <c r="H7" s="3" t="s">
        <v>33</v>
      </c>
      <c r="I7" s="71"/>
      <c r="R7" s="1"/>
    </row>
    <row r="8" spans="1:18" ht="19.5" customHeight="1" x14ac:dyDescent="0.2">
      <c r="A8" s="1" t="s">
        <v>46</v>
      </c>
      <c r="B8">
        <f t="shared" si="0"/>
        <v>1276.5185719766052</v>
      </c>
      <c r="F8" s="8" t="s">
        <v>47</v>
      </c>
      <c r="G8" s="8">
        <v>1548.3297906099999</v>
      </c>
      <c r="H8" s="3"/>
      <c r="I8" s="71"/>
      <c r="K8" s="1" t="s">
        <v>49</v>
      </c>
      <c r="L8" s="1" t="s">
        <v>50</v>
      </c>
    </row>
    <row r="9" spans="1:18" ht="16" x14ac:dyDescent="0.2">
      <c r="A9" s="1" t="s">
        <v>51</v>
      </c>
      <c r="B9">
        <f t="shared" si="0"/>
        <v>1284.7943270477172</v>
      </c>
      <c r="F9" s="3"/>
      <c r="G9" s="9"/>
      <c r="H9" s="3"/>
      <c r="I9" s="3"/>
      <c r="K9" s="1">
        <v>1.6</v>
      </c>
      <c r="L9" s="1">
        <v>2.57</v>
      </c>
    </row>
    <row r="10" spans="1:18" x14ac:dyDescent="0.2">
      <c r="A10" s="1" t="s">
        <v>52</v>
      </c>
      <c r="B10">
        <f t="shared" si="0"/>
        <v>1293.1973502839162</v>
      </c>
      <c r="F10" s="1" t="s">
        <v>53</v>
      </c>
      <c r="G10" s="1">
        <f>2.969*10^-7</f>
        <v>2.9689999999999997E-7</v>
      </c>
      <c r="H10" s="10" t="s">
        <v>55</v>
      </c>
      <c r="K10" s="1">
        <v>1.7</v>
      </c>
      <c r="L10" s="1">
        <v>2.78</v>
      </c>
    </row>
    <row r="11" spans="1:18" x14ac:dyDescent="0.2">
      <c r="A11" s="1"/>
      <c r="F11" s="1"/>
      <c r="G11" s="1"/>
      <c r="H11" s="1"/>
      <c r="J11" s="1"/>
      <c r="K11" s="1">
        <v>1.8</v>
      </c>
      <c r="L11" s="1">
        <v>2.99</v>
      </c>
      <c r="M11" s="1"/>
    </row>
    <row r="12" spans="1:18" x14ac:dyDescent="0.2">
      <c r="A12" s="11"/>
      <c r="C12" s="1" t="s">
        <v>59</v>
      </c>
      <c r="F12" s="1"/>
      <c r="G12" s="1"/>
      <c r="J12" s="1"/>
      <c r="K12" s="1"/>
      <c r="L12" s="1"/>
    </row>
    <row r="13" spans="1:18" x14ac:dyDescent="0.2">
      <c r="A13" s="1" t="s">
        <v>60</v>
      </c>
      <c r="B13" s="1"/>
      <c r="F13" s="1"/>
      <c r="G13" s="1"/>
      <c r="J13" s="1"/>
      <c r="L13" s="1" t="s">
        <v>61</v>
      </c>
    </row>
    <row r="14" spans="1:18" x14ac:dyDescent="0.2">
      <c r="B14" s="1"/>
      <c r="C14" s="1"/>
      <c r="D14" s="1"/>
      <c r="F14" s="1"/>
      <c r="G14" s="1"/>
      <c r="J14" s="1"/>
      <c r="L14" s="1"/>
      <c r="N14" s="12"/>
    </row>
    <row r="15" spans="1:18" x14ac:dyDescent="0.2">
      <c r="B15" s="1" t="s">
        <v>7</v>
      </c>
      <c r="C15" s="1" t="s">
        <v>11</v>
      </c>
      <c r="D15" s="1" t="s">
        <v>12</v>
      </c>
      <c r="F15" s="1"/>
      <c r="G15" s="1"/>
      <c r="J15" s="1"/>
    </row>
    <row r="16" spans="1:18" x14ac:dyDescent="0.2">
      <c r="B16" s="1" t="s">
        <v>62</v>
      </c>
      <c r="C16">
        <f>1+60/(G3/G8)^3+0.0025*(G3/G8)</f>
        <v>305503.05222758942</v>
      </c>
      <c r="D16" s="1" t="s">
        <v>66</v>
      </c>
      <c r="F16" s="1"/>
      <c r="G16" s="1"/>
      <c r="J16" s="1"/>
    </row>
    <row r="17" spans="1:22" x14ac:dyDescent="0.2">
      <c r="A17" s="1" t="s">
        <v>67</v>
      </c>
      <c r="B17" s="1" t="s">
        <v>68</v>
      </c>
      <c r="C17">
        <f>1-0.08*(1.6)^1.45</f>
        <v>0.84185190611850436</v>
      </c>
      <c r="D17" s="1" t="s">
        <v>69</v>
      </c>
      <c r="F17" s="1"/>
      <c r="G17" s="1"/>
      <c r="I17" s="13">
        <v>1</v>
      </c>
      <c r="J17" s="1"/>
    </row>
    <row r="18" spans="1:22" x14ac:dyDescent="0.2">
      <c r="B18" s="1" t="s">
        <v>70</v>
      </c>
      <c r="C18">
        <f>0.75*PI()*(G7*G6)+0.72*PI()*(G7*G5)+2*PI()*(G7)*G4</f>
        <v>3186.1459352048405</v>
      </c>
      <c r="D18" s="1" t="s">
        <v>73</v>
      </c>
      <c r="F18" s="1"/>
      <c r="G18" s="1"/>
      <c r="J18" s="1"/>
      <c r="O18" s="1"/>
    </row>
    <row r="19" spans="1:22" x14ac:dyDescent="0.2">
      <c r="B19" s="1" t="s">
        <v>75</v>
      </c>
      <c r="C19" s="1">
        <v>1244.444</v>
      </c>
      <c r="D19" s="1" t="s">
        <v>73</v>
      </c>
      <c r="F19" s="1"/>
      <c r="G19" s="1"/>
      <c r="J19" s="1"/>
    </row>
    <row r="20" spans="1:22" x14ac:dyDescent="0.2">
      <c r="B20" s="1" t="s">
        <v>76</v>
      </c>
      <c r="C20" s="14">
        <f>1+60/(2)^3+0.0025*(2)</f>
        <v>8.5050000000000008</v>
      </c>
      <c r="D20" s="1" t="s">
        <v>66</v>
      </c>
      <c r="F20" s="1"/>
      <c r="G20" s="1"/>
      <c r="J20" s="1"/>
    </row>
    <row r="21" spans="1:22" x14ac:dyDescent="0.2">
      <c r="A21" s="1" t="s">
        <v>78</v>
      </c>
      <c r="K21" s="1" t="s">
        <v>79</v>
      </c>
      <c r="L21" s="1" t="s">
        <v>80</v>
      </c>
    </row>
    <row r="22" spans="1:22" x14ac:dyDescent="0.2">
      <c r="C22" s="1" t="s">
        <v>5</v>
      </c>
      <c r="D22" s="1" t="s">
        <v>81</v>
      </c>
      <c r="E22" s="1" t="s">
        <v>83</v>
      </c>
      <c r="F22" s="1" t="s">
        <v>84</v>
      </c>
      <c r="G22" s="1" t="s">
        <v>85</v>
      </c>
      <c r="H22" s="1" t="s">
        <v>86</v>
      </c>
      <c r="I22" s="1"/>
      <c r="J22" s="1"/>
      <c r="K22" s="1" t="s">
        <v>88</v>
      </c>
      <c r="L22" s="1" t="s">
        <v>89</v>
      </c>
      <c r="M22" s="1"/>
      <c r="N22" s="1" t="s">
        <v>90</v>
      </c>
      <c r="O22" s="1" t="s">
        <v>91</v>
      </c>
      <c r="P22" s="1" t="s">
        <v>92</v>
      </c>
      <c r="Q22" s="1" t="s">
        <v>93</v>
      </c>
      <c r="R22" s="1" t="s">
        <v>94</v>
      </c>
      <c r="S22" s="1" t="s">
        <v>96</v>
      </c>
      <c r="T22" s="1" t="s">
        <v>97</v>
      </c>
      <c r="U22" s="1" t="s">
        <v>98</v>
      </c>
      <c r="V22" s="1"/>
    </row>
    <row r="23" spans="1:22" x14ac:dyDescent="0.2">
      <c r="C23" s="1" t="s">
        <v>30</v>
      </c>
      <c r="D23" s="1">
        <v>5.5979999999999995E-4</v>
      </c>
      <c r="E23">
        <f t="shared" ref="E23:E31" si="1">(D23*1548.3298*90)/(2.969*10^-7)</f>
        <v>262741502.13405189</v>
      </c>
      <c r="F23">
        <f t="shared" ref="F23:F31" si="2">0.455/(LOG(E23))^2.58</f>
        <v>1.8653869011323234E-3</v>
      </c>
      <c r="G23" s="13">
        <f>F23*C16*C17*(C18/C19)</f>
        <v>1228.3170542032508</v>
      </c>
      <c r="K23" s="1">
        <v>2</v>
      </c>
      <c r="L23" s="1">
        <v>0.1011</v>
      </c>
      <c r="N23" s="1">
        <v>41000</v>
      </c>
      <c r="O23">
        <f t="shared" ref="O23:O31" si="3">0.5*D23*1548.329791^2</f>
        <v>671.0113071612991</v>
      </c>
      <c r="P23">
        <f t="shared" ref="P23:P31" si="4">$L$23*O23*$C$19</f>
        <v>84422.139107545503</v>
      </c>
      <c r="Q23">
        <f t="shared" ref="Q23:Q31" si="5">$L$24*O23*$C$19</f>
        <v>137363.42119872637</v>
      </c>
      <c r="R23">
        <f t="shared" ref="R23:R31" si="6">$L$25*O23*$C$19</f>
        <v>182288.35773666849</v>
      </c>
      <c r="S23">
        <f t="shared" ref="S23:S31" si="7">$L$26*O23*$C$19</f>
        <v>226712.27267753318</v>
      </c>
      <c r="T23" s="14">
        <f t="shared" ref="T23:T31" si="8">$L$27*O23*$C$19</f>
        <v>269950.43650531466</v>
      </c>
      <c r="U23" s="14">
        <f t="shared" ref="U23:U31" si="9">$L$28*O23*$C$19</f>
        <v>313389.00897192711</v>
      </c>
    </row>
    <row r="24" spans="1:22" x14ac:dyDescent="0.2">
      <c r="C24" s="1" t="s">
        <v>31</v>
      </c>
      <c r="D24" s="1">
        <v>5.3359999999999996E-4</v>
      </c>
      <c r="E24">
        <f t="shared" si="1"/>
        <v>250444561.51970363</v>
      </c>
      <c r="F24">
        <f t="shared" si="2"/>
        <v>1.8773390390376355E-3</v>
      </c>
      <c r="G24" s="13">
        <f>F24*C16*C17*(C18/C19)</f>
        <v>1236.1872793101027</v>
      </c>
      <c r="K24" s="1">
        <v>3</v>
      </c>
      <c r="L24" s="1">
        <v>0.16450000000000001</v>
      </c>
      <c r="N24" s="1">
        <v>42000</v>
      </c>
      <c r="O24">
        <f t="shared" si="3"/>
        <v>639.60634780505393</v>
      </c>
      <c r="P24">
        <f t="shared" si="4"/>
        <v>80470.977898867946</v>
      </c>
      <c r="Q24">
        <f t="shared" si="5"/>
        <v>130934.4793705616</v>
      </c>
      <c r="R24">
        <f t="shared" si="6"/>
        <v>173756.81973613129</v>
      </c>
      <c r="S24">
        <f t="shared" si="7"/>
        <v>216101.58753256829</v>
      </c>
      <c r="T24" s="14">
        <f t="shared" si="8"/>
        <v>257316.10024872434</v>
      </c>
      <c r="U24" s="14">
        <f t="shared" si="9"/>
        <v>298721.64199253358</v>
      </c>
    </row>
    <row r="25" spans="1:22" x14ac:dyDescent="0.2">
      <c r="C25" s="1" t="s">
        <v>37</v>
      </c>
      <c r="D25" s="1">
        <v>5.0869999999999995E-4</v>
      </c>
      <c r="E25">
        <f t="shared" si="1"/>
        <v>238757774.44728866</v>
      </c>
      <c r="F25">
        <f t="shared" si="2"/>
        <v>1.8893610553088077E-3</v>
      </c>
      <c r="G25" s="13">
        <f>F25*C16*C17*(C18/C19)</f>
        <v>1244.1035178142038</v>
      </c>
      <c r="K25" s="1">
        <v>4</v>
      </c>
      <c r="L25" s="1">
        <v>0.21829999999999999</v>
      </c>
      <c r="N25" s="1">
        <v>43000</v>
      </c>
      <c r="O25">
        <f t="shared" si="3"/>
        <v>609.75964979091259</v>
      </c>
      <c r="P25">
        <f t="shared" si="4"/>
        <v>76715.866673827084</v>
      </c>
      <c r="Q25">
        <f t="shared" si="5"/>
        <v>124824.5308392142</v>
      </c>
      <c r="R25">
        <f t="shared" si="6"/>
        <v>165648.60232340705</v>
      </c>
      <c r="S25">
        <f t="shared" si="7"/>
        <v>206017.38676502527</v>
      </c>
      <c r="T25" s="14">
        <f t="shared" si="8"/>
        <v>245308.65853921679</v>
      </c>
      <c r="U25" s="14">
        <f t="shared" si="9"/>
        <v>284782.04513043823</v>
      </c>
    </row>
    <row r="26" spans="1:22" x14ac:dyDescent="0.2">
      <c r="C26" s="1" t="s">
        <v>39</v>
      </c>
      <c r="D26" s="1">
        <v>4.8490000000000002E-4</v>
      </c>
      <c r="E26">
        <f t="shared" si="1"/>
        <v>227587271.14112499</v>
      </c>
      <c r="F26">
        <f t="shared" si="2"/>
        <v>1.9015227253949439E-3</v>
      </c>
      <c r="G26" s="13">
        <f>F26*C16*C17*(C18/C19)</f>
        <v>1252.111715344339</v>
      </c>
      <c r="K26" s="1">
        <v>5</v>
      </c>
      <c r="L26" s="1">
        <v>0.27150000000000002</v>
      </c>
      <c r="N26" s="1">
        <v>44000</v>
      </c>
      <c r="O26">
        <f t="shared" si="3"/>
        <v>581.23148060470521</v>
      </c>
      <c r="P26">
        <f t="shared" si="4"/>
        <v>73126.643896478781</v>
      </c>
      <c r="Q26">
        <f t="shared" si="5"/>
        <v>118984.49971286608</v>
      </c>
      <c r="R26">
        <f t="shared" si="6"/>
        <v>157898.57925421678</v>
      </c>
      <c r="S26">
        <f t="shared" si="7"/>
        <v>196378.67277837775</v>
      </c>
      <c r="T26" s="14">
        <f t="shared" si="8"/>
        <v>233831.66606185617</v>
      </c>
      <c r="U26" s="14">
        <f t="shared" si="9"/>
        <v>271458.25375221058</v>
      </c>
    </row>
    <row r="27" spans="1:22" x14ac:dyDescent="0.2">
      <c r="A27" s="1"/>
      <c r="C27" s="1" t="s">
        <v>42</v>
      </c>
      <c r="D27" s="1">
        <v>4.6230000000000002E-4</v>
      </c>
      <c r="E27">
        <f t="shared" si="1"/>
        <v>216979986.48905355</v>
      </c>
      <c r="F27">
        <f t="shared" si="2"/>
        <v>1.9137451624562918E-3</v>
      </c>
      <c r="G27" s="13">
        <f>F27*C16*C17*(C18/C19)</f>
        <v>1260.1599266174355</v>
      </c>
      <c r="K27" s="1">
        <v>6</v>
      </c>
      <c r="L27" s="1">
        <v>0.32328000000000001</v>
      </c>
      <c r="N27" s="1">
        <v>45000</v>
      </c>
      <c r="O27">
        <f t="shared" si="3"/>
        <v>554.14170650351662</v>
      </c>
      <c r="P27">
        <f t="shared" si="4"/>
        <v>69718.390334795084</v>
      </c>
      <c r="Q27">
        <f t="shared" si="5"/>
        <v>113438.92393742624</v>
      </c>
      <c r="R27">
        <f t="shared" si="6"/>
        <v>150539.31365069997</v>
      </c>
      <c r="S27">
        <f t="shared" si="7"/>
        <v>187225.9443708889</v>
      </c>
      <c r="T27" s="14">
        <f t="shared" si="8"/>
        <v>222933.34547411036</v>
      </c>
      <c r="U27" s="14">
        <f t="shared" si="9"/>
        <v>258806.25017456574</v>
      </c>
    </row>
    <row r="28" spans="1:22" x14ac:dyDescent="0.2">
      <c r="C28" s="1" t="s">
        <v>44</v>
      </c>
      <c r="D28" s="1">
        <v>4.4069999999999998E-4</v>
      </c>
      <c r="E28">
        <f t="shared" si="1"/>
        <v>206842050.71539238</v>
      </c>
      <c r="F28">
        <f t="shared" si="2"/>
        <v>1.9261082889277903E-3</v>
      </c>
      <c r="G28" s="13">
        <f>F28*C16*C17*(C18/C19)</f>
        <v>1268.3007788336677</v>
      </c>
      <c r="K28" s="1">
        <v>7</v>
      </c>
      <c r="L28" s="1">
        <v>0.37530000000000002</v>
      </c>
      <c r="N28" s="1">
        <v>46000</v>
      </c>
      <c r="O28">
        <f t="shared" si="3"/>
        <v>528.25059497317704</v>
      </c>
      <c r="P28">
        <f t="shared" si="4"/>
        <v>66460.944452831915</v>
      </c>
      <c r="Q28">
        <f t="shared" si="5"/>
        <v>108138.72762107666</v>
      </c>
      <c r="R28">
        <f t="shared" si="6"/>
        <v>143505.67926857769</v>
      </c>
      <c r="S28">
        <f t="shared" si="7"/>
        <v>178478.2039460323</v>
      </c>
      <c r="T28" s="14">
        <f t="shared" si="8"/>
        <v>212517.25146104352</v>
      </c>
      <c r="U28" s="14">
        <f t="shared" si="9"/>
        <v>246714.06976407339</v>
      </c>
    </row>
    <row r="29" spans="1:22" x14ac:dyDescent="0.2">
      <c r="C29" s="1" t="s">
        <v>46</v>
      </c>
      <c r="D29" s="1">
        <v>4.2010000000000002E-4</v>
      </c>
      <c r="E29">
        <f t="shared" si="1"/>
        <v>197173463.82014149</v>
      </c>
      <c r="F29">
        <f t="shared" si="2"/>
        <v>1.9385882619385E-3</v>
      </c>
      <c r="G29" s="13">
        <f>F29*C16*C17*(C18/C19)</f>
        <v>1276.5185719766052</v>
      </c>
      <c r="N29" s="1">
        <v>47000</v>
      </c>
      <c r="O29">
        <f t="shared" si="3"/>
        <v>503.55814601368667</v>
      </c>
      <c r="P29">
        <f t="shared" si="4"/>
        <v>63354.306250589267</v>
      </c>
      <c r="Q29">
        <f t="shared" si="5"/>
        <v>103083.91076381736</v>
      </c>
      <c r="R29">
        <f t="shared" si="6"/>
        <v>136797.67610785001</v>
      </c>
      <c r="S29">
        <f t="shared" si="7"/>
        <v>170135.451503808</v>
      </c>
      <c r="T29" s="14">
        <f t="shared" si="8"/>
        <v>202583.38402265578</v>
      </c>
      <c r="U29" s="14">
        <f t="shared" si="9"/>
        <v>235181.71252073348</v>
      </c>
    </row>
    <row r="30" spans="1:22" x14ac:dyDescent="0.2">
      <c r="C30" s="1" t="s">
        <v>51</v>
      </c>
      <c r="D30" s="1">
        <v>4.0049999999999998E-4</v>
      </c>
      <c r="E30">
        <f t="shared" si="1"/>
        <v>187974225.80330077</v>
      </c>
      <c r="F30">
        <f t="shared" si="2"/>
        <v>1.9511562589827527E-3</v>
      </c>
      <c r="G30" s="13">
        <f>F30*C16*C17*(C18/C19)</f>
        <v>1284.7943270477172</v>
      </c>
      <c r="N30" s="1">
        <v>48000</v>
      </c>
      <c r="O30">
        <f t="shared" si="3"/>
        <v>480.0643596250452</v>
      </c>
      <c r="P30">
        <f t="shared" si="4"/>
        <v>60398.475728067118</v>
      </c>
      <c r="Q30">
        <f t="shared" si="5"/>
        <v>98274.4733656483</v>
      </c>
      <c r="R30">
        <f t="shared" si="6"/>
        <v>130415.30416851684</v>
      </c>
      <c r="S30">
        <f t="shared" si="7"/>
        <v>162197.68704421588</v>
      </c>
      <c r="T30" s="14">
        <f t="shared" si="8"/>
        <v>193131.74315894701</v>
      </c>
      <c r="U30" s="14">
        <f t="shared" si="9"/>
        <v>224209.17844454595</v>
      </c>
    </row>
    <row r="31" spans="1:22" x14ac:dyDescent="0.2">
      <c r="C31" s="1" t="s">
        <v>52</v>
      </c>
      <c r="D31" s="1">
        <v>3.8170000000000001E-4</v>
      </c>
      <c r="E31">
        <f t="shared" si="1"/>
        <v>179150466.88918829</v>
      </c>
      <c r="F31">
        <f t="shared" si="2"/>
        <v>1.9639175321581738E-3</v>
      </c>
      <c r="G31" s="13">
        <f>F31*C16*C17*(C18/C19)</f>
        <v>1293.1973502839162</v>
      </c>
      <c r="N31" s="1">
        <v>49000</v>
      </c>
      <c r="O31">
        <f t="shared" si="3"/>
        <v>457.52950329308305</v>
      </c>
      <c r="P31">
        <f t="shared" si="4"/>
        <v>57563.291349321407</v>
      </c>
      <c r="Q31">
        <f t="shared" si="5"/>
        <v>93661.33953475146</v>
      </c>
      <c r="R31">
        <f t="shared" si="6"/>
        <v>124293.43720629934</v>
      </c>
      <c r="S31">
        <f t="shared" si="7"/>
        <v>154583.91297072961</v>
      </c>
      <c r="T31" s="14">
        <f t="shared" si="8"/>
        <v>184065.88355498147</v>
      </c>
      <c r="U31" s="14">
        <f t="shared" si="9"/>
        <v>213684.50290208036</v>
      </c>
    </row>
    <row r="32" spans="1:22" x14ac:dyDescent="0.2">
      <c r="N32" s="1"/>
    </row>
    <row r="33" spans="1:16" x14ac:dyDescent="0.2">
      <c r="N33" s="1"/>
    </row>
    <row r="34" spans="1:16" x14ac:dyDescent="0.2">
      <c r="L34" s="14"/>
      <c r="N34" s="1"/>
    </row>
    <row r="35" spans="1:16" x14ac:dyDescent="0.2">
      <c r="A35" s="17" t="s">
        <v>133</v>
      </c>
      <c r="N35" s="1"/>
      <c r="P35" s="13"/>
    </row>
    <row r="36" spans="1:16" x14ac:dyDescent="0.2">
      <c r="N36" s="1"/>
    </row>
    <row r="37" spans="1:16" x14ac:dyDescent="0.2">
      <c r="A37" s="17" t="s">
        <v>134</v>
      </c>
      <c r="N37" s="1"/>
    </row>
    <row r="38" spans="1:16" x14ac:dyDescent="0.2">
      <c r="N38" s="1"/>
    </row>
    <row r="39" spans="1:16" x14ac:dyDescent="0.2">
      <c r="A39" s="17" t="s">
        <v>135</v>
      </c>
      <c r="N39" s="1"/>
    </row>
    <row r="41" spans="1:16" x14ac:dyDescent="0.2">
      <c r="A41" s="1" t="s">
        <v>136</v>
      </c>
    </row>
  </sheetData>
  <mergeCells count="1">
    <mergeCell ref="I3:I8"/>
  </mergeCells>
  <conditionalFormatting sqref="B1:D10 A11:D12">
    <cfRule type="containsBlanks" dxfId="2" priority="1">
      <formula>LEN(TRIM(B1))=0</formula>
    </cfRule>
  </conditionalFormatting>
  <conditionalFormatting sqref="B1:D10 A11:D12">
    <cfRule type="notContainsBlanks" dxfId="1" priority="2">
      <formula>LEN(TRIM(B1))&gt;0</formula>
    </cfRule>
  </conditionalFormatting>
  <conditionalFormatting sqref="A1:A10">
    <cfRule type="notContainsBlanks" dxfId="0" priority="3">
      <formula>LEN(TRIM(A1))&gt;0</formula>
    </cfRule>
  </conditionalFormatting>
  <hyperlinks>
    <hyperlink ref="A35" r:id="rId1"/>
    <hyperlink ref="A37" r:id="rId2"/>
    <hyperlink ref="A3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Design Constraints</vt:lpstr>
      <vt:lpstr>Initial Estimates</vt:lpstr>
      <vt:lpstr>Cg Calcs</vt:lpstr>
      <vt:lpstr>Stability Constants</vt:lpstr>
      <vt:lpstr>Subsonic Stability</vt:lpstr>
      <vt:lpstr>Supersonic Stability</vt:lpstr>
      <vt:lpstr>AeroCalc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2017-02-12T20:58:49Z</dcterms:created>
  <dcterms:modified xsi:type="dcterms:W3CDTF">2017-03-12T19:41:14Z</dcterms:modified>
</cp:coreProperties>
</file>