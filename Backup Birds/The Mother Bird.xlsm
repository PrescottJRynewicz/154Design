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/>
  <workbookPr codeName="ThisWorkbook"/>
  <mc:AlternateContent xmlns:mc="http://schemas.openxmlformats.org/markup-compatibility/2006">
    <mc:Choice Requires="x15">
      <x15ac:absPath xmlns:x15ac="http://schemas.microsoft.com/office/spreadsheetml/2010/11/ac" url="/Users/prescottrynewicz/Desktop/154Design/"/>
    </mc:Choice>
  </mc:AlternateContent>
  <bookViews>
    <workbookView xWindow="0" yWindow="0" windowWidth="38400" windowHeight="21600" tabRatio="500" activeTab="5"/>
  </bookViews>
  <sheets>
    <sheet name="Design Constraints" sheetId="2" r:id="rId1"/>
    <sheet name="Initial Estimates" sheetId="6" r:id="rId2"/>
    <sheet name="Cg Calcs" sheetId="7" r:id="rId3"/>
    <sheet name="Stability Constants" sheetId="8" r:id="rId4"/>
    <sheet name="Subsonic Stability" sheetId="9" r:id="rId5"/>
    <sheet name="Supersonic Stability" sheetId="12" r:id="rId6"/>
    <sheet name="CFD" sheetId="19" r:id="rId7"/>
    <sheet name="Overall Drag Values" sheetId="18" r:id="rId8"/>
    <sheet name="Final Aircraft Checkouts" sheetId="13" r:id="rId9"/>
  </sheets>
  <definedNames>
    <definedName name="solver_adj" localSheetId="8" hidden="1">'Final Aircraft Checkouts'!$C$26</definedName>
    <definedName name="solver_cvg" localSheetId="8" hidden="1">0.0001</definedName>
    <definedName name="solver_drv" localSheetId="8" hidden="1">1</definedName>
    <definedName name="solver_eng" localSheetId="8" hidden="1">1</definedName>
    <definedName name="solver_eng" localSheetId="1" hidden="1">1</definedName>
    <definedName name="solver_itr" localSheetId="8" hidden="1">2147483647</definedName>
    <definedName name="solver_lin" localSheetId="8" hidden="1">2</definedName>
    <definedName name="solver_lin" localSheetId="1" hidden="1">2</definedName>
    <definedName name="solver_mip" localSheetId="8" hidden="1">2147483647</definedName>
    <definedName name="solver_mni" localSheetId="8" hidden="1">30</definedName>
    <definedName name="solver_mrt" localSheetId="8" hidden="1">0.075</definedName>
    <definedName name="solver_msl" localSheetId="8" hidden="1">2</definedName>
    <definedName name="solver_neg" localSheetId="8" hidden="1">1</definedName>
    <definedName name="solver_neg" localSheetId="1" hidden="1">1</definedName>
    <definedName name="solver_nod" localSheetId="8" hidden="1">2147483647</definedName>
    <definedName name="solver_num" localSheetId="8" hidden="1">0</definedName>
    <definedName name="solver_num" localSheetId="1" hidden="1">0</definedName>
    <definedName name="solver_opt" localSheetId="8" hidden="1">'Final Aircraft Checkouts'!$C$26</definedName>
    <definedName name="solver_opt" localSheetId="1" hidden="1">'Initial Estimates'!$C$14</definedName>
    <definedName name="solver_pre" localSheetId="8" hidden="1">0.000001</definedName>
    <definedName name="solver_rbv" localSheetId="8" hidden="1">1</definedName>
    <definedName name="solver_rlx" localSheetId="8" hidden="1">2</definedName>
    <definedName name="solver_rsd" localSheetId="8" hidden="1">0</definedName>
    <definedName name="solver_scl" localSheetId="8" hidden="1">1</definedName>
    <definedName name="solver_sho" localSheetId="8" hidden="1">2</definedName>
    <definedName name="solver_ssz" localSheetId="8" hidden="1">100</definedName>
    <definedName name="solver_tim" localSheetId="8" hidden="1">2147483647</definedName>
    <definedName name="solver_tol" localSheetId="8" hidden="1">0.01</definedName>
    <definedName name="solver_typ" localSheetId="8" hidden="1">3</definedName>
    <definedName name="solver_typ" localSheetId="1" hidden="1">1</definedName>
    <definedName name="solver_val" localSheetId="8" hidden="1">0</definedName>
    <definedName name="solver_val" localSheetId="1" hidden="1">0</definedName>
    <definedName name="solver_ver" localSheetId="8" hidden="1">2</definedName>
    <definedName name="solver_ver" localSheetId="1" hidden="1">2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4" i="6" l="1"/>
  <c r="C27" i="6"/>
  <c r="C28" i="7"/>
  <c r="C33" i="7"/>
  <c r="C88" i="7"/>
  <c r="C89" i="7"/>
  <c r="C90" i="7"/>
  <c r="C9" i="8"/>
  <c r="C8" i="8"/>
  <c r="C10" i="8"/>
  <c r="C52" i="13"/>
  <c r="C43" i="13"/>
  <c r="C22" i="13"/>
  <c r="C13" i="13"/>
  <c r="C4" i="13"/>
  <c r="C11" i="12"/>
  <c r="C7" i="12"/>
  <c r="C19" i="12"/>
  <c r="C37" i="12"/>
  <c r="C73" i="12"/>
  <c r="C18" i="12"/>
  <c r="C36" i="12"/>
  <c r="C72" i="12"/>
  <c r="C17" i="12"/>
  <c r="C35" i="12"/>
  <c r="C71" i="12"/>
  <c r="C16" i="12"/>
  <c r="C34" i="12"/>
  <c r="C70" i="12"/>
  <c r="C15" i="12"/>
  <c r="C33" i="12"/>
  <c r="C69" i="12"/>
  <c r="C14" i="12"/>
  <c r="C32" i="12"/>
  <c r="C68" i="12"/>
  <c r="C13" i="12"/>
  <c r="C31" i="12"/>
  <c r="C67" i="12"/>
  <c r="C12" i="12"/>
  <c r="C30" i="12"/>
  <c r="C66" i="12"/>
  <c r="C97" i="12"/>
  <c r="C115" i="12"/>
  <c r="C98" i="12"/>
  <c r="C116" i="12"/>
  <c r="C99" i="12"/>
  <c r="C117" i="12"/>
  <c r="C100" i="12"/>
  <c r="C118" i="12"/>
  <c r="C101" i="12"/>
  <c r="C119" i="12"/>
  <c r="C102" i="12"/>
  <c r="C120" i="12"/>
  <c r="C103" i="12"/>
  <c r="C121" i="12"/>
  <c r="C104" i="12"/>
  <c r="C122" i="12"/>
  <c r="C96" i="12"/>
  <c r="C114" i="12"/>
  <c r="C3" i="13"/>
  <c r="C33" i="13"/>
  <c r="C35" i="13"/>
  <c r="C44" i="13"/>
  <c r="C53" i="13"/>
  <c r="C36" i="13"/>
  <c r="C45" i="13"/>
  <c r="C54" i="13"/>
  <c r="C37" i="13"/>
  <c r="C46" i="13"/>
  <c r="C55" i="13"/>
  <c r="C38" i="13"/>
  <c r="C47" i="13"/>
  <c r="C56" i="13"/>
  <c r="C39" i="13"/>
  <c r="C48" i="13"/>
  <c r="C57" i="13"/>
  <c r="C40" i="13"/>
  <c r="C49" i="13"/>
  <c r="C58" i="13"/>
  <c r="C41" i="13"/>
  <c r="C50" i="13"/>
  <c r="C59" i="13"/>
  <c r="C42" i="13"/>
  <c r="C51" i="13"/>
  <c r="C60" i="13"/>
  <c r="C34" i="13"/>
  <c r="C168" i="12"/>
  <c r="C167" i="12"/>
  <c r="C166" i="12"/>
  <c r="C165" i="12"/>
  <c r="C164" i="12"/>
  <c r="C163" i="12"/>
  <c r="C162" i="12"/>
  <c r="C161" i="12"/>
  <c r="C160" i="12"/>
  <c r="C159" i="12"/>
  <c r="C158" i="12"/>
  <c r="C157" i="12"/>
  <c r="C156" i="12"/>
  <c r="C155" i="12"/>
  <c r="C154" i="12"/>
  <c r="C153" i="12"/>
  <c r="C152" i="12"/>
  <c r="C151" i="12"/>
  <c r="C150" i="12"/>
  <c r="C140" i="12"/>
  <c r="C149" i="12"/>
  <c r="C139" i="12"/>
  <c r="C148" i="12"/>
  <c r="C138" i="12"/>
  <c r="C147" i="12"/>
  <c r="C137" i="12"/>
  <c r="C146" i="12"/>
  <c r="C136" i="12"/>
  <c r="C145" i="12"/>
  <c r="C135" i="12"/>
  <c r="C144" i="12"/>
  <c r="C134" i="12"/>
  <c r="C143" i="12"/>
  <c r="C133" i="12"/>
  <c r="C142" i="12"/>
  <c r="C132" i="12"/>
  <c r="C141" i="12"/>
  <c r="C131" i="12"/>
  <c r="C130" i="12"/>
  <c r="C129" i="12"/>
  <c r="C128" i="12"/>
  <c r="C127" i="12"/>
  <c r="C126" i="12"/>
  <c r="C125" i="12"/>
  <c r="C124" i="12"/>
  <c r="C123" i="12"/>
  <c r="C12" i="13"/>
  <c r="C82" i="12"/>
  <c r="C5" i="13"/>
  <c r="C84" i="12"/>
  <c r="C6" i="13"/>
  <c r="C85" i="12"/>
  <c r="C7" i="13"/>
  <c r="C86" i="12"/>
  <c r="C8" i="13"/>
  <c r="C87" i="12"/>
  <c r="C9" i="13"/>
  <c r="C88" i="12"/>
  <c r="C10" i="13"/>
  <c r="C89" i="12"/>
  <c r="C11" i="13"/>
  <c r="C90" i="12"/>
  <c r="C91" i="12"/>
  <c r="C75" i="12"/>
  <c r="C76" i="12"/>
  <c r="C77" i="12"/>
  <c r="C78" i="12"/>
  <c r="C79" i="12"/>
  <c r="C80" i="12"/>
  <c r="C81" i="12"/>
  <c r="C48" i="12"/>
  <c r="C57" i="12"/>
  <c r="C29" i="12"/>
  <c r="C65" i="12"/>
  <c r="C4" i="12"/>
  <c r="C49" i="12"/>
  <c r="C58" i="12"/>
  <c r="C50" i="12"/>
  <c r="C59" i="12"/>
  <c r="C51" i="12"/>
  <c r="C60" i="12"/>
  <c r="C52" i="12"/>
  <c r="C61" i="12"/>
  <c r="C53" i="12"/>
  <c r="C62" i="12"/>
  <c r="C54" i="12"/>
  <c r="C63" i="12"/>
  <c r="C55" i="12"/>
  <c r="C64" i="12"/>
  <c r="C47" i="12"/>
  <c r="C56" i="12"/>
  <c r="C74" i="12"/>
  <c r="C83" i="12"/>
  <c r="C39" i="12"/>
  <c r="C40" i="12"/>
  <c r="C41" i="12"/>
  <c r="C42" i="12"/>
  <c r="C43" i="12"/>
  <c r="C44" i="12"/>
  <c r="C45" i="12"/>
  <c r="C46" i="12"/>
  <c r="C14" i="13"/>
  <c r="C23" i="13"/>
  <c r="C15" i="13"/>
  <c r="C24" i="13"/>
  <c r="C16" i="13"/>
  <c r="C25" i="13"/>
  <c r="C17" i="13"/>
  <c r="C26" i="13"/>
  <c r="C18" i="13"/>
  <c r="C27" i="13"/>
  <c r="C19" i="13"/>
  <c r="C28" i="13"/>
  <c r="C20" i="13"/>
  <c r="C29" i="13"/>
  <c r="C21" i="13"/>
  <c r="C30" i="13"/>
  <c r="G11" i="19"/>
  <c r="F11" i="19"/>
  <c r="E11" i="19"/>
  <c r="D11" i="19"/>
  <c r="G10" i="19"/>
  <c r="F10" i="19"/>
  <c r="E10" i="19"/>
  <c r="D10" i="19"/>
  <c r="G9" i="19"/>
  <c r="F9" i="19"/>
  <c r="E9" i="19"/>
  <c r="D9" i="19"/>
  <c r="G8" i="19"/>
  <c r="F8" i="19"/>
  <c r="E8" i="19"/>
  <c r="D8" i="19"/>
  <c r="G7" i="19"/>
  <c r="F7" i="19"/>
  <c r="E7" i="19"/>
  <c r="D7" i="19"/>
  <c r="G6" i="19"/>
  <c r="F6" i="19"/>
  <c r="E6" i="19"/>
  <c r="D6" i="19"/>
  <c r="G5" i="19"/>
  <c r="F5" i="19"/>
  <c r="E5" i="19"/>
  <c r="D5" i="19"/>
  <c r="G4" i="19"/>
  <c r="F4" i="19"/>
  <c r="E4" i="19"/>
  <c r="D4" i="19"/>
  <c r="G3" i="19"/>
  <c r="F3" i="19"/>
  <c r="E3" i="19"/>
  <c r="D3" i="19"/>
  <c r="C30" i="7"/>
  <c r="C31" i="7"/>
  <c r="C20" i="7"/>
  <c r="C34" i="6"/>
  <c r="C7" i="6"/>
  <c r="C6" i="6"/>
  <c r="C10" i="6"/>
  <c r="C33" i="6"/>
  <c r="C22" i="7"/>
  <c r="C19" i="7"/>
  <c r="C21" i="7"/>
  <c r="C37" i="6"/>
  <c r="C23" i="7"/>
  <c r="C27" i="7"/>
  <c r="C28" i="6"/>
  <c r="C32" i="7"/>
  <c r="C47" i="7"/>
  <c r="C36" i="6"/>
  <c r="C55" i="7"/>
  <c r="C35" i="6"/>
  <c r="C51" i="7"/>
  <c r="C38" i="6"/>
  <c r="C5" i="7"/>
  <c r="C41" i="7"/>
  <c r="C42" i="7"/>
  <c r="C37" i="7"/>
  <c r="C38" i="7"/>
  <c r="C9" i="6"/>
  <c r="C11" i="6"/>
  <c r="C4" i="9"/>
  <c r="C61" i="7"/>
  <c r="C14" i="7"/>
  <c r="C58" i="7"/>
  <c r="C66" i="7"/>
  <c r="C62" i="7"/>
  <c r="C15" i="7"/>
  <c r="C59" i="7"/>
  <c r="C67" i="7"/>
  <c r="C63" i="7"/>
  <c r="C16" i="7"/>
  <c r="C60" i="7"/>
  <c r="C68" i="7"/>
  <c r="C12" i="7"/>
  <c r="C64" i="7"/>
  <c r="C69" i="7"/>
  <c r="C65" i="7"/>
  <c r="C13" i="7"/>
  <c r="C70" i="7"/>
  <c r="C50" i="7"/>
  <c r="C7" i="9"/>
  <c r="C17" i="9"/>
  <c r="C49" i="9"/>
  <c r="C39" i="9"/>
  <c r="M25" i="9"/>
  <c r="M26" i="9"/>
  <c r="C23" i="6"/>
  <c r="C54" i="7"/>
  <c r="C46" i="7"/>
  <c r="C11" i="8"/>
  <c r="C174" i="12"/>
  <c r="C282" i="12"/>
  <c r="C270" i="12"/>
  <c r="C258" i="12"/>
  <c r="C284" i="12"/>
  <c r="C285" i="12"/>
  <c r="C286" i="12"/>
  <c r="C296" i="12"/>
  <c r="C272" i="12"/>
  <c r="C273" i="12"/>
  <c r="C274" i="12"/>
  <c r="C295" i="12"/>
  <c r="C260" i="12"/>
  <c r="C261" i="12"/>
  <c r="C262" i="12"/>
  <c r="C294" i="12"/>
  <c r="C287" i="12"/>
  <c r="C288" i="12"/>
  <c r="C293" i="12"/>
  <c r="C275" i="12"/>
  <c r="C276" i="12"/>
  <c r="C292" i="12"/>
  <c r="C263" i="12"/>
  <c r="C264" i="12"/>
  <c r="C291" i="12"/>
  <c r="C283" i="12"/>
  <c r="C271" i="12"/>
  <c r="C259" i="12"/>
  <c r="C252" i="12"/>
  <c r="C249" i="12"/>
  <c r="C216" i="12"/>
  <c r="C228" i="12"/>
  <c r="C204" i="12"/>
  <c r="C230" i="12"/>
  <c r="C231" i="12"/>
  <c r="C232" i="12"/>
  <c r="C242" i="12"/>
  <c r="C218" i="12"/>
  <c r="C219" i="12"/>
  <c r="C220" i="12"/>
  <c r="C241" i="12"/>
  <c r="C206" i="12"/>
  <c r="C207" i="12"/>
  <c r="C208" i="12"/>
  <c r="C240" i="12"/>
  <c r="C233" i="12"/>
  <c r="C234" i="12"/>
  <c r="C239" i="12"/>
  <c r="C221" i="12"/>
  <c r="C222" i="12"/>
  <c r="C238" i="12"/>
  <c r="C209" i="12"/>
  <c r="C210" i="12"/>
  <c r="C237" i="12"/>
  <c r="C229" i="12"/>
  <c r="C217" i="12"/>
  <c r="C205" i="12"/>
  <c r="C198" i="12"/>
  <c r="C195" i="12"/>
  <c r="C176" i="12"/>
  <c r="C177" i="12"/>
  <c r="C175" i="12"/>
  <c r="C178" i="12"/>
  <c r="C179" i="12"/>
  <c r="C180" i="12"/>
  <c r="C183" i="12"/>
  <c r="C184" i="12"/>
  <c r="C185" i="12"/>
  <c r="C186" i="12"/>
  <c r="C187" i="12"/>
  <c r="C188" i="12"/>
  <c r="C12" i="6"/>
  <c r="C21" i="8"/>
  <c r="C20" i="8"/>
  <c r="C19" i="8"/>
  <c r="C17" i="6"/>
  <c r="C15" i="6"/>
  <c r="C12" i="8"/>
  <c r="R15" i="7"/>
  <c r="R14" i="7"/>
  <c r="R13" i="7"/>
  <c r="R12" i="7"/>
  <c r="R11" i="7"/>
  <c r="R10" i="7"/>
  <c r="R9" i="7"/>
  <c r="R8" i="7"/>
  <c r="R7" i="7"/>
  <c r="R6" i="7"/>
  <c r="R5" i="7"/>
  <c r="R3" i="7"/>
  <c r="R4" i="7"/>
  <c r="R2" i="7"/>
  <c r="P15" i="7"/>
  <c r="P14" i="7"/>
  <c r="P13" i="7"/>
  <c r="P12" i="7"/>
  <c r="P11" i="7"/>
  <c r="P10" i="7"/>
  <c r="P9" i="7"/>
  <c r="P8" i="7"/>
  <c r="P7" i="7"/>
  <c r="P6" i="7"/>
  <c r="P5" i="7"/>
  <c r="P3" i="7"/>
  <c r="P4" i="7"/>
  <c r="P2" i="7"/>
  <c r="O8" i="7"/>
  <c r="O15" i="7"/>
  <c r="O14" i="7"/>
  <c r="O13" i="7"/>
  <c r="O12" i="7"/>
  <c r="O11" i="7"/>
  <c r="O10" i="7"/>
  <c r="O9" i="7"/>
  <c r="O7" i="7"/>
  <c r="O6" i="7"/>
  <c r="O5" i="7"/>
  <c r="O3" i="7"/>
  <c r="O4" i="7"/>
  <c r="O2" i="7"/>
  <c r="C13" i="8"/>
  <c r="C18" i="9"/>
  <c r="C19" i="9"/>
  <c r="C46" i="9"/>
  <c r="C76" i="7"/>
  <c r="C77" i="7"/>
  <c r="C78" i="7"/>
  <c r="C79" i="7"/>
  <c r="C80" i="7"/>
  <c r="C107" i="7"/>
  <c r="C84" i="7"/>
  <c r="C73" i="7"/>
  <c r="C81" i="7"/>
  <c r="C74" i="7"/>
  <c r="C82" i="7"/>
  <c r="C75" i="7"/>
  <c r="C83" i="7"/>
  <c r="C85" i="7"/>
  <c r="C34" i="7"/>
  <c r="C106" i="7"/>
  <c r="C101" i="7"/>
  <c r="C100" i="7"/>
  <c r="C102" i="7"/>
  <c r="C103" i="7"/>
  <c r="C108" i="7"/>
  <c r="C109" i="7"/>
  <c r="C94" i="7"/>
  <c r="C95" i="7"/>
  <c r="C96" i="7"/>
  <c r="C97" i="7"/>
  <c r="C91" i="7"/>
  <c r="C14" i="8"/>
  <c r="C15" i="8"/>
  <c r="C38" i="12"/>
  <c r="C37" i="9"/>
  <c r="C25" i="9"/>
  <c r="C40" i="9"/>
  <c r="C38" i="9"/>
  <c r="C27" i="9"/>
  <c r="C28" i="9"/>
  <c r="C26" i="9"/>
  <c r="C13" i="9"/>
  <c r="C15" i="9"/>
  <c r="C16" i="9"/>
  <c r="C14" i="9"/>
  <c r="C42" i="9"/>
  <c r="C43" i="9"/>
  <c r="C30" i="9"/>
  <c r="C31" i="9"/>
  <c r="C29" i="9"/>
  <c r="C41" i="9"/>
  <c r="C61" i="6"/>
  <c r="C62" i="6"/>
  <c r="C45" i="7"/>
  <c r="C16" i="6"/>
  <c r="H15" i="6"/>
  <c r="C48" i="9"/>
  <c r="C47" i="9"/>
  <c r="C65" i="6"/>
  <c r="C66" i="6"/>
  <c r="C68" i="6"/>
  <c r="C67" i="6"/>
  <c r="C51" i="9"/>
  <c r="C50" i="9"/>
  <c r="C7" i="8"/>
  <c r="C60" i="6"/>
  <c r="C30" i="6"/>
</calcChain>
</file>

<file path=xl/sharedStrings.xml><?xml version="1.0" encoding="utf-8"?>
<sst xmlns="http://schemas.openxmlformats.org/spreadsheetml/2006/main" count="4043" uniqueCount="564">
  <si>
    <t>Initial Estimates 06 Feb 2017</t>
  </si>
  <si>
    <t>Design Constraints</t>
  </si>
  <si>
    <t>Estimates and Calculations (in the order they were estimated or calculated)</t>
  </si>
  <si>
    <t>Crew</t>
  </si>
  <si>
    <t>2 Pilots to be included in dry weight of aircraft</t>
  </si>
  <si>
    <t>Parameter</t>
  </si>
  <si>
    <t>Given</t>
  </si>
  <si>
    <t>Value</t>
  </si>
  <si>
    <t>Units</t>
  </si>
  <si>
    <t>Given / Estimate / Calculation</t>
  </si>
  <si>
    <t>Equation(s) Used</t>
  </si>
  <si>
    <t>Reference</t>
  </si>
  <si>
    <t>1 Stewardess</t>
  </si>
  <si>
    <t>Wing Loading [W/S]</t>
  </si>
  <si>
    <t>Estimate</t>
  </si>
  <si>
    <t>SSBJ Sample Data</t>
  </si>
  <si>
    <t>Maximum Takeoff Weight [MTOW] [W0]</t>
  </si>
  <si>
    <t>lbs</t>
  </si>
  <si>
    <t>Cabin Seating</t>
  </si>
  <si>
    <t>Max Range (Max Fuel): 8 + 1 jumpseat for Stewardess</t>
  </si>
  <si>
    <t>Wing Area [S]</t>
  </si>
  <si>
    <t>Calculation</t>
  </si>
  <si>
    <t>S = (S/W)*W</t>
  </si>
  <si>
    <t>Common Knowledge</t>
  </si>
  <si>
    <t>Max Seating: 12 + 1 jumpseat for Stewardess</t>
  </si>
  <si>
    <t>Aspect Ratio [AR]</t>
  </si>
  <si>
    <t>41000ft</t>
  </si>
  <si>
    <t>42000ft</t>
  </si>
  <si>
    <t>Length</t>
  </si>
  <si>
    <t>ft</t>
  </si>
  <si>
    <t>SSBJ Sample Data Ratio Estimations</t>
  </si>
  <si>
    <t>Project Handout, Appendix B, pg. 13</t>
  </si>
  <si>
    <t>Wing Span [b] (of one wing)</t>
  </si>
  <si>
    <t>43000ft</t>
  </si>
  <si>
    <t>Fuselage Length</t>
  </si>
  <si>
    <t>44000ft</t>
  </si>
  <si>
    <t>Range at Mach 1.6</t>
  </si>
  <si>
    <t>Tail Empennage Length</t>
  </si>
  <si>
    <t>45000ft</t>
  </si>
  <si>
    <t>Nose Length</t>
  </si>
  <si>
    <t>46000ft</t>
  </si>
  <si>
    <t>Width (Fuselage Diameter / Cabin Diameter)</t>
  </si>
  <si>
    <t>47000ft</t>
  </si>
  <si>
    <t>AR = b2/S : b/2 = 2.5Cr</t>
  </si>
  <si>
    <t>alpha</t>
  </si>
  <si>
    <t>48000ft</t>
  </si>
  <si>
    <t>49000ft</t>
  </si>
  <si>
    <t>Root Tail Chord Length [Cr_t]</t>
  </si>
  <si>
    <t>Calcuation</t>
  </si>
  <si>
    <t>Cr_t = W_t/W_w*Cr</t>
  </si>
  <si>
    <t>Torenbeek Weight Assumptions for similar Aircraft</t>
  </si>
  <si>
    <t>Superosonic Cruise Mach Range</t>
  </si>
  <si>
    <t>1.6 - 1.8</t>
  </si>
  <si>
    <t>Mean Aerodynamic Chord [MAC]</t>
  </si>
  <si>
    <t>unitless</t>
  </si>
  <si>
    <t>Mean Tail Chord</t>
  </si>
  <si>
    <t>Subsonic Cruise Mach Range</t>
  </si>
  <si>
    <t>0.9-0.95</t>
  </si>
  <si>
    <t>Tip Chord Length [Ct]</t>
  </si>
  <si>
    <t>1/hr</t>
  </si>
  <si>
    <t>BruinJet BJ205 Performance Data</t>
  </si>
  <si>
    <t>Altitude (ft)</t>
  </si>
  <si>
    <t>Maximum Operating Mach Number</t>
  </si>
  <si>
    <t>Lift to Drag Ratio [L/D]</t>
  </si>
  <si>
    <t>Project Handout, Appendix B, Table B-19, pg. 15</t>
  </si>
  <si>
    <t>Speed of Sound at Cruise Altitude [a]</t>
  </si>
  <si>
    <t>Cruise Altitude</t>
  </si>
  <si>
    <t>Cruise Speed [V]</t>
  </si>
  <si>
    <t>M = a/V</t>
  </si>
  <si>
    <t>Speed of Sound at Sea Level [a0]</t>
  </si>
  <si>
    <t>http://www.fighter-planes.com/jetmach1.htm</t>
  </si>
  <si>
    <t>Service Ceiling</t>
  </si>
  <si>
    <t>Ambient Temp at Crusing Altitude [Ta]</t>
  </si>
  <si>
    <t>Kelvin</t>
  </si>
  <si>
    <t>Standard Atmospheric Temperature [T0]</t>
  </si>
  <si>
    <t>Payload with Maximum Fuel (Max Range / Max Fuel Cabin Seating)</t>
  </si>
  <si>
    <t>O.O. Bendisken, Chapter 2 Slides, Equation 2.130</t>
  </si>
  <si>
    <t>Fuel Weight [Wfuel] (this is fuel needed to make trip)</t>
  </si>
  <si>
    <t xml:space="preserve">R/a0 = (M(L/D))/(Ctf/sqrt(Ta/T0))*ln(W0/W1)
Wfuel = W0 - W1    </t>
  </si>
  <si>
    <t>Fuel Requirements</t>
  </si>
  <si>
    <t>* aircraft must be stable in pitch without use of active controls</t>
  </si>
  <si>
    <t>Earlier Calculation</t>
  </si>
  <si>
    <t>Jet Fuel Density</t>
  </si>
  <si>
    <t>Wikipedia</t>
  </si>
  <si>
    <t>NACA 64A006 Airfoil Data                   See Project Handout, Appendix B, pg. 13</t>
  </si>
  <si>
    <t>Total Volume of Fuel Tank Storage Required</t>
  </si>
  <si>
    <t>Weight Group Breakdowns as a Function of MTOW</t>
  </si>
  <si>
    <t>Wing Group</t>
  </si>
  <si>
    <t>Tail Group</t>
  </si>
  <si>
    <t>Fuselage Group</t>
  </si>
  <si>
    <t>Landing Gear</t>
  </si>
  <si>
    <t>Surface Controls Group</t>
  </si>
  <si>
    <t>Nacelle Group</t>
  </si>
  <si>
    <t>Aircraft Dimensions</t>
  </si>
  <si>
    <t>Height</t>
  </si>
  <si>
    <t>Total Wing Span (of both wings and aircraft)</t>
  </si>
  <si>
    <t>Total Wing Span = 2*b + Width</t>
  </si>
  <si>
    <t>Variable</t>
  </si>
  <si>
    <t xml:space="preserve">WL = </t>
  </si>
  <si>
    <t xml:space="preserve">MTOW = </t>
  </si>
  <si>
    <t xml:space="preserve">S = </t>
  </si>
  <si>
    <t xml:space="preserve">AR = </t>
  </si>
  <si>
    <t xml:space="preserve">MAC = </t>
  </si>
  <si>
    <t xml:space="preserve">Cr = </t>
  </si>
  <si>
    <t xml:space="preserve">Cr_t = </t>
  </si>
  <si>
    <t xml:space="preserve">** </t>
  </si>
  <si>
    <t xml:space="preserve">C_t = </t>
  </si>
  <si>
    <t>MAC_t =</t>
  </si>
  <si>
    <t xml:space="preserve">TSFC = </t>
  </si>
  <si>
    <t xml:space="preserve">L_D = </t>
  </si>
  <si>
    <t xml:space="preserve">a_cruise = </t>
  </si>
  <si>
    <t xml:space="preserve">V_1_6 = </t>
  </si>
  <si>
    <t xml:space="preserve">a0 = </t>
  </si>
  <si>
    <t xml:space="preserve">T_cruise = </t>
  </si>
  <si>
    <t xml:space="preserve">T0 = </t>
  </si>
  <si>
    <t xml:space="preserve">W_fuel = </t>
  </si>
  <si>
    <t>Project Handout, Appendix B, pg. 13: Assuming same airfoil for Wing and Tail</t>
  </si>
  <si>
    <t xml:space="preserve">rho_fuel = </t>
  </si>
  <si>
    <t xml:space="preserve">V_f = </t>
  </si>
  <si>
    <t xml:space="preserve">W_wing = </t>
  </si>
  <si>
    <t xml:space="preserve">W_tail = </t>
  </si>
  <si>
    <t xml:space="preserve">W_fus = </t>
  </si>
  <si>
    <t xml:space="preserve">W_land = </t>
  </si>
  <si>
    <t xml:space="preserve">W_Nac = </t>
  </si>
  <si>
    <t xml:space="preserve">W_eng = </t>
  </si>
  <si>
    <t xml:space="preserve">L_aircraft = </t>
  </si>
  <si>
    <t xml:space="preserve">; </t>
  </si>
  <si>
    <t xml:space="preserve">L_fus = </t>
  </si>
  <si>
    <t xml:space="preserve">L_emp = </t>
  </si>
  <si>
    <t xml:space="preserve">L_nose = </t>
  </si>
  <si>
    <t xml:space="preserve">D_aircraft = </t>
  </si>
  <si>
    <t xml:space="preserve">H = </t>
  </si>
  <si>
    <t xml:space="preserve">b_tot = </t>
  </si>
  <si>
    <t>41,000 - 49,000 ft</t>
  </si>
  <si>
    <t>51000 ft</t>
  </si>
  <si>
    <t>2000 lbs</t>
  </si>
  <si>
    <t>See above</t>
  </si>
  <si>
    <t>Torenbeek, Ch.8, pg. 280, Table 8-5, Aerospat. Caravelle VIR 2-Engine Aircraft</t>
  </si>
  <si>
    <t>**</t>
  </si>
  <si>
    <t>O.O. Bendiksen, Gas Turbine Engines, F414-GE-400</t>
  </si>
  <si>
    <t>See Right</t>
  </si>
  <si>
    <t>See Left</t>
  </si>
  <si>
    <t>Fuel Weight [Wfuel]</t>
  </si>
  <si>
    <t>lb/ft3</t>
  </si>
  <si>
    <t>ft3</t>
  </si>
  <si>
    <t>Volume = Wfuel / Jet Fuel Density</t>
  </si>
  <si>
    <t>lb/ft2</t>
  </si>
  <si>
    <t>ft2</t>
  </si>
  <si>
    <t>AR = b2/S</t>
  </si>
  <si>
    <t>Root Chord Length [Cr]</t>
  </si>
  <si>
    <t>MAC = 0.73917*Cr</t>
  </si>
  <si>
    <t>MAC = 0.73917*Cr_t</t>
  </si>
  <si>
    <t>Ct = 0.3886*Cr</t>
  </si>
  <si>
    <t>TSFC [Ctf]</t>
  </si>
  <si>
    <t>Engine Length</t>
  </si>
  <si>
    <t xml:space="preserve">L_eng = </t>
  </si>
  <si>
    <t>Seating Section 1 Length</t>
  </si>
  <si>
    <t xml:space="preserve">L_seat1 = </t>
  </si>
  <si>
    <t>Seating Section 2 Length</t>
  </si>
  <si>
    <t>Seating Section 3 Length</t>
  </si>
  <si>
    <t xml:space="preserve">L_seat2 = </t>
  </si>
  <si>
    <t xml:space="preserve">L_seat3 = </t>
  </si>
  <si>
    <t>Nacelle Length</t>
  </si>
  <si>
    <t>Locations for CG calcs: Connects to First Page for Aircraft Dimensions, and will auto update all other values associated with these lengths</t>
  </si>
  <si>
    <t>Leading Edge wing Placement</t>
  </si>
  <si>
    <t>Leading Edge Engine Placement</t>
  </si>
  <si>
    <t xml:space="preserve">x_eng = </t>
  </si>
  <si>
    <t xml:space="preserve">x_wing = </t>
  </si>
  <si>
    <t>Percent Length * Plane Length</t>
  </si>
  <si>
    <t>Leading Edge Nacelle Placement</t>
  </si>
  <si>
    <t xml:space="preserve">x_nac = </t>
  </si>
  <si>
    <t>Leading Edge Front Landing Gear Placement</t>
  </si>
  <si>
    <t xml:space="preserve">x_lg_front = </t>
  </si>
  <si>
    <t>Leading Edge Rear Landing Gear Placement</t>
  </si>
  <si>
    <t xml:space="preserve">x_lg_rear = </t>
  </si>
  <si>
    <t>Leading Edge Fuselage Placement</t>
  </si>
  <si>
    <t xml:space="preserve">x_fus = </t>
  </si>
  <si>
    <t>Leading Edge Empanage Placement</t>
  </si>
  <si>
    <t xml:space="preserve">x_emp = </t>
  </si>
  <si>
    <t>Leading Edge Vertical Tail Surfaces</t>
  </si>
  <si>
    <t xml:space="preserve">x_t_vert = </t>
  </si>
  <si>
    <t>Leading Edge Horizontal Tail Surfaces</t>
  </si>
  <si>
    <t xml:space="preserve">x_t_horiz = </t>
  </si>
  <si>
    <t>Leading Edge CockPit Placement</t>
  </si>
  <si>
    <t xml:space="preserve">x_cock = </t>
  </si>
  <si>
    <t>Leading Edge Jump Seat Placement</t>
  </si>
  <si>
    <t xml:space="preserve">x_js = </t>
  </si>
  <si>
    <t>Leading Edge Placement of Seating Section 1</t>
  </si>
  <si>
    <t>Leading Edge Placement of Seating Section 2</t>
  </si>
  <si>
    <t>Leading Edge Placement of Seating Section 3</t>
  </si>
  <si>
    <t xml:space="preserve">x_seat1 = </t>
  </si>
  <si>
    <t xml:space="preserve">x_seat2 = </t>
  </si>
  <si>
    <t xml:space="preserve">x_seat3 = </t>
  </si>
  <si>
    <t xml:space="preserve">Engine Group </t>
  </si>
  <si>
    <t>Number Of Engines</t>
  </si>
  <si>
    <t xml:space="preserve">N_engines = </t>
  </si>
  <si>
    <t xml:space="preserve">Will need to add a third engine eventually. Starting with 2 now. </t>
  </si>
  <si>
    <t>Weight of Luxury Passenger</t>
  </si>
  <si>
    <t>Weight of Jump Seat</t>
  </si>
  <si>
    <t>Weight of Pilot Seat</t>
  </si>
  <si>
    <t>Weight of Passenger + Luggage</t>
  </si>
  <si>
    <t xml:space="preserve">W_pass_seat = </t>
  </si>
  <si>
    <t xml:space="preserve">W_js = </t>
  </si>
  <si>
    <t xml:space="preserve">W_pilot_seat = </t>
  </si>
  <si>
    <t xml:space="preserve">W_pass = </t>
  </si>
  <si>
    <t>Leading Edge of MAC</t>
  </si>
  <si>
    <t xml:space="preserve">x_MAC = </t>
  </si>
  <si>
    <t>x_MAC = x_wing+((1-.8037)*Cr);</t>
  </si>
  <si>
    <t>Appendix B/C</t>
  </si>
  <si>
    <t>Placement of Wing CG</t>
  </si>
  <si>
    <t xml:space="preserve">x_wing_cg = </t>
  </si>
  <si>
    <t>Surface Control CG Placement</t>
  </si>
  <si>
    <t xml:space="preserve">x_sc = </t>
  </si>
  <si>
    <t>Wing Moment</t>
  </si>
  <si>
    <t xml:space="preserve">M_wing = </t>
  </si>
  <si>
    <t>Surface Control Moment</t>
  </si>
  <si>
    <t xml:space="preserve">M_sc = </t>
  </si>
  <si>
    <t>Fuel Tank Parameters</t>
  </si>
  <si>
    <t>Wing and Surface Controls Parameters</t>
  </si>
  <si>
    <t>Weight of Center Fuel Tank</t>
  </si>
  <si>
    <t xml:space="preserve">W_cent_fuel = </t>
  </si>
  <si>
    <t>Cross Section of Fuel In Center Tank</t>
  </si>
  <si>
    <t xml:space="preserve">A_cross_fuel = </t>
  </si>
  <si>
    <t>ft^2</t>
  </si>
  <si>
    <t>lb</t>
  </si>
  <si>
    <t>ft-lb</t>
  </si>
  <si>
    <t>x_wing_cg = x_wing+(.7*Cr);</t>
  </si>
  <si>
    <t>x_sc = x_MAC + MAC;</t>
  </si>
  <si>
    <t xml:space="preserve">M_wing = x_wing_xg *W_wing; </t>
  </si>
  <si>
    <t xml:space="preserve">M_sc = x_sc*W_sc; </t>
  </si>
  <si>
    <t xml:space="preserve">W_sc = </t>
  </si>
  <si>
    <t>** Ask Jordy **</t>
  </si>
  <si>
    <t xml:space="preserve">W_wing_fuel = </t>
  </si>
  <si>
    <t>Weight of Fuel in Both Wings</t>
  </si>
  <si>
    <t>CG Position for Center Fuel Tank</t>
  </si>
  <si>
    <t xml:space="preserve">x_cent_fuel_cg = </t>
  </si>
  <si>
    <t xml:space="preserve">W_wing_fuel= W_fuel - W_cent_fuel; </t>
  </si>
  <si>
    <t xml:space="preserve">x_cent_fuel_cg = x_wing + Cr/2; </t>
  </si>
  <si>
    <t>CG Position of Wing Fuel Tanks</t>
  </si>
  <si>
    <t xml:space="preserve">x_wing_fuel_cg = </t>
  </si>
  <si>
    <t>x_wing_fuel_cg = x_wing+0.5+0.7*0.4*Cr</t>
  </si>
  <si>
    <t>Moment of Center Fuel Tank</t>
  </si>
  <si>
    <t xml:space="preserve">M_cent_fuel = </t>
  </si>
  <si>
    <t xml:space="preserve">M_cent_fuel = x_cent_fuel_cg*W_cent_fuel; </t>
  </si>
  <si>
    <t>Moment of Wing with Fuel</t>
  </si>
  <si>
    <t xml:space="preserve">M_wing_fuel = </t>
  </si>
  <si>
    <t xml:space="preserve">M_wing_fuel = x_cent_fuel_cg*W_cent_fuel; </t>
  </si>
  <si>
    <t>Engine Group Parameters</t>
  </si>
  <si>
    <t xml:space="preserve">x_eng_cg = </t>
  </si>
  <si>
    <t>x_eng_cg = x_eng+ L_eng/2;</t>
  </si>
  <si>
    <t>Engine Moment</t>
  </si>
  <si>
    <t xml:space="preserve">M_eng = </t>
  </si>
  <si>
    <t>Weight of One Engine</t>
  </si>
  <si>
    <t xml:space="preserve">W_one_eng = </t>
  </si>
  <si>
    <t>Ask Janelle or Jordy</t>
  </si>
  <si>
    <t>Total Weight Of Engines</t>
  </si>
  <si>
    <t xml:space="preserve">M_eng = x_eng_cg*W_eng; </t>
  </si>
  <si>
    <t>Nacelle Group Parameters</t>
  </si>
  <si>
    <t>Nacelle Moment</t>
  </si>
  <si>
    <t xml:space="preserve">x_nac_cg = </t>
  </si>
  <si>
    <t xml:space="preserve">L_nac = </t>
  </si>
  <si>
    <t>x_nac_cg = x_nac+ L_nac*0.4;</t>
  </si>
  <si>
    <t xml:space="preserve">M_nac = </t>
  </si>
  <si>
    <t xml:space="preserve">M_nac = x_nac_cg*W_nac; </t>
  </si>
  <si>
    <t>Tail Group Parameters</t>
  </si>
  <si>
    <t>Fuselage Group Parameters</t>
  </si>
  <si>
    <t>Landing Gear Group Parameters</t>
  </si>
  <si>
    <t>Tail Moment</t>
  </si>
  <si>
    <t xml:space="preserve">M_tail = </t>
  </si>
  <si>
    <t>Vertical Tail CG</t>
  </si>
  <si>
    <t>Horizontal Tail CG</t>
  </si>
  <si>
    <t xml:space="preserve">x_vert_tail_cg = </t>
  </si>
  <si>
    <t xml:space="preserve">x_horz_tail_cg = </t>
  </si>
  <si>
    <t>Fuselage CG</t>
  </si>
  <si>
    <t>Engine CG</t>
  </si>
  <si>
    <t>Nacelle CG</t>
  </si>
  <si>
    <t xml:space="preserve">x_fus_cg = </t>
  </si>
  <si>
    <t>x_tail_cg = x_tail+ L_tail*0.42;</t>
  </si>
  <si>
    <t xml:space="preserve">M_tail = x_tail_cg*W_tail; </t>
  </si>
  <si>
    <t>x_fus_cg = x_fus+ L_fus*0.47;</t>
  </si>
  <si>
    <t>Fuselage Moment</t>
  </si>
  <si>
    <t xml:space="preserve">M_fus = </t>
  </si>
  <si>
    <t xml:space="preserve">M_fus = x_fus_cg*W_fus; </t>
  </si>
  <si>
    <t>Landing Gear CG</t>
  </si>
  <si>
    <t xml:space="preserve">x_lg_cg = </t>
  </si>
  <si>
    <t>Landing Gear Moment</t>
  </si>
  <si>
    <t xml:space="preserve">M_lg = </t>
  </si>
  <si>
    <t xml:space="preserve">M_lg = W_lg*x_cg_lg; </t>
  </si>
  <si>
    <t>Seat 1 CG</t>
  </si>
  <si>
    <t>Seat 2 CG</t>
  </si>
  <si>
    <t>CG</t>
  </si>
  <si>
    <t>Seat 3 CG</t>
  </si>
  <si>
    <t xml:space="preserve">x_seat1_cg = </t>
  </si>
  <si>
    <t xml:space="preserve">x_seat2_cg = </t>
  </si>
  <si>
    <t xml:space="preserve">x_seat3_cg = </t>
  </si>
  <si>
    <t>x_lg_cg = x_lg_front+(((2/3)*x_lg_rear)));</t>
  </si>
  <si>
    <t>x_seat1_cg = x_seat1 + L_seat1/2;</t>
  </si>
  <si>
    <t>Same As Seat 1</t>
  </si>
  <si>
    <t>Total Weight of Seating Section 1</t>
  </si>
  <si>
    <t>Total Weight of Seating Section 2</t>
  </si>
  <si>
    <t>Total Weight of Seating Section 3</t>
  </si>
  <si>
    <t xml:space="preserve">W_seat1 = </t>
  </si>
  <si>
    <t xml:space="preserve">W_seat2 = </t>
  </si>
  <si>
    <t xml:space="preserve">W_seat3 = </t>
  </si>
  <si>
    <t>Number Of Passengers in Section 1</t>
  </si>
  <si>
    <t>Number Of Passengers in Section 2</t>
  </si>
  <si>
    <t>Number Of Passengers in Section 3</t>
  </si>
  <si>
    <t xml:space="preserve">N_seat1 = </t>
  </si>
  <si>
    <t xml:space="preserve">N_seat2 = </t>
  </si>
  <si>
    <t xml:space="preserve">N_seat3 = </t>
  </si>
  <si>
    <t>Project Handout</t>
  </si>
  <si>
    <t>Sum weight of Passenger Seat, person and bags</t>
  </si>
  <si>
    <t>Total Weight of Pilots</t>
  </si>
  <si>
    <t xml:space="preserve">W_pilots = </t>
  </si>
  <si>
    <t>Sum weight of Pilot Seat, person and bags</t>
  </si>
  <si>
    <t>Total Weight of Jumper Seat</t>
  </si>
  <si>
    <t>Seating Section 1 Moment</t>
  </si>
  <si>
    <t xml:space="preserve">M_seat1 = </t>
  </si>
  <si>
    <t>Seating Section 2 Moment</t>
  </si>
  <si>
    <t>Seating Section 3 Moment</t>
  </si>
  <si>
    <t xml:space="preserve">M_seat2 = </t>
  </si>
  <si>
    <t xml:space="preserve">M_seat3 = </t>
  </si>
  <si>
    <t xml:space="preserve">M_seat = W_seat + x_seat_cg; </t>
  </si>
  <si>
    <t>Pilot Moment</t>
  </si>
  <si>
    <t xml:space="preserve">M_pilots = </t>
  </si>
  <si>
    <t>Jump Seat Moment</t>
  </si>
  <si>
    <t xml:space="preserve">M_js = </t>
  </si>
  <si>
    <t>See Seat Moment Calc</t>
  </si>
  <si>
    <t>Sum of Moments</t>
  </si>
  <si>
    <t xml:space="preserve">M_sum = </t>
  </si>
  <si>
    <t>Sum all Moments</t>
  </si>
  <si>
    <t>Sum of Weights</t>
  </si>
  <si>
    <t xml:space="preserve">W_sum = </t>
  </si>
  <si>
    <t>Sum all Weights</t>
  </si>
  <si>
    <t xml:space="preserve">CG = </t>
  </si>
  <si>
    <t>Sum_M/Sum_W</t>
  </si>
  <si>
    <t>CG Percent MAC</t>
  </si>
  <si>
    <t xml:space="preserve">CG_MAC = </t>
  </si>
  <si>
    <t>%</t>
  </si>
  <si>
    <t xml:space="preserve">(CG-x_MAC)/MAC; </t>
  </si>
  <si>
    <t>Correction Coefficient</t>
  </si>
  <si>
    <t xml:space="preserve">tau = </t>
  </si>
  <si>
    <t>Appendix C: Stability Calcs</t>
  </si>
  <si>
    <t>Fuselage Fineness Ratio 1</t>
  </si>
  <si>
    <t>Fuselage Fineness Ratio 2</t>
  </si>
  <si>
    <t>Nacelle Fineness Ratio 1</t>
  </si>
  <si>
    <t>Nacelle Fineness Ratio 2</t>
  </si>
  <si>
    <t xml:space="preserve">k1_f = </t>
  </si>
  <si>
    <t xml:space="preserve">k2_f = </t>
  </si>
  <si>
    <t xml:space="preserve">k1_n = </t>
  </si>
  <si>
    <t xml:space="preserve">k2_n = </t>
  </si>
  <si>
    <t>Placement of CG</t>
  </si>
  <si>
    <t xml:space="preserve">x_cg = </t>
  </si>
  <si>
    <t>See CG Calcs Page</t>
  </si>
  <si>
    <t>Moment Coefficient about AC</t>
  </si>
  <si>
    <t xml:space="preserve">CM_ac = </t>
  </si>
  <si>
    <t>Assume 0 to start</t>
  </si>
  <si>
    <t>Volume of Fuselage</t>
  </si>
  <si>
    <t xml:space="preserve">V_fus = </t>
  </si>
  <si>
    <t xml:space="preserve">V_emp = </t>
  </si>
  <si>
    <t>Volume of Emp</t>
  </si>
  <si>
    <t>ft^3</t>
  </si>
  <si>
    <t>Area of Circle*Length Fuselage</t>
  </si>
  <si>
    <t>Area of Circle*Length Empennage</t>
  </si>
  <si>
    <t xml:space="preserve">l_w = </t>
  </si>
  <si>
    <t>Length from Wing MAC to CG</t>
  </si>
  <si>
    <t>Length from Tail MAC to CG</t>
  </si>
  <si>
    <t xml:space="preserve">l_t = </t>
  </si>
  <si>
    <t xml:space="preserve">l_t = x_tail_MAC - x_cg; </t>
  </si>
  <si>
    <t xml:space="preserve">l_w= x_wing_MAC - x_cg; </t>
  </si>
  <si>
    <t>Number of Nacelle</t>
  </si>
  <si>
    <t xml:space="preserve">N_nac = </t>
  </si>
  <si>
    <t>Air Density at Cruise Altitude</t>
  </si>
  <si>
    <t xml:space="preserve">rho_cruise = </t>
  </si>
  <si>
    <t>slug/ft^3</t>
  </si>
  <si>
    <t>Standard Air Density</t>
  </si>
  <si>
    <t>Tail Surface Area</t>
  </si>
  <si>
    <t xml:space="preserve">S_t = </t>
  </si>
  <si>
    <t>Velocity of Aircraft at Mach 0.8</t>
  </si>
  <si>
    <t xml:space="preserve">V_plane = </t>
  </si>
  <si>
    <t>Mach Speed</t>
  </si>
  <si>
    <t xml:space="preserve">M = </t>
  </si>
  <si>
    <t>Subsonic Criuse</t>
  </si>
  <si>
    <t>Toohey Stability Slides for Tail Ratio</t>
  </si>
  <si>
    <t>V_plane = a_cruise*M_08</t>
  </si>
  <si>
    <t>Standard Calc</t>
  </si>
  <si>
    <t>Dynamic Pressure</t>
  </si>
  <si>
    <t xml:space="preserve">q = </t>
  </si>
  <si>
    <t>slugs/(ft*s^2)</t>
  </si>
  <si>
    <t>Standard Dynamic Pressure</t>
  </si>
  <si>
    <t>Volume Of Fuselage</t>
  </si>
  <si>
    <t>Volume Of Cylender</t>
  </si>
  <si>
    <t>Volume of Nacelle</t>
  </si>
  <si>
    <t xml:space="preserve">V_n = </t>
  </si>
  <si>
    <t>Will Add When Quang Calcs This</t>
  </si>
  <si>
    <t>Length from Tail MAC to Wing MAC</t>
  </si>
  <si>
    <t xml:space="preserve">l = </t>
  </si>
  <si>
    <t xml:space="preserve">l = l_w+l_t; </t>
  </si>
  <si>
    <t>Tail Efficiency</t>
  </si>
  <si>
    <t xml:space="preserve">n_t = </t>
  </si>
  <si>
    <t>given / Estimate / Calculation</t>
  </si>
  <si>
    <t xml:space="preserve">Given </t>
  </si>
  <si>
    <t>Assume 1</t>
  </si>
  <si>
    <t>Input Stability Parameters</t>
  </si>
  <si>
    <t>Angle Of Attack</t>
  </si>
  <si>
    <t>Constant Stability Parameters</t>
  </si>
  <si>
    <t>Lift Coefficient</t>
  </si>
  <si>
    <t xml:space="preserve">C_L = </t>
  </si>
  <si>
    <t>Rad</t>
  </si>
  <si>
    <t>See Appendix B: C_L = 0.3</t>
  </si>
  <si>
    <t>See Appendix Bfor C_L = 0.3</t>
  </si>
  <si>
    <t>Tail Volume Ratio</t>
  </si>
  <si>
    <t xml:space="preserve">V_h = </t>
  </si>
  <si>
    <t xml:space="preserve">Appendix C: Values range from 0.56-1.2 : See plots to right for Affects of varied Vh. </t>
  </si>
  <si>
    <t xml:space="preserve">150B Text, pg. 254: CM_ac varies from .008-.025 : Small contribution to calcs. </t>
  </si>
  <si>
    <t>DownWash Angle</t>
  </si>
  <si>
    <t xml:space="preserve">epsilon = </t>
  </si>
  <si>
    <t>epsilon = 2*C_L/(pi*AR)*(1+tau)</t>
  </si>
  <si>
    <t>See Appendix C: Use Values from McMormick</t>
  </si>
  <si>
    <t>Not sure what to assume here</t>
  </si>
  <si>
    <t>Lift Curve Slope for Wing</t>
  </si>
  <si>
    <t xml:space="preserve">a_w = </t>
  </si>
  <si>
    <t>1/Rad</t>
  </si>
  <si>
    <t>a_w = C_L/alpha</t>
  </si>
  <si>
    <t>Assuming C_L0 is negligible</t>
  </si>
  <si>
    <t>Appendix B Values: C_L= 0.3 : For Different Mach Values, update from AppendBix B</t>
  </si>
  <si>
    <t>Lift Curve Slope for Tail</t>
  </si>
  <si>
    <t xml:space="preserve">a_t = </t>
  </si>
  <si>
    <t>a_t = C_Lt/alpha_t</t>
  </si>
  <si>
    <t>Assuming a_w = a_wt</t>
  </si>
  <si>
    <t>Derivative Of Epsilon with alpha</t>
  </si>
  <si>
    <t xml:space="preserve">dev_epsilon = </t>
  </si>
  <si>
    <t>1/rad</t>
  </si>
  <si>
    <t>dev_eps = epsilon/alpha</t>
  </si>
  <si>
    <t>Using Assumptions that C_L = alpha*a_w</t>
  </si>
  <si>
    <t xml:space="preserve">Moment of Fuselage </t>
  </si>
  <si>
    <t xml:space="preserve">M_f = </t>
  </si>
  <si>
    <t xml:space="preserve">alpha_w = </t>
  </si>
  <si>
    <t>M_f = 2*q*(k2_f-k1_f)*Vol_f*alpha_w;</t>
  </si>
  <si>
    <t>Appendix C</t>
  </si>
  <si>
    <t>Moment of Nacelle</t>
  </si>
  <si>
    <t xml:space="preserve">M_n = </t>
  </si>
  <si>
    <t>Appendix C Data</t>
  </si>
  <si>
    <t>M_n = 2*q*(k2_n-k1_n)*Vol_n*alpha_w;</t>
  </si>
  <si>
    <t>Appendix B Values: C_L= 0.4 : For Different Mach Values, update from AppendBix B</t>
  </si>
  <si>
    <t>Appendix B Values: C_L= 0.5 : For Different Mach Values, update from AppendBix B</t>
  </si>
  <si>
    <t>Moment Coefficient and Derivatives</t>
  </si>
  <si>
    <t xml:space="preserve">C_M_cg = </t>
  </si>
  <si>
    <t>Lift Coefficient of Tail</t>
  </si>
  <si>
    <t xml:space="preserve">C_Lt = </t>
  </si>
  <si>
    <t>Assume C_Lt = C_L</t>
  </si>
  <si>
    <t>Moment Coefficients for C_L = 0.3 @ Initial Estimates</t>
  </si>
  <si>
    <t>Moment Coefficients for C_L = 0.4 @ Initial Estimates</t>
  </si>
  <si>
    <t>Moment Coefficients for C_L = 0.5 @ Initial Estimates</t>
  </si>
  <si>
    <t xml:space="preserve">C_M_cg_alpha = </t>
  </si>
  <si>
    <t xml:space="preserve">Derivate of C_M_cg with alpha for C_L = 0.3 @ Initial Est. </t>
  </si>
  <si>
    <t>Toohey's Slides</t>
  </si>
  <si>
    <t>S_t = S_w*MAC/l_t</t>
  </si>
  <si>
    <t xml:space="preserve">Derivate of C_M_cg with alpha for C_L = 0.4 @ Initial Est. </t>
  </si>
  <si>
    <t>See Appendix C or Stability Code, Very Long Equation</t>
  </si>
  <si>
    <t>Equation(s) Used / Variables Involved</t>
  </si>
  <si>
    <t>CL, l_w, MAC, CM_AC, CL_t, n_t, Vh, M_f, M_nS_w</t>
  </si>
  <si>
    <t xml:space="preserve">Estimate : Currently 50%, maybe too high? </t>
  </si>
  <si>
    <t>Loading Conditions</t>
  </si>
  <si>
    <t>Loading Conditions One</t>
  </si>
  <si>
    <t>Loading Conditions Two</t>
  </si>
  <si>
    <t>Loading Conditions Three</t>
  </si>
  <si>
    <t>Loading Condition Four</t>
  </si>
  <si>
    <t xml:space="preserve">W_1 = </t>
  </si>
  <si>
    <t xml:space="preserve">W_2 = </t>
  </si>
  <si>
    <t>fuel Weight 45 Mins</t>
  </si>
  <si>
    <t xml:space="preserve">W_fuel_45 = </t>
  </si>
  <si>
    <t>Wfuel45min = MTOW - (MTOW/(exp(E/((1/Ctsfc)*(CL_CD))))); </t>
  </si>
  <si>
    <t>Janelle Weight Code</t>
  </si>
  <si>
    <t xml:space="preserve">W_3 = </t>
  </si>
  <si>
    <t>MTOW</t>
  </si>
  <si>
    <t>MTOW - W_fuel + W_fuel_45</t>
  </si>
  <si>
    <t>MTOW - 13*W_passenger</t>
  </si>
  <si>
    <t>MTOW - (W_fuel + W_fuel_45) - 13*W_passenger</t>
  </si>
  <si>
    <t xml:space="preserve">b_2 = </t>
  </si>
  <si>
    <t>b/2</t>
  </si>
  <si>
    <t>Angle of Atttack Tail</t>
  </si>
  <si>
    <t xml:space="preserve">alpha_t = </t>
  </si>
  <si>
    <t>alpha_t = CL_t_trim/A_t</t>
  </si>
  <si>
    <t>Toohey's Slide  [246]</t>
  </si>
  <si>
    <t>Dynamic Pressure Mach 1.6</t>
  </si>
  <si>
    <t>Dynamic Pressure Mach 1.7</t>
  </si>
  <si>
    <t>Dynamic Pressure Mach 1.8</t>
  </si>
  <si>
    <t>Supersonic Cruise</t>
  </si>
  <si>
    <t xml:space="preserve">Taken Estimate from Appendix </t>
  </si>
  <si>
    <t>Appendix B</t>
  </si>
  <si>
    <t>Loading Condition One</t>
  </si>
  <si>
    <t>Loading Condition Two</t>
  </si>
  <si>
    <t xml:space="preserve">Weight of Min Fuel in Both Wings </t>
  </si>
  <si>
    <t>Pilot/Payload Group Parameters Full Payload</t>
  </si>
  <si>
    <t>Pilot/Payload Group Parameters Ferry Flight</t>
  </si>
  <si>
    <t xml:space="preserve">W_wing_fuel_min = </t>
  </si>
  <si>
    <t>Moment of Wing with Fuel_min</t>
  </si>
  <si>
    <t>Loading Condition Three</t>
  </si>
  <si>
    <t>x</t>
  </si>
  <si>
    <t>2 Engines, .803, 2445</t>
  </si>
  <si>
    <t>2 Engines, (1 - .803), 2445</t>
  </si>
  <si>
    <t>2 Engines, (.803), 2445</t>
  </si>
  <si>
    <t>Loading Condition 1</t>
  </si>
  <si>
    <t>Appendix B, Mach 1.6</t>
  </si>
  <si>
    <t>Appendix B, Mach 1.8</t>
  </si>
  <si>
    <t>Appendix B, Mach 1.7</t>
  </si>
  <si>
    <t>ft/s</t>
  </si>
  <si>
    <t>Derivate of C_M_cg at M = 1.8</t>
  </si>
  <si>
    <t>Derivate of C_M_cg at M = 1.6</t>
  </si>
  <si>
    <t>Derivate of C_M_cg at M = 1.7</t>
  </si>
  <si>
    <t>Moment Coefficient and Derivatives: Loading Condition 2</t>
  </si>
  <si>
    <t>Loading Condition 3</t>
  </si>
  <si>
    <t>Moment Coefficient and Derivatives: Loading Condition 3</t>
  </si>
  <si>
    <t>Loading Condition 4</t>
  </si>
  <si>
    <t>Moment Coefficient and Derivatives: Loading Condition 4</t>
  </si>
  <si>
    <t>Input Parameter now</t>
  </si>
  <si>
    <t>up</t>
  </si>
  <si>
    <t>Weight</t>
  </si>
  <si>
    <t xml:space="preserve">Estimate </t>
  </si>
  <si>
    <t>N/A</t>
  </si>
  <si>
    <t>Sample SSBJ</t>
  </si>
  <si>
    <t>C_L</t>
  </si>
  <si>
    <t>Mach 1.6</t>
  </si>
  <si>
    <t>Paraiste Drag at 41,000</t>
  </si>
  <si>
    <t>D_p</t>
  </si>
  <si>
    <t>Lukas Calc</t>
  </si>
  <si>
    <t>Ask Lukas</t>
  </si>
  <si>
    <t>Lukas</t>
  </si>
  <si>
    <t>Mach 1.7</t>
  </si>
  <si>
    <t>Density (rho)</t>
  </si>
  <si>
    <t>Temperature
 (T)</t>
  </si>
  <si>
    <t>Dynamic Pressue
 (q) Mach  1.6</t>
  </si>
  <si>
    <t>Dynamic Pressue
 (q) MAch 1.7</t>
  </si>
  <si>
    <t>Dynamic Pressue
 (q) Mach 1.8</t>
  </si>
  <si>
    <t>Dynamic Viscosity
 (mu) lbs/ft^2</t>
  </si>
  <si>
    <t>Fluid Properties</t>
  </si>
  <si>
    <t>C_L = L/(q*S)</t>
  </si>
  <si>
    <t>Basic Aerodynamics</t>
  </si>
  <si>
    <t>Euler Calculations Mach 1.6</t>
  </si>
  <si>
    <t>CL</t>
  </si>
  <si>
    <t>CMcr/4</t>
  </si>
  <si>
    <t>CMmac/4</t>
  </si>
  <si>
    <t>CD</t>
  </si>
  <si>
    <t>L/Di+w</t>
  </si>
  <si>
    <t>MACHmax</t>
  </si>
  <si>
    <t>CL/Alpha</t>
  </si>
  <si>
    <t>X@CM=0</t>
  </si>
  <si>
    <t>X%mac@CM=0</t>
  </si>
  <si>
    <t>Euler Calculations Mach 1.7</t>
  </si>
  <si>
    <t>Euler Calculations Mach 1.8</t>
  </si>
  <si>
    <t>C_D</t>
  </si>
  <si>
    <t>CFD</t>
  </si>
  <si>
    <t>Loading Condition 1: Mach 1.6</t>
  </si>
  <si>
    <t>D</t>
  </si>
  <si>
    <t>Drag from lift</t>
  </si>
  <si>
    <t>D = qSC_D</t>
  </si>
  <si>
    <t>C_L necessary 41-49k feet</t>
  </si>
  <si>
    <t>C_D from CFD 41,000</t>
  </si>
  <si>
    <t>Lift Coefficient, 41,000</t>
  </si>
  <si>
    <t>Angle Of Attack, 41,000</t>
  </si>
  <si>
    <t>Lift Curve Slope for Wing, 41,000</t>
  </si>
  <si>
    <t>Angle of Atttack Tail, 41,000</t>
  </si>
  <si>
    <t>Loading Condition 1: Mach 1.7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</si>
</sst>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#,##0.000"/>
    <numFmt numFmtId="166" formatCode="0.00000"/>
    <numFmt numFmtId="167" formatCode="0.0000"/>
  </numFmts>
  <fonts count="31" x14ac:knownFonts="1">
    <font>
      <sz val="11"/>
      <color rgb="FF000000"/>
      <name val="Calibri"/>
    </font>
    <font>
      <sz val="11"/>
      <name val="Calibri"/>
    </font>
    <font>
      <b/>
      <sz val="12"/>
      <color rgb="FFFFFFFF"/>
      <name val="Times New Roman"/>
    </font>
    <font>
      <sz val="12"/>
      <color rgb="FF000000"/>
      <name val="Times New Roman"/>
    </font>
    <font>
      <b/>
      <sz val="12"/>
      <color rgb="FF000000"/>
      <name val="Times New Roman"/>
    </font>
    <font>
      <sz val="11"/>
      <color rgb="FF000000"/>
      <name val="Inconsolata"/>
    </font>
    <font>
      <u/>
      <sz val="11"/>
      <color theme="11"/>
      <name val="Calibri"/>
    </font>
    <font>
      <b/>
      <sz val="12"/>
      <color theme="7" tint="0.39997558519241921"/>
      <name val="Times New Roman"/>
    </font>
    <font>
      <sz val="11"/>
      <color theme="7" tint="0.39997558519241921"/>
      <name val="Calibri"/>
    </font>
    <font>
      <b/>
      <sz val="12"/>
      <color rgb="FF000000"/>
      <name val="Times Roman"/>
    </font>
    <font>
      <sz val="12"/>
      <color rgb="FF000000"/>
      <name val="Times Roman"/>
    </font>
    <font>
      <sz val="12"/>
      <name val="Times Roman"/>
    </font>
    <font>
      <u/>
      <sz val="12"/>
      <color rgb="FF0563C1"/>
      <name val="Times Roman"/>
    </font>
    <font>
      <u/>
      <sz val="12"/>
      <color rgb="FF0000FF"/>
      <name val="Times Roman"/>
    </font>
    <font>
      <b/>
      <sz val="16"/>
      <color theme="0"/>
      <name val="Times Roman"/>
    </font>
    <font>
      <sz val="12"/>
      <color rgb="FF000000"/>
      <name val="Calibri"/>
    </font>
    <font>
      <u/>
      <sz val="12"/>
      <name val="Times Roman"/>
    </font>
    <font>
      <i/>
      <sz val="12"/>
      <color rgb="FF000000"/>
      <name val="Times Roman"/>
    </font>
    <font>
      <b/>
      <i/>
      <sz val="12"/>
      <color rgb="FF000000"/>
      <name val="Times Roman"/>
    </font>
    <font>
      <i/>
      <sz val="12"/>
      <name val="Times Roman"/>
    </font>
    <font>
      <i/>
      <sz val="11"/>
      <color rgb="FF000000"/>
      <name val="Calibri"/>
    </font>
    <font>
      <sz val="15"/>
      <color rgb="FF000000"/>
      <name val="Courier"/>
    </font>
    <font>
      <sz val="12"/>
      <color theme="1"/>
      <name val="Times Roman"/>
    </font>
    <font>
      <sz val="11"/>
      <color rgb="FF000000"/>
      <name val="Calibri Light"/>
    </font>
    <font>
      <sz val="12"/>
      <color rgb="FF000000"/>
      <name val="Times"/>
    </font>
    <font>
      <i/>
      <sz val="12"/>
      <color rgb="FF000000"/>
      <name val="Times"/>
    </font>
    <font>
      <b/>
      <sz val="12"/>
      <color rgb="FF000000"/>
      <name val="Times"/>
    </font>
    <font>
      <sz val="12"/>
      <name val="Times"/>
    </font>
    <font>
      <sz val="12.1"/>
      <color rgb="FF000000"/>
      <name val="Calibri"/>
    </font>
    <font>
      <sz val="12.1"/>
      <color rgb="FF000000"/>
      <name val="Arial"/>
    </font>
    <font>
      <sz val="13"/>
      <color rgb="FF000000"/>
      <name val="Arial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rgb="FFBDD6EE"/>
      </patternFill>
    </fill>
    <fill>
      <patternFill patternType="solid">
        <fgColor theme="5" tint="-0.249977111117893"/>
        <bgColor rgb="FFF7CAAC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auto="1"/>
      </top>
      <bottom style="thin">
        <color rgb="FF000000"/>
      </bottom>
      <diagonal/>
    </border>
  </borders>
  <cellStyleXfs count="42">
    <xf numFmtId="0" fontId="0" fillId="0" borderId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33">
    <xf numFmtId="0" fontId="0" fillId="0" borderId="0" xfId="0" applyFont="1" applyAlignment="1"/>
    <xf numFmtId="0" fontId="2" fillId="0" borderId="0" xfId="0" applyFont="1"/>
    <xf numFmtId="0" fontId="3" fillId="0" borderId="0" xfId="0" applyFont="1"/>
    <xf numFmtId="0" fontId="0" fillId="0" borderId="0" xfId="0" applyFont="1"/>
    <xf numFmtId="0" fontId="4" fillId="0" borderId="0" xfId="0" applyFont="1"/>
    <xf numFmtId="0" fontId="3" fillId="0" borderId="0" xfId="0" applyFont="1" applyAlignment="1"/>
    <xf numFmtId="0" fontId="0" fillId="0" borderId="0" xfId="0" applyFont="1" applyAlignment="1"/>
    <xf numFmtId="0" fontId="1" fillId="0" borderId="0" xfId="0" applyFont="1" applyBorder="1"/>
    <xf numFmtId="0" fontId="0" fillId="0" borderId="0" xfId="0" applyFo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left" vertical="center"/>
    </xf>
    <xf numFmtId="0" fontId="2" fillId="3" borderId="0" xfId="0" applyFont="1" applyFill="1" applyBorder="1" applyAlignment="1"/>
    <xf numFmtId="0" fontId="10" fillId="0" borderId="0" xfId="0" applyFont="1" applyAlignment="1">
      <alignment horizontal="left"/>
    </xf>
    <xf numFmtId="164" fontId="10" fillId="0" borderId="0" xfId="0" applyNumberFormat="1" applyFont="1" applyAlignment="1">
      <alignment horizontal="left"/>
    </xf>
    <xf numFmtId="0" fontId="10" fillId="0" borderId="0" xfId="0" applyFont="1" applyAlignment="1">
      <alignment horizontal="left"/>
    </xf>
    <xf numFmtId="0" fontId="11" fillId="0" borderId="0" xfId="0" applyFont="1" applyFill="1" applyBorder="1" applyAlignment="1">
      <alignment horizontal="left"/>
    </xf>
    <xf numFmtId="164" fontId="11" fillId="0" borderId="0" xfId="0" applyNumberFormat="1" applyFont="1" applyAlignment="1">
      <alignment horizontal="left"/>
    </xf>
    <xf numFmtId="0" fontId="10" fillId="0" borderId="0" xfId="0" applyFont="1" applyAlignment="1">
      <alignment horizontal="left" vertical="center" wrapText="1"/>
    </xf>
    <xf numFmtId="0" fontId="11" fillId="0" borderId="0" xfId="0" applyFont="1" applyAlignment="1">
      <alignment horizontal="left"/>
    </xf>
    <xf numFmtId="164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0" fillId="0" borderId="0" xfId="0" applyFont="1" applyAlignment="1">
      <alignment horizontal="left" wrapText="1"/>
    </xf>
    <xf numFmtId="165" fontId="10" fillId="0" borderId="0" xfId="0" applyNumberFormat="1" applyFont="1" applyAlignment="1">
      <alignment horizontal="left"/>
    </xf>
    <xf numFmtId="0" fontId="9" fillId="5" borderId="1" xfId="0" applyFont="1" applyFill="1" applyBorder="1" applyAlignment="1">
      <alignment horizontal="left" wrapText="1"/>
    </xf>
    <xf numFmtId="0" fontId="9" fillId="5" borderId="1" xfId="0" applyFont="1" applyFill="1" applyBorder="1" applyAlignment="1">
      <alignment horizontal="left"/>
    </xf>
    <xf numFmtId="0" fontId="9" fillId="5" borderId="1" xfId="0" applyFont="1" applyFill="1" applyBorder="1" applyAlignment="1">
      <alignment horizontal="left"/>
    </xf>
    <xf numFmtId="0" fontId="15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7" fillId="0" borderId="0" xfId="0" applyFont="1" applyAlignment="1">
      <alignment horizontal="left" vertical="center" wrapText="1"/>
    </xf>
    <xf numFmtId="0" fontId="17" fillId="0" borderId="0" xfId="0" applyFont="1" applyAlignment="1">
      <alignment horizontal="left"/>
    </xf>
    <xf numFmtId="0" fontId="17" fillId="0" borderId="0" xfId="0" applyFont="1" applyAlignment="1"/>
    <xf numFmtId="0" fontId="18" fillId="5" borderId="1" xfId="0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20" fillId="0" borderId="0" xfId="0" applyFont="1" applyAlignment="1">
      <alignment horizontal="left"/>
    </xf>
    <xf numFmtId="0" fontId="10" fillId="0" borderId="0" xfId="0" applyFont="1" applyAlignment="1"/>
    <xf numFmtId="166" fontId="10" fillId="0" borderId="0" xfId="0" applyNumberFormat="1" applyFont="1" applyAlignment="1">
      <alignment horizontal="left"/>
    </xf>
    <xf numFmtId="167" fontId="10" fillId="0" borderId="0" xfId="0" applyNumberFormat="1" applyFont="1" applyAlignment="1">
      <alignment horizontal="left"/>
    </xf>
    <xf numFmtId="0" fontId="10" fillId="0" borderId="0" xfId="0" applyFont="1" applyAlignment="1">
      <alignment horizontal="left"/>
    </xf>
    <xf numFmtId="0" fontId="0" fillId="0" borderId="0" xfId="0" applyFont="1" applyAlignment="1">
      <alignment horizontal="left" vertical="center"/>
    </xf>
    <xf numFmtId="0" fontId="10" fillId="0" borderId="0" xfId="0" applyFont="1" applyAlignment="1">
      <alignment horizontal="left"/>
    </xf>
    <xf numFmtId="0" fontId="9" fillId="5" borderId="1" xfId="0" applyFont="1" applyFill="1" applyBorder="1" applyAlignment="1">
      <alignment horizontal="left"/>
    </xf>
    <xf numFmtId="0" fontId="10" fillId="0" borderId="0" xfId="0" applyFont="1" applyAlignment="1">
      <alignment horizontal="left" vertical="center"/>
    </xf>
    <xf numFmtId="0" fontId="21" fillId="0" borderId="0" xfId="0" applyFont="1" applyAlignment="1"/>
    <xf numFmtId="0" fontId="9" fillId="5" borderId="1" xfId="0" applyFont="1" applyFill="1" applyBorder="1" applyAlignment="1">
      <alignment horizontal="left" vertical="center"/>
    </xf>
    <xf numFmtId="3" fontId="10" fillId="0" borderId="0" xfId="0" applyNumberFormat="1" applyFont="1" applyAlignment="1">
      <alignment horizontal="left" vertical="center"/>
    </xf>
    <xf numFmtId="164" fontId="22" fillId="0" borderId="0" xfId="0" applyNumberFormat="1" applyFont="1" applyAlignment="1">
      <alignment horizontal="left"/>
    </xf>
    <xf numFmtId="0" fontId="10" fillId="0" borderId="0" xfId="0" applyFont="1" applyAlignment="1">
      <alignment horizontal="left"/>
    </xf>
    <xf numFmtId="0" fontId="10" fillId="6" borderId="1" xfId="0" applyFont="1" applyFill="1" applyBorder="1" applyAlignment="1">
      <alignment horizontal="left"/>
    </xf>
    <xf numFmtId="167" fontId="10" fillId="6" borderId="1" xfId="0" applyNumberFormat="1" applyFont="1" applyFill="1" applyBorder="1" applyAlignment="1">
      <alignment horizontal="left"/>
    </xf>
    <xf numFmtId="0" fontId="10" fillId="0" borderId="0" xfId="0" applyFont="1" applyAlignment="1">
      <alignment horizontal="left"/>
    </xf>
    <xf numFmtId="0" fontId="9" fillId="5" borderId="1" xfId="0" applyFont="1" applyFill="1" applyBorder="1" applyAlignment="1">
      <alignment horizontal="left"/>
    </xf>
    <xf numFmtId="0" fontId="10" fillId="0" borderId="0" xfId="0" applyFont="1" applyAlignment="1">
      <alignment horizontal="left" vertical="center"/>
    </xf>
    <xf numFmtId="0" fontId="10" fillId="0" borderId="0" xfId="0" applyFont="1" applyAlignment="1"/>
    <xf numFmtId="0" fontId="10" fillId="5" borderId="1" xfId="0" applyFont="1" applyFill="1" applyBorder="1" applyAlignment="1">
      <alignment vertical="center"/>
    </xf>
    <xf numFmtId="0" fontId="9" fillId="5" borderId="1" xfId="0" applyFont="1" applyFill="1" applyBorder="1" applyAlignment="1">
      <alignment horizontal="left"/>
    </xf>
    <xf numFmtId="2" fontId="23" fillId="0" borderId="0" xfId="0" applyNumberFormat="1" applyFont="1" applyFill="1" applyBorder="1" applyAlignment="1">
      <alignment horizontal="left" vertical="center" wrapText="1"/>
    </xf>
    <xf numFmtId="0" fontId="0" fillId="0" borderId="0" xfId="0" applyFont="1" applyAlignment="1"/>
    <xf numFmtId="0" fontId="10" fillId="0" borderId="0" xfId="0" applyFont="1" applyAlignment="1">
      <alignment horizontal="left"/>
    </xf>
    <xf numFmtId="0" fontId="9" fillId="5" borderId="1" xfId="0" applyFont="1" applyFill="1" applyBorder="1" applyAlignment="1">
      <alignment horizontal="left"/>
    </xf>
    <xf numFmtId="164" fontId="10" fillId="8" borderId="1" xfId="0" applyNumberFormat="1" applyFont="1" applyFill="1" applyBorder="1" applyAlignment="1">
      <alignment horizontal="left"/>
    </xf>
    <xf numFmtId="164" fontId="10" fillId="9" borderId="1" xfId="0" applyNumberFormat="1" applyFont="1" applyFill="1" applyBorder="1" applyAlignment="1">
      <alignment horizontal="left"/>
    </xf>
    <xf numFmtId="164" fontId="11" fillId="9" borderId="1" xfId="0" applyNumberFormat="1" applyFont="1" applyFill="1" applyBorder="1" applyAlignment="1">
      <alignment horizontal="left"/>
    </xf>
    <xf numFmtId="0" fontId="0" fillId="0" borderId="0" xfId="0" applyFont="1" applyAlignment="1"/>
    <xf numFmtId="0" fontId="10" fillId="0" borderId="0" xfId="0" applyFont="1" applyAlignment="1">
      <alignment horizontal="left"/>
    </xf>
    <xf numFmtId="0" fontId="9" fillId="5" borderId="1" xfId="0" applyFont="1" applyFill="1" applyBorder="1" applyAlignment="1">
      <alignment horizontal="left"/>
    </xf>
    <xf numFmtId="0" fontId="10" fillId="0" borderId="0" xfId="0" applyFont="1" applyAlignment="1"/>
    <xf numFmtId="0" fontId="10" fillId="6" borderId="0" xfId="0" applyFont="1" applyFill="1" applyBorder="1" applyAlignment="1">
      <alignment horizontal="left"/>
    </xf>
    <xf numFmtId="0" fontId="25" fillId="0" borderId="0" xfId="0" applyFont="1" applyAlignment="1">
      <alignment horizontal="left"/>
    </xf>
    <xf numFmtId="3" fontId="0" fillId="0" borderId="0" xfId="0" applyNumberFormat="1" applyFont="1" applyAlignment="1"/>
    <xf numFmtId="0" fontId="24" fillId="0" borderId="0" xfId="0" applyFont="1" applyAlignment="1">
      <alignment horizontal="left"/>
    </xf>
    <xf numFmtId="0" fontId="9" fillId="5" borderId="9" xfId="0" applyFont="1" applyFill="1" applyBorder="1" applyAlignment="1">
      <alignment horizontal="left"/>
    </xf>
    <xf numFmtId="0" fontId="18" fillId="5" borderId="9" xfId="0" applyFont="1" applyFill="1" applyBorder="1" applyAlignment="1">
      <alignment horizontal="left"/>
    </xf>
    <xf numFmtId="0" fontId="0" fillId="0" borderId="0" xfId="0" applyFont="1" applyBorder="1" applyAlignment="1"/>
    <xf numFmtId="11" fontId="0" fillId="0" borderId="0" xfId="0" applyNumberFormat="1" applyFont="1" applyAlignment="1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164" fontId="27" fillId="0" borderId="0" xfId="0" applyNumberFormat="1" applyFont="1" applyFill="1" applyAlignment="1">
      <alignment horizontal="left"/>
    </xf>
    <xf numFmtId="164" fontId="24" fillId="0" borderId="0" xfId="0" applyNumberFormat="1" applyFont="1" applyFill="1" applyAlignment="1">
      <alignment horizontal="left"/>
    </xf>
    <xf numFmtId="164" fontId="5" fillId="0" borderId="0" xfId="0" applyNumberFormat="1" applyFont="1" applyFill="1"/>
    <xf numFmtId="0" fontId="14" fillId="2" borderId="6" xfId="0" applyFont="1" applyFill="1" applyBorder="1" applyAlignment="1">
      <alignment vertical="center"/>
    </xf>
    <xf numFmtId="0" fontId="14" fillId="2" borderId="11" xfId="0" applyFont="1" applyFill="1" applyBorder="1" applyAlignment="1">
      <alignment vertical="center"/>
    </xf>
    <xf numFmtId="0" fontId="26" fillId="10" borderId="12" xfId="0" applyFont="1" applyFill="1" applyBorder="1" applyAlignment="1">
      <alignment horizontal="left" wrapText="1"/>
    </xf>
    <xf numFmtId="0" fontId="26" fillId="10" borderId="12" xfId="0" applyFont="1" applyFill="1" applyBorder="1" applyAlignment="1">
      <alignment horizontal="left"/>
    </xf>
    <xf numFmtId="0" fontId="28" fillId="0" borderId="0" xfId="0" applyFont="1" applyAlignment="1"/>
    <xf numFmtId="0" fontId="29" fillId="0" borderId="0" xfId="0" applyFont="1" applyAlignment="1"/>
    <xf numFmtId="0" fontId="30" fillId="0" borderId="0" xfId="0" applyFont="1" applyAlignment="1"/>
    <xf numFmtId="11" fontId="28" fillId="0" borderId="0" xfId="0" applyNumberFormat="1" applyFont="1" applyAlignment="1"/>
    <xf numFmtId="0" fontId="28" fillId="10" borderId="1" xfId="0" applyFont="1" applyFill="1" applyBorder="1" applyAlignment="1"/>
    <xf numFmtId="0" fontId="29" fillId="10" borderId="1" xfId="0" applyFont="1" applyFill="1" applyBorder="1" applyAlignment="1"/>
    <xf numFmtId="0" fontId="30" fillId="10" borderId="1" xfId="0" applyFont="1" applyFill="1" applyBorder="1" applyAlignment="1"/>
    <xf numFmtId="3" fontId="10" fillId="0" borderId="0" xfId="0" applyNumberFormat="1" applyFont="1" applyAlignment="1">
      <alignment horizontal="left"/>
    </xf>
    <xf numFmtId="0" fontId="7" fillId="2" borderId="0" xfId="0" applyFont="1" applyFill="1" applyBorder="1" applyAlignment="1">
      <alignment horizontal="left"/>
    </xf>
    <xf numFmtId="0" fontId="8" fillId="4" borderId="0" xfId="0" applyFont="1" applyFill="1" applyBorder="1"/>
    <xf numFmtId="0" fontId="3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7" fillId="2" borderId="0" xfId="0" applyFont="1" applyFill="1" applyBorder="1" applyAlignment="1">
      <alignment horizontal="left" wrapText="1"/>
    </xf>
    <xf numFmtId="3" fontId="3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left" wrapText="1"/>
    </xf>
    <xf numFmtId="0" fontId="0" fillId="0" borderId="0" xfId="0" applyFont="1" applyAlignment="1"/>
    <xf numFmtId="0" fontId="10" fillId="0" borderId="0" xfId="0" applyFont="1" applyAlignment="1">
      <alignment horizontal="left"/>
    </xf>
    <xf numFmtId="0" fontId="14" fillId="2" borderId="1" xfId="0" applyFont="1" applyFill="1" applyBorder="1" applyAlignment="1">
      <alignment horizontal="left"/>
    </xf>
    <xf numFmtId="0" fontId="14" fillId="2" borderId="5" xfId="0" applyFont="1" applyFill="1" applyBorder="1" applyAlignment="1">
      <alignment horizontal="left"/>
    </xf>
    <xf numFmtId="0" fontId="9" fillId="5" borderId="1" xfId="0" applyFont="1" applyFill="1" applyBorder="1" applyAlignment="1">
      <alignment horizontal="left"/>
    </xf>
    <xf numFmtId="0" fontId="13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0" fillId="0" borderId="0" xfId="0" applyFont="1" applyAlignment="1">
      <alignment horizontal="left" vertical="center"/>
    </xf>
    <xf numFmtId="0" fontId="10" fillId="0" borderId="0" xfId="0" applyFont="1" applyBorder="1" applyAlignment="1">
      <alignment horizontal="left" vertical="center"/>
    </xf>
    <xf numFmtId="0" fontId="14" fillId="2" borderId="2" xfId="0" applyFont="1" applyFill="1" applyBorder="1" applyAlignment="1">
      <alignment horizontal="left"/>
    </xf>
    <xf numFmtId="0" fontId="14" fillId="2" borderId="3" xfId="0" applyFont="1" applyFill="1" applyBorder="1" applyAlignment="1">
      <alignment horizontal="left"/>
    </xf>
    <xf numFmtId="0" fontId="14" fillId="2" borderId="4" xfId="0" applyFont="1" applyFill="1" applyBorder="1" applyAlignment="1">
      <alignment horizontal="left"/>
    </xf>
    <xf numFmtId="0" fontId="12" fillId="0" borderId="0" xfId="0" applyFont="1" applyAlignment="1">
      <alignment horizontal="left"/>
    </xf>
    <xf numFmtId="0" fontId="14" fillId="2" borderId="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2" borderId="4" xfId="0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/>
    </xf>
    <xf numFmtId="0" fontId="9" fillId="5" borderId="3" xfId="0" applyFont="1" applyFill="1" applyBorder="1" applyAlignment="1">
      <alignment horizontal="left"/>
    </xf>
    <xf numFmtId="0" fontId="9" fillId="5" borderId="4" xfId="0" applyFont="1" applyFill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10" fillId="0" borderId="6" xfId="0" applyFont="1" applyBorder="1" applyAlignment="1">
      <alignment horizontal="left"/>
    </xf>
    <xf numFmtId="0" fontId="10" fillId="0" borderId="0" xfId="0" applyFont="1" applyAlignment="1"/>
    <xf numFmtId="0" fontId="14" fillId="2" borderId="8" xfId="0" applyFont="1" applyFill="1" applyBorder="1" applyAlignment="1">
      <alignment horizontal="left" vertical="center"/>
    </xf>
    <xf numFmtId="0" fontId="10" fillId="7" borderId="0" xfId="0" applyFont="1" applyFill="1" applyAlignment="1">
      <alignment horizontal="center"/>
    </xf>
    <xf numFmtId="0" fontId="10" fillId="7" borderId="7" xfId="0" applyFont="1" applyFill="1" applyBorder="1" applyAlignment="1">
      <alignment horizontal="center"/>
    </xf>
    <xf numFmtId="0" fontId="14" fillId="2" borderId="13" xfId="0" applyFont="1" applyFill="1" applyBorder="1" applyAlignment="1">
      <alignment horizontal="left" vertical="center"/>
    </xf>
    <xf numFmtId="0" fontId="14" fillId="2" borderId="14" xfId="0" applyFont="1" applyFill="1" applyBorder="1" applyAlignment="1">
      <alignment horizontal="left" vertical="center"/>
    </xf>
    <xf numFmtId="0" fontId="0" fillId="0" borderId="0" xfId="0" applyFont="1" applyBorder="1" applyAlignment="1">
      <alignment horizontal="center"/>
    </xf>
    <xf numFmtId="0" fontId="9" fillId="5" borderId="10" xfId="0" applyFont="1" applyFill="1" applyBorder="1" applyAlignment="1">
      <alignment horizontal="left"/>
    </xf>
    <xf numFmtId="0" fontId="9" fillId="5" borderId="6" xfId="0" applyFont="1" applyFill="1" applyBorder="1" applyAlignment="1">
      <alignment horizontal="left"/>
    </xf>
    <xf numFmtId="0" fontId="9" fillId="5" borderId="11" xfId="0" applyFont="1" applyFill="1" applyBorder="1" applyAlignment="1">
      <alignment horizontal="left"/>
    </xf>
    <xf numFmtId="0" fontId="0" fillId="0" borderId="0" xfId="0" applyFont="1" applyAlignment="1">
      <alignment horizontal="center"/>
    </xf>
    <xf numFmtId="0" fontId="0" fillId="0" borderId="6" xfId="0" applyFont="1" applyBorder="1" applyAlignment="1">
      <alignment horizontal="center"/>
    </xf>
  </cellXfs>
  <cellStyles count="42">
    <cellStyle name="Followed Hyperlink" xfId="1" builtinId="9" hidden="1"/>
    <cellStyle name="Followed Hyperlink" xfId="2" builtinId="9" hidden="1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190500</xdr:rowOff>
    </xdr:from>
    <xdr:to>
      <xdr:col>3</xdr:col>
      <xdr:colOff>352425</xdr:colOff>
      <xdr:row>34</xdr:row>
      <xdr:rowOff>0</xdr:rowOff>
    </xdr:to>
    <xdr:pic>
      <xdr:nvPicPr>
        <xdr:cNvPr id="2" name="image01.jpg" title="Image"/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4667250" cy="2857500"/>
        </a:xfrm>
        <a:prstGeom prst="rect">
          <a:avLst/>
        </a:prstGeom>
        <a:noFill/>
      </xdr:spPr>
    </xdr:pic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fighter-planes.com/jetmach1.htm" TargetMode="External"/><Relationship Id="rId4" Type="http://schemas.openxmlformats.org/officeDocument/2006/relationships/hyperlink" Target="http://www.fighter-planes.com/jetmach1.htm" TargetMode="External"/><Relationship Id="rId1" Type="http://schemas.openxmlformats.org/officeDocument/2006/relationships/hyperlink" Target="http://www.fighter-planes.com/jetmach1.htm" TargetMode="External"/><Relationship Id="rId2" Type="http://schemas.openxmlformats.org/officeDocument/2006/relationships/hyperlink" Target="http://www.fighter-planes.com/jetmach1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H55"/>
  <sheetViews>
    <sheetView zoomScale="150" zoomScaleNormal="150" zoomScalePageLayoutView="150" workbookViewId="0">
      <selection activeCell="B7" sqref="B7:F7"/>
    </sheetView>
  </sheetViews>
  <sheetFormatPr baseColWidth="10" defaultColWidth="15.1640625" defaultRowHeight="15" customHeight="1" x14ac:dyDescent="0.2"/>
  <cols>
    <col min="1" max="1" width="34.6640625" customWidth="1"/>
    <col min="3" max="3" width="6.6640625" customWidth="1"/>
    <col min="4" max="4" width="6.1640625" customWidth="1"/>
    <col min="5" max="5" width="8" customWidth="1"/>
    <col min="6" max="6" width="7.83203125" customWidth="1"/>
    <col min="7" max="7" width="8.33203125" customWidth="1"/>
  </cols>
  <sheetData>
    <row r="1" spans="1:8" x14ac:dyDescent="0.2">
      <c r="A1" s="11" t="s">
        <v>0</v>
      </c>
      <c r="B1" s="1"/>
      <c r="C1" s="1"/>
      <c r="D1" s="2"/>
      <c r="E1" s="2"/>
      <c r="F1" s="2"/>
      <c r="G1" s="2"/>
    </row>
    <row r="2" spans="1:8" x14ac:dyDescent="0.2">
      <c r="A2" s="91" t="s">
        <v>1</v>
      </c>
      <c r="B2" s="92"/>
      <c r="C2" s="92"/>
      <c r="D2" s="92"/>
      <c r="E2" s="92"/>
      <c r="F2" s="92"/>
      <c r="G2" s="2"/>
      <c r="H2" s="7"/>
    </row>
    <row r="3" spans="1:8" x14ac:dyDescent="0.2">
      <c r="A3" s="4" t="s">
        <v>3</v>
      </c>
      <c r="B3" s="93" t="s">
        <v>4</v>
      </c>
      <c r="C3" s="94"/>
      <c r="D3" s="94"/>
      <c r="E3" s="94"/>
      <c r="F3" s="94"/>
      <c r="G3" s="2"/>
    </row>
    <row r="4" spans="1:8" x14ac:dyDescent="0.2">
      <c r="A4" s="2"/>
      <c r="B4" s="93" t="s">
        <v>12</v>
      </c>
      <c r="C4" s="93"/>
      <c r="D4" s="93"/>
      <c r="E4" s="93"/>
      <c r="F4" s="93"/>
      <c r="G4" s="2"/>
    </row>
    <row r="5" spans="1:8" x14ac:dyDescent="0.2">
      <c r="A5" s="4" t="s">
        <v>18</v>
      </c>
      <c r="B5" s="93" t="s">
        <v>19</v>
      </c>
      <c r="C5" s="93"/>
      <c r="D5" s="93"/>
      <c r="E5" s="93"/>
      <c r="F5" s="93"/>
      <c r="G5" s="2"/>
    </row>
    <row r="6" spans="1:8" x14ac:dyDescent="0.2">
      <c r="A6" s="2"/>
      <c r="B6" s="93" t="s">
        <v>24</v>
      </c>
      <c r="C6" s="93"/>
      <c r="D6" s="93"/>
      <c r="E6" s="93"/>
      <c r="F6" s="93"/>
      <c r="G6" s="2"/>
    </row>
    <row r="7" spans="1:8" x14ac:dyDescent="0.2">
      <c r="A7" s="4" t="s">
        <v>36</v>
      </c>
      <c r="B7" s="96">
        <v>4500</v>
      </c>
      <c r="C7" s="96"/>
      <c r="D7" s="96"/>
      <c r="E7" s="96"/>
      <c r="F7" s="96"/>
      <c r="G7" s="2"/>
    </row>
    <row r="8" spans="1:8" x14ac:dyDescent="0.2">
      <c r="A8" s="4" t="s">
        <v>51</v>
      </c>
      <c r="B8" s="93" t="s">
        <v>52</v>
      </c>
      <c r="C8" s="93"/>
      <c r="D8" s="93"/>
      <c r="E8" s="93"/>
      <c r="F8" s="93"/>
      <c r="G8" s="2"/>
    </row>
    <row r="9" spans="1:8" x14ac:dyDescent="0.2">
      <c r="A9" s="4" t="s">
        <v>56</v>
      </c>
      <c r="B9" s="93" t="s">
        <v>57</v>
      </c>
      <c r="C9" s="93"/>
      <c r="D9" s="93"/>
      <c r="E9" s="93"/>
      <c r="F9" s="93"/>
      <c r="G9" s="2"/>
    </row>
    <row r="10" spans="1:8" x14ac:dyDescent="0.2">
      <c r="A10" s="4" t="s">
        <v>62</v>
      </c>
      <c r="B10" s="93">
        <v>1.9</v>
      </c>
      <c r="C10" s="93"/>
      <c r="D10" s="93"/>
      <c r="E10" s="93"/>
      <c r="F10" s="93"/>
      <c r="G10" s="2"/>
    </row>
    <row r="11" spans="1:8" x14ac:dyDescent="0.2">
      <c r="A11" s="4" t="s">
        <v>66</v>
      </c>
      <c r="B11" s="93" t="s">
        <v>133</v>
      </c>
      <c r="C11" s="93"/>
      <c r="D11" s="93"/>
      <c r="E11" s="93"/>
      <c r="F11" s="93"/>
      <c r="G11" s="2"/>
    </row>
    <row r="12" spans="1:8" x14ac:dyDescent="0.2">
      <c r="A12" s="4" t="s">
        <v>71</v>
      </c>
      <c r="B12" s="96" t="s">
        <v>134</v>
      </c>
      <c r="C12" s="96"/>
      <c r="D12" s="96"/>
      <c r="E12" s="96"/>
      <c r="F12" s="96"/>
      <c r="G12" s="2"/>
    </row>
    <row r="13" spans="1:8" x14ac:dyDescent="0.2">
      <c r="A13" s="97" t="s">
        <v>75</v>
      </c>
      <c r="B13" s="96" t="s">
        <v>135</v>
      </c>
      <c r="C13" s="96"/>
      <c r="D13" s="96"/>
      <c r="E13" s="96"/>
      <c r="F13" s="96"/>
      <c r="G13" s="2"/>
    </row>
    <row r="14" spans="1:8" x14ac:dyDescent="0.2">
      <c r="A14" s="98"/>
      <c r="B14" s="96"/>
      <c r="C14" s="96"/>
      <c r="D14" s="96"/>
      <c r="E14" s="96"/>
      <c r="F14" s="96"/>
      <c r="G14" s="2"/>
    </row>
    <row r="15" spans="1:8" x14ac:dyDescent="0.2">
      <c r="A15" s="97" t="s">
        <v>80</v>
      </c>
      <c r="B15" s="2"/>
      <c r="C15" s="2"/>
      <c r="D15" s="2"/>
      <c r="E15" s="2"/>
      <c r="F15" s="2"/>
      <c r="G15" s="2"/>
    </row>
    <row r="16" spans="1:8" x14ac:dyDescent="0.2">
      <c r="A16" s="98"/>
      <c r="B16" s="2"/>
      <c r="C16" s="2"/>
      <c r="D16" s="2"/>
      <c r="E16" s="2"/>
      <c r="F16" s="2"/>
      <c r="G16" s="2"/>
    </row>
    <row r="17" spans="1:8" x14ac:dyDescent="0.2">
      <c r="A17" s="2"/>
      <c r="B17" s="2"/>
      <c r="C17" s="2"/>
      <c r="D17" s="2"/>
      <c r="E17" s="2"/>
      <c r="F17" s="2"/>
      <c r="G17" s="2"/>
      <c r="H17" s="6"/>
    </row>
    <row r="18" spans="1:8" x14ac:dyDescent="0.2">
      <c r="A18" s="95" t="s">
        <v>84</v>
      </c>
      <c r="B18" s="2"/>
      <c r="C18" s="2"/>
      <c r="D18" s="2"/>
      <c r="E18" s="5"/>
      <c r="F18" s="2"/>
      <c r="G18" s="2"/>
    </row>
    <row r="19" spans="1:8" x14ac:dyDescent="0.2">
      <c r="A19" s="92"/>
      <c r="B19" s="2"/>
      <c r="C19" s="2"/>
      <c r="D19" s="2"/>
      <c r="E19" s="2"/>
      <c r="F19" s="2"/>
      <c r="G19" s="2"/>
    </row>
    <row r="20" spans="1:8" x14ac:dyDescent="0.2">
      <c r="B20" s="2"/>
      <c r="C20" s="2"/>
      <c r="D20" s="2"/>
      <c r="E20" s="2"/>
      <c r="F20" s="2"/>
      <c r="G20" s="2"/>
    </row>
    <row r="21" spans="1:8" x14ac:dyDescent="0.2">
      <c r="A21" s="8"/>
      <c r="B21" s="8"/>
      <c r="C21" s="8"/>
      <c r="D21" s="8"/>
      <c r="F21" s="3"/>
    </row>
    <row r="22" spans="1:8" x14ac:dyDescent="0.2">
      <c r="A22" s="8"/>
      <c r="B22" s="8"/>
      <c r="C22" s="8"/>
      <c r="D22" s="8"/>
      <c r="F22" s="3"/>
    </row>
    <row r="23" spans="1:8" x14ac:dyDescent="0.2">
      <c r="A23" s="8"/>
      <c r="B23" s="8"/>
      <c r="C23" s="8"/>
      <c r="D23" s="8"/>
      <c r="F23" s="3"/>
    </row>
    <row r="24" spans="1:8" x14ac:dyDescent="0.2">
      <c r="A24" s="8"/>
      <c r="B24" s="8"/>
      <c r="C24" s="8"/>
      <c r="D24" s="8"/>
      <c r="F24" s="3"/>
    </row>
    <row r="25" spans="1:8" x14ac:dyDescent="0.2">
      <c r="A25" s="8"/>
      <c r="B25" s="8"/>
      <c r="C25" s="8"/>
      <c r="D25" s="8"/>
      <c r="F25" s="3"/>
    </row>
    <row r="26" spans="1:8" x14ac:dyDescent="0.2">
      <c r="A26" s="8"/>
      <c r="B26" s="8"/>
      <c r="C26" s="8"/>
      <c r="D26" s="8"/>
      <c r="F26" s="3"/>
    </row>
    <row r="27" spans="1:8" x14ac:dyDescent="0.2">
      <c r="A27" s="8"/>
      <c r="B27" s="8"/>
      <c r="C27" s="8"/>
      <c r="D27" s="8"/>
      <c r="F27" s="3"/>
    </row>
    <row r="28" spans="1:8" x14ac:dyDescent="0.2">
      <c r="A28" s="8"/>
      <c r="B28" s="8"/>
      <c r="C28" s="8"/>
      <c r="D28" s="8"/>
      <c r="F28" s="3"/>
    </row>
    <row r="29" spans="1:8" x14ac:dyDescent="0.2">
      <c r="A29" s="8"/>
      <c r="B29" s="8"/>
      <c r="C29" s="8"/>
      <c r="D29" s="8"/>
      <c r="F29" s="3"/>
    </row>
    <row r="30" spans="1:8" x14ac:dyDescent="0.2">
      <c r="A30" s="8"/>
      <c r="B30" s="8"/>
      <c r="C30" s="8"/>
      <c r="D30" s="8"/>
      <c r="F30" s="3"/>
    </row>
    <row r="31" spans="1:8" x14ac:dyDescent="0.2">
      <c r="A31" s="8"/>
      <c r="B31" s="8"/>
      <c r="C31" s="8"/>
      <c r="D31" s="8"/>
      <c r="F31" s="3"/>
    </row>
    <row r="32" spans="1:8" x14ac:dyDescent="0.2">
      <c r="A32" s="8"/>
      <c r="B32" s="8"/>
      <c r="C32" s="8"/>
      <c r="D32" s="8"/>
      <c r="F32" s="3"/>
    </row>
    <row r="33" spans="1:6" x14ac:dyDescent="0.2">
      <c r="A33" s="8"/>
      <c r="B33" s="8"/>
      <c r="C33" s="8"/>
      <c r="D33" s="8"/>
      <c r="F33" s="3"/>
    </row>
    <row r="34" spans="1:6" x14ac:dyDescent="0.2">
      <c r="A34" s="8"/>
      <c r="B34" s="8"/>
      <c r="C34" s="8"/>
      <c r="D34" s="8"/>
      <c r="F34" s="3"/>
    </row>
    <row r="35" spans="1:6" x14ac:dyDescent="0.2">
      <c r="A35" s="8"/>
      <c r="B35" s="8"/>
      <c r="C35" s="8"/>
      <c r="D35" s="8"/>
      <c r="F35" s="3"/>
    </row>
    <row r="36" spans="1:6" x14ac:dyDescent="0.2">
      <c r="A36" s="8"/>
      <c r="B36" s="8"/>
      <c r="C36" s="8"/>
      <c r="D36" s="8"/>
      <c r="F36" s="3"/>
    </row>
    <row r="37" spans="1:6" x14ac:dyDescent="0.2">
      <c r="A37" s="3"/>
      <c r="B37" s="3"/>
      <c r="F37" s="3"/>
    </row>
    <row r="38" spans="1:6" x14ac:dyDescent="0.2">
      <c r="A38" s="3"/>
      <c r="B38" s="3"/>
      <c r="F38" s="3"/>
    </row>
    <row r="39" spans="1:6" x14ac:dyDescent="0.2">
      <c r="A39" s="3"/>
      <c r="B39" s="3"/>
      <c r="F39" s="3"/>
    </row>
    <row r="40" spans="1:6" x14ac:dyDescent="0.2">
      <c r="A40" s="3"/>
      <c r="B40" s="3"/>
      <c r="F40" s="3"/>
    </row>
    <row r="41" spans="1:6" x14ac:dyDescent="0.2">
      <c r="A41" s="3"/>
      <c r="B41" s="3"/>
      <c r="F41" s="3"/>
    </row>
    <row r="42" spans="1:6" x14ac:dyDescent="0.2">
      <c r="A42" s="3"/>
      <c r="B42" s="3"/>
      <c r="F42" s="3"/>
    </row>
    <row r="43" spans="1:6" x14ac:dyDescent="0.2">
      <c r="A43" s="3"/>
      <c r="B43" s="3"/>
      <c r="F43" s="3"/>
    </row>
    <row r="44" spans="1:6" x14ac:dyDescent="0.2">
      <c r="A44" s="3"/>
      <c r="B44" s="3"/>
      <c r="F44" s="3"/>
    </row>
    <row r="45" spans="1:6" x14ac:dyDescent="0.2">
      <c r="A45" s="3"/>
      <c r="B45" s="3"/>
      <c r="F45" s="3"/>
    </row>
    <row r="46" spans="1:6" x14ac:dyDescent="0.2">
      <c r="A46" s="3"/>
      <c r="B46" s="3"/>
      <c r="F46" s="3"/>
    </row>
    <row r="47" spans="1:6" x14ac:dyDescent="0.2">
      <c r="A47" s="3"/>
      <c r="B47" s="3"/>
      <c r="F47" s="3"/>
    </row>
    <row r="48" spans="1:6" x14ac:dyDescent="0.2">
      <c r="A48" s="3"/>
      <c r="B48" s="3"/>
      <c r="F48" s="3"/>
    </row>
    <row r="49" spans="1:6" x14ac:dyDescent="0.2">
      <c r="A49" s="3"/>
      <c r="B49" s="3"/>
      <c r="F49" s="3"/>
    </row>
    <row r="50" spans="1:6" x14ac:dyDescent="0.2">
      <c r="A50" s="3"/>
      <c r="B50" s="3"/>
      <c r="F50" s="3"/>
    </row>
    <row r="51" spans="1:6" x14ac:dyDescent="0.2">
      <c r="A51" s="3"/>
      <c r="B51" s="3"/>
      <c r="F51" s="3"/>
    </row>
    <row r="52" spans="1:6" x14ac:dyDescent="0.2">
      <c r="A52" s="3"/>
      <c r="B52" s="3"/>
      <c r="F52" s="3"/>
    </row>
    <row r="53" spans="1:6" x14ac:dyDescent="0.2">
      <c r="A53" s="3"/>
      <c r="B53" s="3"/>
      <c r="F53" s="3"/>
    </row>
    <row r="54" spans="1:6" x14ac:dyDescent="0.2">
      <c r="A54" s="3"/>
      <c r="B54" s="3"/>
      <c r="F54" s="3"/>
    </row>
    <row r="55" spans="1:6" x14ac:dyDescent="0.2">
      <c r="A55" s="3"/>
      <c r="B55" s="3"/>
      <c r="F55" s="3"/>
    </row>
  </sheetData>
  <mergeCells count="15">
    <mergeCell ref="A2:F2"/>
    <mergeCell ref="B3:F3"/>
    <mergeCell ref="B4:F4"/>
    <mergeCell ref="A18:A19"/>
    <mergeCell ref="B6:F6"/>
    <mergeCell ref="B7:F7"/>
    <mergeCell ref="B8:F8"/>
    <mergeCell ref="B9:F9"/>
    <mergeCell ref="B10:F10"/>
    <mergeCell ref="B11:F11"/>
    <mergeCell ref="B12:F12"/>
    <mergeCell ref="B13:F14"/>
    <mergeCell ref="A13:A14"/>
    <mergeCell ref="A15:A16"/>
    <mergeCell ref="B5:F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68"/>
  <sheetViews>
    <sheetView zoomScale="90" zoomScaleNormal="90" zoomScalePageLayoutView="90" workbookViewId="0">
      <selection activeCell="C14" sqref="C14"/>
    </sheetView>
  </sheetViews>
  <sheetFormatPr baseColWidth="10" defaultColWidth="15.1640625" defaultRowHeight="18" customHeight="1" x14ac:dyDescent="0.2"/>
  <cols>
    <col min="1" max="1" width="51" style="9" customWidth="1"/>
    <col min="2" max="2" width="19.33203125" style="9" customWidth="1"/>
    <col min="3" max="3" width="15.1640625" style="9"/>
    <col min="4" max="4" width="2" style="38" customWidth="1"/>
    <col min="5" max="5" width="15.1640625" style="9"/>
    <col min="6" max="6" width="34.1640625" style="9" customWidth="1"/>
    <col min="7" max="7" width="53.83203125" style="33" customWidth="1"/>
    <col min="8" max="16384" width="15.1640625" style="9"/>
  </cols>
  <sheetData>
    <row r="1" spans="1:12" ht="22" customHeight="1" x14ac:dyDescent="0.25">
      <c r="A1" s="108" t="s">
        <v>2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10"/>
    </row>
    <row r="2" spans="1:12" ht="18" customHeight="1" x14ac:dyDescent="0.2">
      <c r="A2" s="23" t="s">
        <v>5</v>
      </c>
      <c r="B2" s="23" t="s">
        <v>97</v>
      </c>
      <c r="C2" s="24" t="s">
        <v>7</v>
      </c>
      <c r="D2" s="43" t="s">
        <v>126</v>
      </c>
      <c r="E2" s="24" t="s">
        <v>8</v>
      </c>
      <c r="F2" s="24" t="s">
        <v>9</v>
      </c>
      <c r="G2" s="31" t="s">
        <v>10</v>
      </c>
      <c r="H2" s="102" t="s">
        <v>11</v>
      </c>
      <c r="I2" s="102"/>
      <c r="J2" s="102"/>
      <c r="K2" s="102"/>
      <c r="L2" s="102"/>
    </row>
    <row r="3" spans="1:12" ht="18" customHeight="1" x14ac:dyDescent="0.2">
      <c r="A3" s="12" t="s">
        <v>13</v>
      </c>
      <c r="B3" s="12" t="s">
        <v>98</v>
      </c>
      <c r="C3" s="59">
        <v>110</v>
      </c>
      <c r="D3" s="19" t="s">
        <v>126</v>
      </c>
      <c r="E3" s="12" t="s">
        <v>146</v>
      </c>
      <c r="F3" s="12" t="s">
        <v>14</v>
      </c>
      <c r="G3" s="29" t="s">
        <v>138</v>
      </c>
      <c r="H3" s="99" t="s">
        <v>15</v>
      </c>
      <c r="I3" s="99"/>
      <c r="J3" s="99"/>
      <c r="K3" s="99"/>
      <c r="L3" s="99"/>
    </row>
    <row r="4" spans="1:12" ht="18" customHeight="1" x14ac:dyDescent="0.2">
      <c r="A4" s="15" t="s">
        <v>16</v>
      </c>
      <c r="B4" s="15" t="s">
        <v>99</v>
      </c>
      <c r="C4" s="59">
        <v>72445</v>
      </c>
      <c r="D4" s="19" t="s">
        <v>126</v>
      </c>
      <c r="E4" s="12" t="s">
        <v>17</v>
      </c>
      <c r="F4" s="12" t="s">
        <v>14</v>
      </c>
      <c r="G4" s="29" t="s">
        <v>138</v>
      </c>
      <c r="H4" s="99" t="s">
        <v>15</v>
      </c>
      <c r="I4" s="99"/>
      <c r="J4" s="99"/>
      <c r="K4" s="99"/>
      <c r="L4" s="99"/>
    </row>
    <row r="5" spans="1:12" ht="18" customHeight="1" x14ac:dyDescent="0.2">
      <c r="A5" s="12" t="s">
        <v>20</v>
      </c>
      <c r="B5" s="12" t="s">
        <v>100</v>
      </c>
      <c r="C5" s="60">
        <v>1040</v>
      </c>
      <c r="D5" s="19" t="s">
        <v>126</v>
      </c>
      <c r="E5" s="12" t="s">
        <v>147</v>
      </c>
      <c r="F5" s="12" t="s">
        <v>21</v>
      </c>
      <c r="G5" s="29" t="s">
        <v>22</v>
      </c>
      <c r="H5" s="99" t="s">
        <v>23</v>
      </c>
      <c r="I5" s="99"/>
      <c r="J5" s="99"/>
      <c r="K5" s="99"/>
      <c r="L5" s="99"/>
    </row>
    <row r="6" spans="1:12" ht="18" customHeight="1" x14ac:dyDescent="0.2">
      <c r="A6" s="12" t="s">
        <v>25</v>
      </c>
      <c r="B6" s="12" t="s">
        <v>101</v>
      </c>
      <c r="C6" s="60">
        <f>C7^2/C5</f>
        <v>0.86954344615384604</v>
      </c>
      <c r="D6" s="19" t="s">
        <v>126</v>
      </c>
      <c r="E6" s="12" t="s">
        <v>105</v>
      </c>
      <c r="F6" s="12" t="s">
        <v>6</v>
      </c>
      <c r="G6" s="29" t="s">
        <v>148</v>
      </c>
      <c r="H6" s="106" t="s">
        <v>31</v>
      </c>
      <c r="I6" s="106"/>
      <c r="J6" s="106"/>
      <c r="K6" s="106"/>
      <c r="L6" s="106"/>
    </row>
    <row r="7" spans="1:12" ht="18" customHeight="1" x14ac:dyDescent="0.2">
      <c r="A7" s="12" t="s">
        <v>32</v>
      </c>
      <c r="B7" s="12" t="s">
        <v>479</v>
      </c>
      <c r="C7" s="60">
        <f>C8</f>
        <v>30.071999999999999</v>
      </c>
      <c r="D7" s="19" t="s">
        <v>126</v>
      </c>
      <c r="E7" s="12" t="s">
        <v>105</v>
      </c>
      <c r="F7" s="12" t="s">
        <v>21</v>
      </c>
      <c r="G7" s="29" t="s">
        <v>480</v>
      </c>
      <c r="H7" s="106" t="s">
        <v>31</v>
      </c>
      <c r="I7" s="106"/>
      <c r="J7" s="106"/>
      <c r="K7" s="106"/>
      <c r="L7" s="106"/>
    </row>
    <row r="8" spans="1:12" ht="18" customHeight="1" x14ac:dyDescent="0.2">
      <c r="A8" s="12" t="s">
        <v>149</v>
      </c>
      <c r="B8" s="12" t="s">
        <v>103</v>
      </c>
      <c r="C8" s="61">
        <v>30.071999999999999</v>
      </c>
      <c r="D8" s="19" t="s">
        <v>126</v>
      </c>
      <c r="E8" s="12" t="s">
        <v>29</v>
      </c>
      <c r="F8" s="12" t="s">
        <v>21</v>
      </c>
      <c r="G8" s="28" t="s">
        <v>43</v>
      </c>
      <c r="H8" s="106" t="s">
        <v>31</v>
      </c>
      <c r="I8" s="106"/>
      <c r="J8" s="106"/>
      <c r="K8" s="106"/>
      <c r="L8" s="106"/>
    </row>
    <row r="9" spans="1:12" ht="18" customHeight="1" x14ac:dyDescent="0.2">
      <c r="A9" s="12" t="s">
        <v>47</v>
      </c>
      <c r="B9" s="12" t="s">
        <v>104</v>
      </c>
      <c r="C9" s="60">
        <f>C34/C33*C8</f>
        <v>3.9721970149253725</v>
      </c>
      <c r="D9" s="19" t="s">
        <v>126</v>
      </c>
      <c r="E9" s="12" t="s">
        <v>29</v>
      </c>
      <c r="F9" s="12" t="s">
        <v>48</v>
      </c>
      <c r="G9" s="28" t="s">
        <v>49</v>
      </c>
      <c r="H9" s="106" t="s">
        <v>50</v>
      </c>
      <c r="I9" s="106"/>
      <c r="J9" s="106"/>
      <c r="K9" s="106"/>
      <c r="L9" s="106"/>
    </row>
    <row r="10" spans="1:12" ht="18" customHeight="1" x14ac:dyDescent="0.2">
      <c r="A10" s="12" t="s">
        <v>53</v>
      </c>
      <c r="B10" s="12" t="s">
        <v>102</v>
      </c>
      <c r="C10" s="60">
        <f>0.679*C8</f>
        <v>20.418888000000003</v>
      </c>
      <c r="D10" s="19" t="s">
        <v>126</v>
      </c>
      <c r="E10" s="12" t="s">
        <v>29</v>
      </c>
      <c r="F10" s="12" t="s">
        <v>21</v>
      </c>
      <c r="G10" s="29" t="s">
        <v>150</v>
      </c>
      <c r="H10" s="106" t="s">
        <v>31</v>
      </c>
      <c r="I10" s="106"/>
      <c r="J10" s="106"/>
      <c r="K10" s="106"/>
      <c r="L10" s="106"/>
    </row>
    <row r="11" spans="1:12" ht="18" customHeight="1" x14ac:dyDescent="0.2">
      <c r="A11" s="12" t="s">
        <v>55</v>
      </c>
      <c r="B11" s="12" t="s">
        <v>107</v>
      </c>
      <c r="C11" s="60">
        <f>0.679*C9</f>
        <v>2.6971217731343282</v>
      </c>
      <c r="D11" s="19" t="s">
        <v>126</v>
      </c>
      <c r="E11" s="12" t="s">
        <v>105</v>
      </c>
      <c r="F11" s="12" t="s">
        <v>21</v>
      </c>
      <c r="G11" s="29" t="s">
        <v>151</v>
      </c>
      <c r="H11" s="106" t="s">
        <v>116</v>
      </c>
      <c r="I11" s="106"/>
      <c r="J11" s="106"/>
      <c r="K11" s="106"/>
      <c r="L11" s="106"/>
    </row>
    <row r="12" spans="1:12" ht="18" customHeight="1" x14ac:dyDescent="0.2">
      <c r="A12" s="12" t="s">
        <v>58</v>
      </c>
      <c r="B12" s="12" t="s">
        <v>106</v>
      </c>
      <c r="C12" s="60">
        <f>0.3886*C8</f>
        <v>11.6859792</v>
      </c>
      <c r="D12" s="19" t="s">
        <v>126</v>
      </c>
      <c r="E12" s="12" t="s">
        <v>29</v>
      </c>
      <c r="F12" s="12" t="s">
        <v>21</v>
      </c>
      <c r="G12" s="29" t="s">
        <v>152</v>
      </c>
      <c r="H12" s="99" t="s">
        <v>31</v>
      </c>
      <c r="I12" s="99"/>
      <c r="J12" s="99"/>
      <c r="K12" s="99"/>
      <c r="L12" s="99"/>
    </row>
    <row r="13" spans="1:12" ht="18" customHeight="1" x14ac:dyDescent="0.2">
      <c r="A13" s="12" t="s">
        <v>153</v>
      </c>
      <c r="B13" s="12" t="s">
        <v>108</v>
      </c>
      <c r="C13" s="13">
        <v>0.66749999999999998</v>
      </c>
      <c r="D13" s="19" t="s">
        <v>126</v>
      </c>
      <c r="E13" s="12" t="s">
        <v>59</v>
      </c>
      <c r="F13" s="12" t="s">
        <v>6</v>
      </c>
      <c r="G13" s="29" t="s">
        <v>138</v>
      </c>
      <c r="H13" s="99" t="s">
        <v>60</v>
      </c>
      <c r="I13" s="99"/>
      <c r="J13" s="99"/>
      <c r="K13" s="99"/>
      <c r="L13" s="99"/>
    </row>
    <row r="14" spans="1:12" ht="18" customHeight="1" x14ac:dyDescent="0.2">
      <c r="A14" s="12" t="s">
        <v>63</v>
      </c>
      <c r="B14" s="12" t="s">
        <v>109</v>
      </c>
      <c r="C14" s="59">
        <v>4.2889999999999997</v>
      </c>
      <c r="D14" s="19" t="s">
        <v>126</v>
      </c>
      <c r="E14" s="12" t="s">
        <v>54</v>
      </c>
      <c r="F14" s="12" t="s">
        <v>516</v>
      </c>
      <c r="G14" s="29" t="s">
        <v>138</v>
      </c>
      <c r="H14" s="99" t="s">
        <v>64</v>
      </c>
      <c r="I14" s="99"/>
      <c r="J14" s="99"/>
      <c r="K14" s="99"/>
      <c r="L14" s="99"/>
    </row>
    <row r="15" spans="1:12" ht="18" customHeight="1" x14ac:dyDescent="0.2">
      <c r="A15" s="12" t="s">
        <v>65</v>
      </c>
      <c r="B15" s="12" t="s">
        <v>110</v>
      </c>
      <c r="C15" s="13">
        <f>573.3502*1.68</f>
        <v>963.2283359999999</v>
      </c>
      <c r="D15" s="19" t="s">
        <v>126</v>
      </c>
      <c r="E15" s="12" t="s">
        <v>507</v>
      </c>
      <c r="F15" s="12" t="s">
        <v>6</v>
      </c>
      <c r="G15" s="29" t="s">
        <v>138</v>
      </c>
      <c r="H15" s="111" t="str">
        <f>HYPERLINK("http://www.fighter-planes.com/jetmach1.htm","http://www.fighter-planes.com/jetmach1.htm")</f>
        <v>http://www.fighter-planes.com/jetmach1.htm</v>
      </c>
      <c r="I15" s="111"/>
      <c r="J15" s="111"/>
      <c r="K15" s="111"/>
      <c r="L15" s="111"/>
    </row>
    <row r="16" spans="1:12" ht="18" customHeight="1" x14ac:dyDescent="0.2">
      <c r="A16" s="12" t="s">
        <v>67</v>
      </c>
      <c r="B16" s="12" t="s">
        <v>111</v>
      </c>
      <c r="C16" s="13">
        <f>1.6*C15</f>
        <v>1541.1653375999999</v>
      </c>
      <c r="D16" s="19" t="s">
        <v>126</v>
      </c>
      <c r="E16" s="12" t="s">
        <v>507</v>
      </c>
      <c r="F16" s="12" t="s">
        <v>21</v>
      </c>
      <c r="G16" s="29" t="s">
        <v>68</v>
      </c>
      <c r="H16" s="99" t="s">
        <v>23</v>
      </c>
      <c r="I16" s="99"/>
      <c r="J16" s="99"/>
      <c r="K16" s="99"/>
      <c r="L16" s="99"/>
    </row>
    <row r="17" spans="1:12" ht="18" customHeight="1" x14ac:dyDescent="0.2">
      <c r="A17" s="18" t="s">
        <v>69</v>
      </c>
      <c r="B17" s="18" t="s">
        <v>112</v>
      </c>
      <c r="C17" s="16">
        <f>1.8*661.47</f>
        <v>1190.6460000000002</v>
      </c>
      <c r="D17" s="19" t="s">
        <v>126</v>
      </c>
      <c r="E17" s="18" t="s">
        <v>507</v>
      </c>
      <c r="F17" s="18" t="s">
        <v>6</v>
      </c>
      <c r="G17" s="32" t="s">
        <v>138</v>
      </c>
      <c r="H17" s="103" t="s">
        <v>70</v>
      </c>
      <c r="I17" s="103"/>
      <c r="J17" s="103"/>
      <c r="K17" s="103"/>
      <c r="L17" s="103"/>
    </row>
    <row r="18" spans="1:12" ht="18" customHeight="1" x14ac:dyDescent="0.2">
      <c r="A18" s="18" t="s">
        <v>72</v>
      </c>
      <c r="B18" s="18" t="s">
        <v>113</v>
      </c>
      <c r="C18" s="16">
        <v>216.65</v>
      </c>
      <c r="D18" s="19" t="s">
        <v>126</v>
      </c>
      <c r="E18" s="18" t="s">
        <v>73</v>
      </c>
      <c r="F18" s="18" t="s">
        <v>6</v>
      </c>
      <c r="G18" s="32" t="s">
        <v>138</v>
      </c>
      <c r="H18" s="103" t="s">
        <v>70</v>
      </c>
      <c r="I18" s="103"/>
      <c r="J18" s="103"/>
      <c r="K18" s="103"/>
      <c r="L18" s="103"/>
    </row>
    <row r="19" spans="1:12" ht="18" customHeight="1" x14ac:dyDescent="0.2">
      <c r="A19" s="18" t="s">
        <v>74</v>
      </c>
      <c r="B19" s="18" t="s">
        <v>114</v>
      </c>
      <c r="C19" s="16">
        <v>288.14999999999998</v>
      </c>
      <c r="D19" s="19" t="s">
        <v>126</v>
      </c>
      <c r="E19" s="18" t="s">
        <v>73</v>
      </c>
      <c r="F19" s="18" t="s">
        <v>6</v>
      </c>
      <c r="G19" s="32" t="s">
        <v>138</v>
      </c>
      <c r="H19" s="103" t="s">
        <v>70</v>
      </c>
      <c r="I19" s="103"/>
      <c r="J19" s="103"/>
      <c r="K19" s="103"/>
      <c r="L19" s="103"/>
    </row>
    <row r="20" spans="1:12" ht="18" customHeight="1" x14ac:dyDescent="0.2">
      <c r="A20" s="27" t="s">
        <v>372</v>
      </c>
      <c r="B20" s="27" t="s">
        <v>373</v>
      </c>
      <c r="C20" s="35">
        <v>4.6200000000000001E-4</v>
      </c>
      <c r="D20" s="19" t="s">
        <v>126</v>
      </c>
      <c r="E20" s="27" t="s">
        <v>374</v>
      </c>
      <c r="F20" s="27" t="s">
        <v>375</v>
      </c>
      <c r="G20" s="32" t="s">
        <v>138</v>
      </c>
      <c r="H20" s="103"/>
      <c r="I20" s="103"/>
      <c r="J20" s="103"/>
      <c r="K20" s="103"/>
      <c r="L20" s="103"/>
    </row>
    <row r="21" spans="1:12" ht="18" customHeight="1" x14ac:dyDescent="0.2">
      <c r="A21" s="18" t="s">
        <v>194</v>
      </c>
      <c r="B21" s="18" t="s">
        <v>195</v>
      </c>
      <c r="C21" s="16">
        <v>3</v>
      </c>
      <c r="D21" s="19" t="s">
        <v>126</v>
      </c>
      <c r="E21" s="18" t="s">
        <v>105</v>
      </c>
      <c r="F21" s="18" t="s">
        <v>14</v>
      </c>
      <c r="G21" s="32" t="s">
        <v>138</v>
      </c>
      <c r="H21" s="104" t="s">
        <v>196</v>
      </c>
      <c r="I21" s="105"/>
      <c r="J21" s="105"/>
      <c r="K21" s="105"/>
      <c r="L21" s="105"/>
    </row>
    <row r="22" spans="1:12" ht="18" customHeight="1" x14ac:dyDescent="0.2">
      <c r="A22" s="18" t="s">
        <v>252</v>
      </c>
      <c r="B22" s="18" t="s">
        <v>253</v>
      </c>
      <c r="C22" s="16">
        <v>2445</v>
      </c>
      <c r="D22" s="19" t="s">
        <v>126</v>
      </c>
      <c r="E22" s="18" t="s">
        <v>224</v>
      </c>
      <c r="F22" s="18" t="s">
        <v>6</v>
      </c>
      <c r="G22" s="32" t="s">
        <v>138</v>
      </c>
      <c r="H22" s="104" t="s">
        <v>254</v>
      </c>
      <c r="I22" s="104"/>
      <c r="J22" s="104"/>
      <c r="K22" s="104"/>
      <c r="L22" s="104"/>
    </row>
    <row r="23" spans="1:12" ht="18" customHeight="1" x14ac:dyDescent="0.2">
      <c r="A23" s="18" t="s">
        <v>255</v>
      </c>
      <c r="B23" s="18" t="s">
        <v>124</v>
      </c>
      <c r="C23" s="16">
        <f>C22*C21</f>
        <v>7335</v>
      </c>
      <c r="D23" s="19" t="s">
        <v>126</v>
      </c>
      <c r="E23" s="18" t="s">
        <v>224</v>
      </c>
      <c r="F23" s="18" t="s">
        <v>6</v>
      </c>
      <c r="G23" s="32" t="s">
        <v>138</v>
      </c>
      <c r="H23" s="104" t="s">
        <v>254</v>
      </c>
      <c r="I23" s="104"/>
      <c r="J23" s="104"/>
      <c r="K23" s="104"/>
      <c r="L23" s="104"/>
    </row>
    <row r="24" spans="1:12" s="10" customFormat="1" ht="40" customHeight="1" x14ac:dyDescent="0.2">
      <c r="A24" s="17" t="s">
        <v>77</v>
      </c>
      <c r="B24" s="17" t="s">
        <v>115</v>
      </c>
      <c r="C24" s="19">
        <f>C4-C4/EXP(('Design Constraints'!B7/C17)/((1.6*C14)/(C13/SQRT(C18/C19))))</f>
        <v>25033.836589396917</v>
      </c>
      <c r="D24" s="19" t="s">
        <v>126</v>
      </c>
      <c r="E24" s="20" t="s">
        <v>17</v>
      </c>
      <c r="F24" s="20" t="s">
        <v>21</v>
      </c>
      <c r="G24" s="28" t="s">
        <v>78</v>
      </c>
      <c r="H24" s="106" t="s">
        <v>76</v>
      </c>
      <c r="I24" s="106"/>
      <c r="J24" s="106"/>
      <c r="K24" s="106"/>
      <c r="L24" s="106"/>
    </row>
    <row r="25" spans="1:12" ht="22" customHeight="1" x14ac:dyDescent="0.25">
      <c r="A25" s="100" t="s">
        <v>79</v>
      </c>
      <c r="B25" s="100"/>
      <c r="C25" s="100"/>
      <c r="D25" s="100"/>
      <c r="E25" s="100"/>
      <c r="F25" s="100"/>
      <c r="G25" s="100"/>
      <c r="H25" s="100"/>
      <c r="I25" s="100"/>
      <c r="J25" s="100"/>
      <c r="K25" s="100"/>
      <c r="L25" s="100"/>
    </row>
    <row r="26" spans="1:12" ht="18" customHeight="1" x14ac:dyDescent="0.2">
      <c r="A26" s="23" t="s">
        <v>5</v>
      </c>
      <c r="B26" s="23" t="s">
        <v>97</v>
      </c>
      <c r="C26" s="24" t="s">
        <v>7</v>
      </c>
      <c r="D26" s="43" t="s">
        <v>126</v>
      </c>
      <c r="E26" s="24" t="s">
        <v>8</v>
      </c>
      <c r="F26" s="24" t="s">
        <v>9</v>
      </c>
      <c r="G26" s="31" t="s">
        <v>10</v>
      </c>
      <c r="H26" s="102" t="s">
        <v>11</v>
      </c>
      <c r="I26" s="102"/>
      <c r="J26" s="102"/>
      <c r="K26" s="102"/>
      <c r="L26" s="102"/>
    </row>
    <row r="27" spans="1:12" ht="18" customHeight="1" x14ac:dyDescent="0.2">
      <c r="A27" s="12" t="s">
        <v>142</v>
      </c>
      <c r="B27" s="12" t="s">
        <v>115</v>
      </c>
      <c r="C27" s="22">
        <f>C24</f>
        <v>25033.836589396917</v>
      </c>
      <c r="D27" s="44" t="s">
        <v>126</v>
      </c>
      <c r="E27" s="12" t="s">
        <v>17</v>
      </c>
      <c r="F27" s="12" t="s">
        <v>81</v>
      </c>
      <c r="G27" s="28" t="s">
        <v>138</v>
      </c>
      <c r="H27" s="99" t="s">
        <v>138</v>
      </c>
      <c r="I27" s="99"/>
      <c r="J27" s="99"/>
      <c r="K27" s="99"/>
      <c r="L27" s="99"/>
    </row>
    <row r="28" spans="1:12" ht="18" customHeight="1" x14ac:dyDescent="0.2">
      <c r="A28" s="39" t="s">
        <v>470</v>
      </c>
      <c r="B28" s="39" t="s">
        <v>471</v>
      </c>
      <c r="C28" s="22">
        <f>C4 - (C4/(EXP(0.75/((1/C13)*4.289))))</f>
        <v>7981.1474633908001</v>
      </c>
      <c r="D28" s="44" t="s">
        <v>126</v>
      </c>
      <c r="E28" s="39" t="s">
        <v>224</v>
      </c>
      <c r="F28" s="39" t="s">
        <v>21</v>
      </c>
      <c r="G28" s="30" t="s">
        <v>472</v>
      </c>
      <c r="H28" s="99" t="s">
        <v>473</v>
      </c>
      <c r="I28" s="99"/>
      <c r="J28" s="99"/>
      <c r="K28" s="99"/>
      <c r="L28" s="99"/>
    </row>
    <row r="29" spans="1:12" ht="18" customHeight="1" x14ac:dyDescent="0.2">
      <c r="A29" s="12" t="s">
        <v>82</v>
      </c>
      <c r="B29" s="12" t="s">
        <v>117</v>
      </c>
      <c r="C29" s="22">
        <v>49.942999999999998</v>
      </c>
      <c r="D29" s="44" t="s">
        <v>126</v>
      </c>
      <c r="E29" s="12" t="s">
        <v>143</v>
      </c>
      <c r="F29" s="12" t="s">
        <v>83</v>
      </c>
      <c r="G29" s="28" t="s">
        <v>138</v>
      </c>
      <c r="H29" s="99" t="s">
        <v>83</v>
      </c>
      <c r="I29" s="99"/>
      <c r="J29" s="99"/>
      <c r="K29" s="99"/>
      <c r="L29" s="99"/>
    </row>
    <row r="30" spans="1:12" ht="18" customHeight="1" x14ac:dyDescent="0.2">
      <c r="A30" s="12" t="s">
        <v>85</v>
      </c>
      <c r="B30" s="12" t="s">
        <v>118</v>
      </c>
      <c r="C30" s="22">
        <f>C27/C29</f>
        <v>501.24815468427846</v>
      </c>
      <c r="D30" s="44" t="s">
        <v>126</v>
      </c>
      <c r="E30" s="12" t="s">
        <v>144</v>
      </c>
      <c r="F30" s="12" t="s">
        <v>145</v>
      </c>
      <c r="G30" s="29" t="s">
        <v>138</v>
      </c>
      <c r="H30" s="99" t="s">
        <v>138</v>
      </c>
      <c r="I30" s="99"/>
      <c r="J30" s="99"/>
      <c r="K30" s="99"/>
      <c r="L30" s="99"/>
    </row>
    <row r="31" spans="1:12" ht="22" customHeight="1" x14ac:dyDescent="0.25">
      <c r="A31" s="100" t="s">
        <v>86</v>
      </c>
      <c r="B31" s="100"/>
      <c r="C31" s="100"/>
      <c r="D31" s="100"/>
      <c r="E31" s="100"/>
      <c r="F31" s="100"/>
      <c r="G31" s="100"/>
      <c r="H31" s="100"/>
      <c r="I31" s="100"/>
      <c r="J31" s="100"/>
      <c r="K31" s="100"/>
      <c r="L31" s="100"/>
    </row>
    <row r="32" spans="1:12" ht="18" customHeight="1" x14ac:dyDescent="0.2">
      <c r="A32" s="23" t="s">
        <v>5</v>
      </c>
      <c r="B32" s="23" t="s">
        <v>97</v>
      </c>
      <c r="C32" s="24" t="s">
        <v>7</v>
      </c>
      <c r="D32" s="43" t="s">
        <v>126</v>
      </c>
      <c r="E32" s="24" t="s">
        <v>8</v>
      </c>
      <c r="F32" s="24" t="s">
        <v>9</v>
      </c>
      <c r="G32" s="31" t="s">
        <v>10</v>
      </c>
      <c r="H32" s="102" t="s">
        <v>11</v>
      </c>
      <c r="I32" s="102"/>
      <c r="J32" s="102"/>
      <c r="K32" s="102"/>
      <c r="L32" s="102"/>
    </row>
    <row r="33" spans="1:12" ht="18" customHeight="1" x14ac:dyDescent="0.2">
      <c r="A33" s="12" t="s">
        <v>87</v>
      </c>
      <c r="B33" s="12" t="s">
        <v>119</v>
      </c>
      <c r="C33" s="13">
        <f>0.134*C4</f>
        <v>9707.630000000001</v>
      </c>
      <c r="D33" s="41" t="s">
        <v>126</v>
      </c>
      <c r="E33" s="12" t="s">
        <v>17</v>
      </c>
      <c r="F33" s="17" t="s">
        <v>6</v>
      </c>
      <c r="G33" s="28" t="s">
        <v>140</v>
      </c>
      <c r="H33" s="99" t="s">
        <v>137</v>
      </c>
      <c r="I33" s="99"/>
      <c r="J33" s="99"/>
      <c r="K33" s="99"/>
      <c r="L33" s="99"/>
    </row>
    <row r="34" spans="1:12" ht="18" customHeight="1" x14ac:dyDescent="0.2">
      <c r="A34" s="12" t="s">
        <v>88</v>
      </c>
      <c r="B34" s="12" t="s">
        <v>120</v>
      </c>
      <c r="C34" s="13">
        <f>0.0177*C4</f>
        <v>1282.2764999999999</v>
      </c>
      <c r="D34" s="41" t="s">
        <v>126</v>
      </c>
      <c r="E34" s="12" t="s">
        <v>17</v>
      </c>
      <c r="F34" s="17" t="s">
        <v>6</v>
      </c>
      <c r="G34" s="29" t="s">
        <v>136</v>
      </c>
      <c r="H34" s="99" t="s">
        <v>137</v>
      </c>
      <c r="I34" s="99"/>
      <c r="J34" s="99"/>
      <c r="K34" s="99"/>
      <c r="L34" s="99"/>
    </row>
    <row r="35" spans="1:12" ht="18" customHeight="1" x14ac:dyDescent="0.2">
      <c r="A35" s="12" t="s">
        <v>89</v>
      </c>
      <c r="B35" s="12" t="s">
        <v>121</v>
      </c>
      <c r="C35" s="13">
        <f>0.105*C4</f>
        <v>7606.7249999999995</v>
      </c>
      <c r="D35" s="41" t="s">
        <v>126</v>
      </c>
      <c r="E35" s="12" t="s">
        <v>17</v>
      </c>
      <c r="F35" s="17" t="s">
        <v>6</v>
      </c>
      <c r="G35" s="29" t="s">
        <v>136</v>
      </c>
      <c r="H35" s="99" t="s">
        <v>137</v>
      </c>
      <c r="I35" s="99"/>
      <c r="J35" s="99"/>
      <c r="K35" s="99"/>
      <c r="L35" s="99"/>
    </row>
    <row r="36" spans="1:12" ht="18" customHeight="1" x14ac:dyDescent="0.2">
      <c r="A36" s="12" t="s">
        <v>90</v>
      </c>
      <c r="B36" s="12" t="s">
        <v>122</v>
      </c>
      <c r="C36" s="13">
        <f>0.0463*C4</f>
        <v>3354.2035000000001</v>
      </c>
      <c r="D36" s="41" t="s">
        <v>126</v>
      </c>
      <c r="E36" s="12" t="s">
        <v>17</v>
      </c>
      <c r="F36" s="17" t="s">
        <v>6</v>
      </c>
      <c r="G36" s="29" t="s">
        <v>136</v>
      </c>
      <c r="H36" s="99" t="s">
        <v>137</v>
      </c>
      <c r="I36" s="99"/>
      <c r="J36" s="99"/>
      <c r="K36" s="99"/>
      <c r="L36" s="99"/>
    </row>
    <row r="37" spans="1:12" ht="18" customHeight="1" x14ac:dyDescent="0.2">
      <c r="A37" s="12" t="s">
        <v>91</v>
      </c>
      <c r="B37" s="12" t="s">
        <v>230</v>
      </c>
      <c r="C37" s="13">
        <f>0.0187*C4</f>
        <v>1354.7215000000001</v>
      </c>
      <c r="D37" s="41" t="s">
        <v>126</v>
      </c>
      <c r="E37" s="12" t="s">
        <v>17</v>
      </c>
      <c r="F37" s="17" t="s">
        <v>6</v>
      </c>
      <c r="G37" s="29" t="s">
        <v>136</v>
      </c>
      <c r="H37" s="99" t="s">
        <v>137</v>
      </c>
      <c r="I37" s="99"/>
      <c r="J37" s="99"/>
      <c r="K37" s="99"/>
      <c r="L37" s="99"/>
    </row>
    <row r="38" spans="1:12" ht="18" customHeight="1" x14ac:dyDescent="0.2">
      <c r="A38" s="12" t="s">
        <v>92</v>
      </c>
      <c r="B38" s="12" t="s">
        <v>123</v>
      </c>
      <c r="C38" s="13">
        <f>0.0143*C4</f>
        <v>1035.9635000000001</v>
      </c>
      <c r="D38" s="41" t="s">
        <v>126</v>
      </c>
      <c r="E38" s="12" t="s">
        <v>17</v>
      </c>
      <c r="F38" s="17" t="s">
        <v>6</v>
      </c>
      <c r="G38" s="29" t="s">
        <v>136</v>
      </c>
      <c r="H38" s="99" t="s">
        <v>137</v>
      </c>
      <c r="I38" s="99"/>
      <c r="J38" s="99"/>
      <c r="K38" s="99"/>
      <c r="L38" s="99"/>
    </row>
    <row r="39" spans="1:12" ht="18" customHeight="1" x14ac:dyDescent="0.2">
      <c r="A39" s="21" t="s">
        <v>193</v>
      </c>
      <c r="B39" s="21" t="s">
        <v>124</v>
      </c>
      <c r="C39" s="13">
        <v>2445</v>
      </c>
      <c r="D39" s="51" t="s">
        <v>126</v>
      </c>
      <c r="E39" s="49" t="s">
        <v>17</v>
      </c>
      <c r="F39" s="17" t="s">
        <v>6</v>
      </c>
      <c r="G39" s="28" t="s">
        <v>140</v>
      </c>
      <c r="H39" s="107" t="s">
        <v>139</v>
      </c>
      <c r="I39" s="107"/>
      <c r="J39" s="107"/>
      <c r="K39" s="107"/>
      <c r="L39" s="107"/>
    </row>
    <row r="40" spans="1:12" ht="18" customHeight="1" x14ac:dyDescent="0.2">
      <c r="A40" s="21" t="s">
        <v>197</v>
      </c>
      <c r="B40" s="21" t="s">
        <v>201</v>
      </c>
      <c r="C40" s="13">
        <v>45</v>
      </c>
      <c r="D40" s="41" t="s">
        <v>126</v>
      </c>
      <c r="E40" s="12" t="s">
        <v>17</v>
      </c>
      <c r="F40" s="17" t="s">
        <v>6</v>
      </c>
      <c r="G40" s="28" t="s">
        <v>140</v>
      </c>
      <c r="H40" s="99" t="s">
        <v>137</v>
      </c>
      <c r="I40" s="99"/>
      <c r="J40" s="99"/>
      <c r="K40" s="99"/>
      <c r="L40" s="99"/>
    </row>
    <row r="41" spans="1:12" ht="18" customHeight="1" x14ac:dyDescent="0.2">
      <c r="A41" s="21" t="s">
        <v>198</v>
      </c>
      <c r="B41" s="21" t="s">
        <v>202</v>
      </c>
      <c r="C41" s="13">
        <v>30</v>
      </c>
      <c r="D41" s="41" t="s">
        <v>126</v>
      </c>
      <c r="E41" s="12" t="s">
        <v>17</v>
      </c>
      <c r="F41" s="17" t="s">
        <v>6</v>
      </c>
      <c r="G41" s="28" t="s">
        <v>140</v>
      </c>
      <c r="H41" s="99" t="s">
        <v>137</v>
      </c>
      <c r="I41" s="99"/>
      <c r="J41" s="99"/>
      <c r="K41" s="99"/>
      <c r="L41" s="99"/>
    </row>
    <row r="42" spans="1:12" ht="18" customHeight="1" x14ac:dyDescent="0.2">
      <c r="A42" s="21" t="s">
        <v>199</v>
      </c>
      <c r="B42" s="21" t="s">
        <v>203</v>
      </c>
      <c r="C42" s="13">
        <v>40</v>
      </c>
      <c r="D42" s="41" t="s">
        <v>126</v>
      </c>
      <c r="E42" s="12" t="s">
        <v>17</v>
      </c>
      <c r="F42" s="17" t="s">
        <v>6</v>
      </c>
      <c r="G42" s="28" t="s">
        <v>140</v>
      </c>
      <c r="H42" s="99" t="s">
        <v>137</v>
      </c>
      <c r="I42" s="99"/>
      <c r="J42" s="99"/>
      <c r="K42" s="99"/>
      <c r="L42" s="99"/>
    </row>
    <row r="43" spans="1:12" ht="18" customHeight="1" x14ac:dyDescent="0.2">
      <c r="A43" s="21" t="s">
        <v>200</v>
      </c>
      <c r="B43" s="21" t="s">
        <v>204</v>
      </c>
      <c r="C43" s="13">
        <v>200</v>
      </c>
      <c r="D43" s="41" t="s">
        <v>126</v>
      </c>
      <c r="E43" s="12" t="s">
        <v>17</v>
      </c>
      <c r="F43" s="17" t="s">
        <v>6</v>
      </c>
      <c r="G43" s="28" t="s">
        <v>140</v>
      </c>
      <c r="H43" s="99" t="s">
        <v>137</v>
      </c>
      <c r="I43" s="99"/>
      <c r="J43" s="99"/>
      <c r="K43" s="99"/>
      <c r="L43" s="99"/>
    </row>
    <row r="44" spans="1:12" ht="18" customHeight="1" x14ac:dyDescent="0.2">
      <c r="A44" s="21" t="s">
        <v>304</v>
      </c>
      <c r="B44" s="21" t="s">
        <v>307</v>
      </c>
      <c r="C44" s="13">
        <v>4</v>
      </c>
      <c r="D44" s="41" t="s">
        <v>126</v>
      </c>
      <c r="E44" s="12" t="s">
        <v>105</v>
      </c>
      <c r="F44" s="17" t="s">
        <v>6</v>
      </c>
      <c r="G44" s="28" t="s">
        <v>140</v>
      </c>
      <c r="H44" s="99" t="s">
        <v>310</v>
      </c>
      <c r="I44" s="99"/>
      <c r="J44" s="99"/>
      <c r="K44" s="99"/>
      <c r="L44" s="99"/>
    </row>
    <row r="45" spans="1:12" ht="18" customHeight="1" x14ac:dyDescent="0.2">
      <c r="A45" s="21" t="s">
        <v>305</v>
      </c>
      <c r="B45" s="21" t="s">
        <v>308</v>
      </c>
      <c r="C45" s="13">
        <v>4</v>
      </c>
      <c r="D45" s="41" t="s">
        <v>126</v>
      </c>
      <c r="E45" s="12" t="s">
        <v>105</v>
      </c>
      <c r="F45" s="17" t="s">
        <v>6</v>
      </c>
      <c r="G45" s="28" t="s">
        <v>140</v>
      </c>
      <c r="H45" s="99" t="s">
        <v>310</v>
      </c>
      <c r="I45" s="99"/>
      <c r="J45" s="99"/>
      <c r="K45" s="99"/>
      <c r="L45" s="99"/>
    </row>
    <row r="46" spans="1:12" ht="18" customHeight="1" x14ac:dyDescent="0.2">
      <c r="A46" s="21" t="s">
        <v>306</v>
      </c>
      <c r="B46" s="21" t="s">
        <v>309</v>
      </c>
      <c r="C46" s="13">
        <v>4</v>
      </c>
      <c r="D46" s="41" t="s">
        <v>126</v>
      </c>
      <c r="E46" s="12" t="s">
        <v>105</v>
      </c>
      <c r="F46" s="17" t="s">
        <v>6</v>
      </c>
      <c r="G46" s="28" t="s">
        <v>140</v>
      </c>
      <c r="H46" s="99" t="s">
        <v>310</v>
      </c>
      <c r="I46" s="99"/>
      <c r="J46" s="99"/>
      <c r="K46" s="99"/>
      <c r="L46" s="99"/>
    </row>
    <row r="47" spans="1:12" ht="22" customHeight="1" x14ac:dyDescent="0.25">
      <c r="A47" s="100" t="s">
        <v>93</v>
      </c>
      <c r="B47" s="100"/>
      <c r="C47" s="100"/>
      <c r="D47" s="100"/>
      <c r="E47" s="100"/>
      <c r="F47" s="100"/>
      <c r="G47" s="100"/>
      <c r="H47" s="101"/>
      <c r="I47" s="101"/>
      <c r="J47" s="101"/>
      <c r="K47" s="101"/>
      <c r="L47" s="101"/>
    </row>
    <row r="48" spans="1:12" ht="18" customHeight="1" x14ac:dyDescent="0.2">
      <c r="A48" s="23" t="s">
        <v>5</v>
      </c>
      <c r="B48" s="23" t="s">
        <v>97</v>
      </c>
      <c r="C48" s="24" t="s">
        <v>7</v>
      </c>
      <c r="D48" s="43" t="s">
        <v>126</v>
      </c>
      <c r="E48" s="24" t="s">
        <v>8</v>
      </c>
      <c r="F48" s="24" t="s">
        <v>9</v>
      </c>
      <c r="G48" s="31" t="s">
        <v>10</v>
      </c>
      <c r="H48" s="102" t="s">
        <v>11</v>
      </c>
      <c r="I48" s="102"/>
      <c r="J48" s="102"/>
      <c r="K48" s="102"/>
      <c r="L48" s="102"/>
    </row>
    <row r="49" spans="1:12" ht="18" customHeight="1" x14ac:dyDescent="0.2">
      <c r="A49" s="12" t="s">
        <v>28</v>
      </c>
      <c r="B49" s="12" t="s">
        <v>125</v>
      </c>
      <c r="C49" s="13">
        <v>90</v>
      </c>
      <c r="D49" s="41" t="s">
        <v>126</v>
      </c>
      <c r="E49" s="12" t="s">
        <v>29</v>
      </c>
      <c r="F49" s="17" t="s">
        <v>30</v>
      </c>
      <c r="G49" s="29" t="s">
        <v>141</v>
      </c>
      <c r="H49" s="99" t="s">
        <v>141</v>
      </c>
      <c r="I49" s="99"/>
      <c r="J49" s="99"/>
      <c r="K49" s="99"/>
      <c r="L49" s="99"/>
    </row>
    <row r="50" spans="1:12" ht="18" customHeight="1" x14ac:dyDescent="0.2">
      <c r="A50" s="12" t="s">
        <v>34</v>
      </c>
      <c r="B50" s="12" t="s">
        <v>127</v>
      </c>
      <c r="C50" s="13">
        <v>42.17</v>
      </c>
      <c r="D50" s="41" t="s">
        <v>126</v>
      </c>
      <c r="E50" s="12" t="s">
        <v>29</v>
      </c>
      <c r="F50" s="17" t="s">
        <v>30</v>
      </c>
      <c r="G50" s="29" t="s">
        <v>141</v>
      </c>
      <c r="H50" s="99" t="s">
        <v>141</v>
      </c>
      <c r="I50" s="99"/>
      <c r="J50" s="99"/>
      <c r="K50" s="99"/>
      <c r="L50" s="99"/>
    </row>
    <row r="51" spans="1:12" ht="18" customHeight="1" x14ac:dyDescent="0.2">
      <c r="A51" s="12" t="s">
        <v>37</v>
      </c>
      <c r="B51" s="12" t="s">
        <v>128</v>
      </c>
      <c r="C51" s="13">
        <v>29.9</v>
      </c>
      <c r="D51" s="41" t="s">
        <v>126</v>
      </c>
      <c r="E51" s="12" t="s">
        <v>29</v>
      </c>
      <c r="F51" s="17" t="s">
        <v>30</v>
      </c>
      <c r="G51" s="29" t="s">
        <v>141</v>
      </c>
      <c r="H51" s="99" t="s">
        <v>141</v>
      </c>
      <c r="I51" s="99"/>
      <c r="J51" s="99"/>
      <c r="K51" s="99"/>
      <c r="L51" s="99"/>
    </row>
    <row r="52" spans="1:12" ht="18" customHeight="1" x14ac:dyDescent="0.2">
      <c r="A52" s="12" t="s">
        <v>154</v>
      </c>
      <c r="B52" s="12" t="s">
        <v>155</v>
      </c>
      <c r="C52" s="13">
        <v>13</v>
      </c>
      <c r="D52" s="41" t="s">
        <v>126</v>
      </c>
      <c r="E52" s="12" t="s">
        <v>29</v>
      </c>
      <c r="F52" s="17" t="s">
        <v>30</v>
      </c>
      <c r="G52" s="29" t="s">
        <v>141</v>
      </c>
      <c r="H52" s="99" t="s">
        <v>141</v>
      </c>
      <c r="I52" s="99"/>
      <c r="J52" s="99"/>
      <c r="K52" s="99"/>
      <c r="L52" s="99"/>
    </row>
    <row r="53" spans="1:12" ht="18" customHeight="1" x14ac:dyDescent="0.2">
      <c r="A53" s="12" t="s">
        <v>156</v>
      </c>
      <c r="B53" s="12" t="s">
        <v>157</v>
      </c>
      <c r="C53" s="13">
        <v>10</v>
      </c>
      <c r="D53" s="41" t="s">
        <v>126</v>
      </c>
      <c r="E53" s="12" t="s">
        <v>29</v>
      </c>
      <c r="F53" s="17" t="s">
        <v>30</v>
      </c>
      <c r="G53" s="29" t="s">
        <v>141</v>
      </c>
      <c r="H53" s="99" t="s">
        <v>141</v>
      </c>
      <c r="I53" s="99"/>
      <c r="J53" s="99"/>
      <c r="K53" s="99"/>
      <c r="L53" s="99"/>
    </row>
    <row r="54" spans="1:12" ht="18" customHeight="1" x14ac:dyDescent="0.2">
      <c r="A54" s="12" t="s">
        <v>158</v>
      </c>
      <c r="B54" s="12" t="s">
        <v>160</v>
      </c>
      <c r="C54" s="13">
        <v>10</v>
      </c>
      <c r="D54" s="41" t="s">
        <v>126</v>
      </c>
      <c r="E54" s="12" t="s">
        <v>29</v>
      </c>
      <c r="F54" s="17" t="s">
        <v>30</v>
      </c>
      <c r="G54" s="29" t="s">
        <v>141</v>
      </c>
      <c r="H54" s="99" t="s">
        <v>141</v>
      </c>
      <c r="I54" s="99"/>
      <c r="J54" s="99"/>
      <c r="K54" s="99"/>
      <c r="L54" s="99"/>
    </row>
    <row r="55" spans="1:12" ht="18" customHeight="1" x14ac:dyDescent="0.2">
      <c r="A55" s="12" t="s">
        <v>159</v>
      </c>
      <c r="B55" s="12" t="s">
        <v>161</v>
      </c>
      <c r="C55" s="13">
        <v>10</v>
      </c>
      <c r="D55" s="41" t="s">
        <v>126</v>
      </c>
      <c r="E55" s="12" t="s">
        <v>29</v>
      </c>
      <c r="F55" s="17" t="s">
        <v>30</v>
      </c>
      <c r="G55" s="29" t="s">
        <v>141</v>
      </c>
      <c r="H55" s="99" t="s">
        <v>141</v>
      </c>
      <c r="I55" s="99"/>
      <c r="J55" s="99"/>
      <c r="K55" s="99"/>
      <c r="L55" s="99"/>
    </row>
    <row r="56" spans="1:12" ht="18" customHeight="1" x14ac:dyDescent="0.2">
      <c r="A56" s="12" t="s">
        <v>162</v>
      </c>
      <c r="B56" s="12" t="s">
        <v>260</v>
      </c>
      <c r="C56" s="13">
        <v>14</v>
      </c>
      <c r="D56" s="41" t="s">
        <v>126</v>
      </c>
      <c r="E56" s="12" t="s">
        <v>29</v>
      </c>
      <c r="F56" s="17" t="s">
        <v>30</v>
      </c>
      <c r="G56" s="29" t="s">
        <v>141</v>
      </c>
      <c r="H56" s="99" t="s">
        <v>141</v>
      </c>
      <c r="I56" s="99"/>
      <c r="J56" s="99"/>
      <c r="K56" s="99"/>
      <c r="L56" s="99"/>
    </row>
    <row r="57" spans="1:12" ht="18" customHeight="1" x14ac:dyDescent="0.2">
      <c r="A57" s="12" t="s">
        <v>39</v>
      </c>
      <c r="B57" s="12" t="s">
        <v>129</v>
      </c>
      <c r="C57" s="13">
        <v>17.82</v>
      </c>
      <c r="D57" s="41" t="s">
        <v>126</v>
      </c>
      <c r="E57" s="12" t="s">
        <v>29</v>
      </c>
      <c r="F57" s="17" t="s">
        <v>30</v>
      </c>
      <c r="G57" s="29" t="s">
        <v>141</v>
      </c>
      <c r="H57" s="99" t="s">
        <v>141</v>
      </c>
      <c r="I57" s="99"/>
      <c r="J57" s="99"/>
      <c r="K57" s="99"/>
      <c r="L57" s="99"/>
    </row>
    <row r="58" spans="1:12" ht="18" customHeight="1" x14ac:dyDescent="0.2">
      <c r="A58" s="12" t="s">
        <v>41</v>
      </c>
      <c r="B58" s="12" t="s">
        <v>130</v>
      </c>
      <c r="C58" s="13">
        <v>8.5</v>
      </c>
      <c r="D58" s="41" t="s">
        <v>126</v>
      </c>
      <c r="E58" s="12" t="s">
        <v>29</v>
      </c>
      <c r="F58" s="17" t="s">
        <v>30</v>
      </c>
      <c r="G58" s="29" t="s">
        <v>141</v>
      </c>
      <c r="H58" s="99" t="s">
        <v>141</v>
      </c>
      <c r="I58" s="99"/>
      <c r="J58" s="99"/>
      <c r="K58" s="99"/>
      <c r="L58" s="99"/>
    </row>
    <row r="59" spans="1:12" ht="18" customHeight="1" x14ac:dyDescent="0.2">
      <c r="A59" s="12" t="s">
        <v>94</v>
      </c>
      <c r="B59" s="12" t="s">
        <v>131</v>
      </c>
      <c r="C59" s="13">
        <v>25</v>
      </c>
      <c r="D59" s="41" t="s">
        <v>126</v>
      </c>
      <c r="E59" s="12" t="s">
        <v>29</v>
      </c>
      <c r="F59" s="17" t="s">
        <v>30</v>
      </c>
      <c r="G59" s="29" t="s">
        <v>141</v>
      </c>
      <c r="H59" s="99" t="s">
        <v>141</v>
      </c>
      <c r="I59" s="99"/>
      <c r="J59" s="99"/>
      <c r="K59" s="99"/>
      <c r="L59" s="99"/>
    </row>
    <row r="60" spans="1:12" ht="18" customHeight="1" x14ac:dyDescent="0.2">
      <c r="A60" s="12" t="s">
        <v>95</v>
      </c>
      <c r="B60" s="12" t="s">
        <v>132</v>
      </c>
      <c r="C60" s="13">
        <f>C58+(2*C7)</f>
        <v>68.644000000000005</v>
      </c>
      <c r="D60" s="41" t="s">
        <v>126</v>
      </c>
      <c r="E60" s="12" t="s">
        <v>29</v>
      </c>
      <c r="F60" s="12" t="s">
        <v>96</v>
      </c>
      <c r="G60" s="29" t="s">
        <v>141</v>
      </c>
      <c r="H60" s="99" t="s">
        <v>141</v>
      </c>
      <c r="I60" s="99"/>
      <c r="J60" s="99"/>
      <c r="K60" s="99"/>
      <c r="L60" s="99"/>
    </row>
    <row r="61" spans="1:12" s="26" customFormat="1" ht="18" customHeight="1" x14ac:dyDescent="0.2">
      <c r="A61" s="12" t="s">
        <v>357</v>
      </c>
      <c r="B61" s="12" t="s">
        <v>358</v>
      </c>
      <c r="C61" s="12">
        <f>(C58/2)^2*PI()*C50</f>
        <v>2392.9373797714861</v>
      </c>
      <c r="D61" s="41" t="s">
        <v>126</v>
      </c>
      <c r="E61" s="12" t="s">
        <v>223</v>
      </c>
      <c r="F61" s="12" t="s">
        <v>48</v>
      </c>
      <c r="G61" s="29" t="s">
        <v>362</v>
      </c>
      <c r="H61" s="99"/>
      <c r="I61" s="99"/>
      <c r="J61" s="99"/>
      <c r="K61" s="99"/>
      <c r="L61" s="99"/>
    </row>
    <row r="62" spans="1:12" s="12" customFormat="1" ht="18" customHeight="1" x14ac:dyDescent="0.2">
      <c r="A62" s="12" t="s">
        <v>360</v>
      </c>
      <c r="B62" s="12" t="s">
        <v>359</v>
      </c>
      <c r="C62" s="12">
        <f>PI()*(C58/2)^2*C51</f>
        <v>1696.6760174334224</v>
      </c>
      <c r="D62" s="41" t="s">
        <v>126</v>
      </c>
      <c r="E62" s="12" t="s">
        <v>361</v>
      </c>
      <c r="G62" s="29" t="s">
        <v>363</v>
      </c>
      <c r="H62" s="99"/>
      <c r="I62" s="99"/>
      <c r="J62" s="99"/>
      <c r="K62" s="99"/>
      <c r="L62" s="99"/>
    </row>
    <row r="63" spans="1:12" ht="22" customHeight="1" x14ac:dyDescent="0.25">
      <c r="A63" s="100" t="s">
        <v>463</v>
      </c>
      <c r="B63" s="100"/>
      <c r="C63" s="100"/>
      <c r="D63" s="100"/>
      <c r="E63" s="100"/>
      <c r="F63" s="100"/>
      <c r="G63" s="100"/>
      <c r="H63" s="101"/>
      <c r="I63" s="101"/>
      <c r="J63" s="101"/>
      <c r="K63" s="101"/>
      <c r="L63" s="101"/>
    </row>
    <row r="64" spans="1:12" s="26" customFormat="1" ht="18" customHeight="1" x14ac:dyDescent="0.2">
      <c r="A64" s="23" t="s">
        <v>5</v>
      </c>
      <c r="B64" s="23" t="s">
        <v>97</v>
      </c>
      <c r="C64" s="40" t="s">
        <v>7</v>
      </c>
      <c r="D64" s="43" t="s">
        <v>126</v>
      </c>
      <c r="E64" s="40" t="s">
        <v>8</v>
      </c>
      <c r="F64" s="40" t="s">
        <v>9</v>
      </c>
      <c r="G64" s="31" t="s">
        <v>10</v>
      </c>
      <c r="H64" s="102" t="s">
        <v>11</v>
      </c>
      <c r="I64" s="102"/>
      <c r="J64" s="102"/>
      <c r="K64" s="102"/>
      <c r="L64" s="102"/>
    </row>
    <row r="65" spans="1:12" s="39" customFormat="1" ht="18" customHeight="1" x14ac:dyDescent="0.2">
      <c r="A65" s="39" t="s">
        <v>464</v>
      </c>
      <c r="B65" s="39" t="s">
        <v>468</v>
      </c>
      <c r="C65" s="13">
        <f xml:space="preserve"> C4</f>
        <v>72445</v>
      </c>
      <c r="D65" s="41" t="s">
        <v>126</v>
      </c>
      <c r="E65" s="39" t="s">
        <v>224</v>
      </c>
      <c r="F65" s="39" t="s">
        <v>6</v>
      </c>
      <c r="G65" s="29" t="s">
        <v>475</v>
      </c>
      <c r="H65" s="99" t="s">
        <v>310</v>
      </c>
      <c r="I65" s="99"/>
      <c r="J65" s="99"/>
      <c r="K65" s="99"/>
      <c r="L65" s="99"/>
    </row>
    <row r="66" spans="1:12" s="39" customFormat="1" ht="18" customHeight="1" x14ac:dyDescent="0.2">
      <c r="A66" s="39" t="s">
        <v>465</v>
      </c>
      <c r="B66" s="39" t="s">
        <v>469</v>
      </c>
      <c r="C66" s="45">
        <f>C65-C27+C28</f>
        <v>55392.310873993883</v>
      </c>
      <c r="D66" s="41" t="s">
        <v>126</v>
      </c>
      <c r="E66" s="39" t="s">
        <v>224</v>
      </c>
      <c r="F66" s="39" t="s">
        <v>6</v>
      </c>
      <c r="G66" s="29" t="s">
        <v>476</v>
      </c>
      <c r="H66" s="99" t="s">
        <v>310</v>
      </c>
      <c r="I66" s="99"/>
      <c r="J66" s="99"/>
      <c r="K66" s="99"/>
      <c r="L66" s="99"/>
    </row>
    <row r="67" spans="1:12" s="39" customFormat="1" ht="18" customHeight="1" x14ac:dyDescent="0.2">
      <c r="A67" s="39" t="s">
        <v>466</v>
      </c>
      <c r="B67" s="39" t="s">
        <v>474</v>
      </c>
      <c r="C67" s="39">
        <f>C65-13*C43</f>
        <v>69845</v>
      </c>
      <c r="D67" s="41" t="s">
        <v>126</v>
      </c>
      <c r="E67" s="39" t="s">
        <v>224</v>
      </c>
      <c r="F67" s="39" t="s">
        <v>6</v>
      </c>
      <c r="G67" s="29" t="s">
        <v>477</v>
      </c>
      <c r="H67" s="99" t="s">
        <v>310</v>
      </c>
      <c r="I67" s="99"/>
      <c r="J67" s="99"/>
      <c r="K67" s="99"/>
      <c r="L67" s="99"/>
    </row>
    <row r="68" spans="1:12" s="39" customFormat="1" ht="18" customHeight="1" x14ac:dyDescent="0.2">
      <c r="A68" s="39" t="s">
        <v>467</v>
      </c>
      <c r="B68" s="39" t="s">
        <v>474</v>
      </c>
      <c r="C68" s="39">
        <f>C66-13*C43</f>
        <v>52792.310873993883</v>
      </c>
      <c r="D68" s="41" t="s">
        <v>126</v>
      </c>
      <c r="E68" s="39" t="s">
        <v>224</v>
      </c>
      <c r="F68" s="39" t="s">
        <v>6</v>
      </c>
      <c r="G68" s="29" t="s">
        <v>478</v>
      </c>
      <c r="H68" s="99" t="s">
        <v>310</v>
      </c>
      <c r="I68" s="99"/>
      <c r="J68" s="99"/>
      <c r="K68" s="99"/>
      <c r="L68" s="99"/>
    </row>
  </sheetData>
  <mergeCells count="68">
    <mergeCell ref="A1:L1"/>
    <mergeCell ref="H20:L20"/>
    <mergeCell ref="H6:L6"/>
    <mergeCell ref="H7:L7"/>
    <mergeCell ref="H8:L8"/>
    <mergeCell ref="H3:L3"/>
    <mergeCell ref="H4:L4"/>
    <mergeCell ref="H5:L5"/>
    <mergeCell ref="H14:L14"/>
    <mergeCell ref="H10:L10"/>
    <mergeCell ref="H11:L11"/>
    <mergeCell ref="H12:L12"/>
    <mergeCell ref="H13:L13"/>
    <mergeCell ref="H2:L2"/>
    <mergeCell ref="H15:L15"/>
    <mergeCell ref="H16:L16"/>
    <mergeCell ref="H9:L9"/>
    <mergeCell ref="H49:L49"/>
    <mergeCell ref="H46:L46"/>
    <mergeCell ref="A25:L25"/>
    <mergeCell ref="A31:L31"/>
    <mergeCell ref="A47:L47"/>
    <mergeCell ref="H38:L38"/>
    <mergeCell ref="H27:L27"/>
    <mergeCell ref="H29:L29"/>
    <mergeCell ref="H30:L30"/>
    <mergeCell ref="H48:L48"/>
    <mergeCell ref="H35:L35"/>
    <mergeCell ref="H44:L44"/>
    <mergeCell ref="H45:L45"/>
    <mergeCell ref="H28:L28"/>
    <mergeCell ref="H17:L17"/>
    <mergeCell ref="H18:L18"/>
    <mergeCell ref="H19:L19"/>
    <mergeCell ref="H21:L21"/>
    <mergeCell ref="H40:L40"/>
    <mergeCell ref="H32:L32"/>
    <mergeCell ref="H33:L33"/>
    <mergeCell ref="H34:L34"/>
    <mergeCell ref="H22:L22"/>
    <mergeCell ref="H23:L23"/>
    <mergeCell ref="H24:L24"/>
    <mergeCell ref="H36:L36"/>
    <mergeCell ref="H37:L37"/>
    <mergeCell ref="H26:L26"/>
    <mergeCell ref="H39:L39"/>
    <mergeCell ref="H68:L68"/>
    <mergeCell ref="H61:L61"/>
    <mergeCell ref="H62:L62"/>
    <mergeCell ref="A63:L63"/>
    <mergeCell ref="H64:L64"/>
    <mergeCell ref="H65:L65"/>
    <mergeCell ref="H66:L66"/>
    <mergeCell ref="H67:L67"/>
    <mergeCell ref="H58:L58"/>
    <mergeCell ref="H59:L59"/>
    <mergeCell ref="H60:L60"/>
    <mergeCell ref="H41:L41"/>
    <mergeCell ref="H42:L42"/>
    <mergeCell ref="H43:L43"/>
    <mergeCell ref="H57:L57"/>
    <mergeCell ref="H50:L50"/>
    <mergeCell ref="H51:L51"/>
    <mergeCell ref="H52:L52"/>
    <mergeCell ref="H53:L53"/>
    <mergeCell ref="H54:L54"/>
    <mergeCell ref="H55:L55"/>
    <mergeCell ref="H56:L56"/>
  </mergeCells>
  <hyperlinks>
    <hyperlink ref="H15" r:id="rId1" display="http://www.fighter-planes.com/jetmach1.htm"/>
    <hyperlink ref="H17" r:id="rId2"/>
    <hyperlink ref="H18" r:id="rId3"/>
    <hyperlink ref="H19" r:id="rId4"/>
  </hyperlinks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R109"/>
  <sheetViews>
    <sheetView topLeftCell="A72" zoomScale="70" zoomScaleNormal="70" zoomScalePageLayoutView="70" workbookViewId="0">
      <selection activeCell="C103" sqref="C103"/>
    </sheetView>
  </sheetViews>
  <sheetFormatPr baseColWidth="10" defaultColWidth="15.1640625" defaultRowHeight="18" customHeight="1" x14ac:dyDescent="0.2"/>
  <cols>
    <col min="1" max="1" width="51" style="12" customWidth="1"/>
    <col min="2" max="2" width="19.33203125" style="12" customWidth="1"/>
    <col min="3" max="3" width="15.1640625" style="12"/>
    <col min="4" max="4" width="5.83203125" style="57" customWidth="1"/>
    <col min="5" max="5" width="2" style="12" customWidth="1"/>
    <col min="6" max="6" width="15.1640625" style="12"/>
    <col min="7" max="7" width="40" style="12" customWidth="1"/>
    <col min="8" max="8" width="38.6640625" style="29" customWidth="1"/>
    <col min="9" max="13" width="15.1640625" style="12"/>
    <col min="14" max="14" width="3.5" style="12" customWidth="1"/>
    <col min="15" max="15" width="20.33203125" style="12" customWidth="1"/>
    <col min="16" max="16" width="22.6640625" style="12" customWidth="1"/>
    <col min="17" max="17" width="23.33203125" style="12" customWidth="1"/>
    <col min="18" max="18" width="22.33203125" style="12" customWidth="1"/>
    <col min="19" max="16384" width="15.1640625" style="12"/>
  </cols>
  <sheetData>
    <row r="1" spans="1:18" ht="22" customHeight="1" x14ac:dyDescent="0.2">
      <c r="A1" s="112" t="s">
        <v>163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5"/>
      <c r="O1" s="53" t="s">
        <v>500</v>
      </c>
      <c r="P1" s="53" t="s">
        <v>501</v>
      </c>
      <c r="Q1" s="53" t="s">
        <v>502</v>
      </c>
      <c r="R1" s="53" t="s">
        <v>501</v>
      </c>
    </row>
    <row r="2" spans="1:18" ht="18" customHeight="1" x14ac:dyDescent="0.2">
      <c r="A2" s="23" t="s">
        <v>5</v>
      </c>
      <c r="B2" s="23" t="s">
        <v>97</v>
      </c>
      <c r="C2" s="54" t="s">
        <v>7</v>
      </c>
      <c r="D2" s="58"/>
      <c r="E2" s="24" t="s">
        <v>126</v>
      </c>
      <c r="F2" s="24" t="s">
        <v>8</v>
      </c>
      <c r="G2" s="24" t="s">
        <v>9</v>
      </c>
      <c r="H2" s="31" t="s">
        <v>10</v>
      </c>
      <c r="I2" s="102" t="s">
        <v>11</v>
      </c>
      <c r="J2" s="102"/>
      <c r="K2" s="102"/>
      <c r="L2" s="102"/>
      <c r="M2" s="102"/>
      <c r="O2" s="13">
        <f>0.5*'Initial Estimates'!$C$49</f>
        <v>45</v>
      </c>
      <c r="P2" s="13">
        <f>0.5*'Initial Estimates'!$C$49</f>
        <v>45</v>
      </c>
      <c r="Q2" s="13"/>
      <c r="R2" s="13">
        <f>0.6*'Initial Estimates'!$C$49</f>
        <v>54</v>
      </c>
    </row>
    <row r="3" spans="1:18" ht="18" customHeight="1" x14ac:dyDescent="0.2">
      <c r="A3" s="12" t="s">
        <v>164</v>
      </c>
      <c r="B3" s="12" t="s">
        <v>167</v>
      </c>
      <c r="C3" s="55">
        <v>55.8</v>
      </c>
      <c r="D3" s="55" t="s">
        <v>517</v>
      </c>
      <c r="E3" s="13" t="s">
        <v>126</v>
      </c>
      <c r="F3" s="12" t="s">
        <v>29</v>
      </c>
      <c r="G3" s="12" t="s">
        <v>462</v>
      </c>
      <c r="H3" s="29" t="s">
        <v>168</v>
      </c>
      <c r="I3" s="99" t="s">
        <v>15</v>
      </c>
      <c r="J3" s="99"/>
      <c r="K3" s="99"/>
      <c r="L3" s="99"/>
      <c r="M3" s="99"/>
      <c r="O3" s="13">
        <f>0.9*'Initial Estimates'!$C$49</f>
        <v>81</v>
      </c>
      <c r="P3" s="13">
        <f>0.6*'Initial Estimates'!$C$49</f>
        <v>54</v>
      </c>
      <c r="Q3" s="13"/>
      <c r="R3" s="13">
        <f>0.6*'Initial Estimates'!$C$49</f>
        <v>54</v>
      </c>
    </row>
    <row r="4" spans="1:18" ht="18" customHeight="1" x14ac:dyDescent="0.2">
      <c r="A4" s="15" t="s">
        <v>165</v>
      </c>
      <c r="B4" s="15" t="s">
        <v>166</v>
      </c>
      <c r="C4" s="55">
        <v>63</v>
      </c>
      <c r="D4" s="55"/>
      <c r="E4" s="13" t="s">
        <v>126</v>
      </c>
      <c r="F4" s="12" t="s">
        <v>29</v>
      </c>
      <c r="G4" s="12" t="s">
        <v>14</v>
      </c>
      <c r="H4" s="29" t="s">
        <v>168</v>
      </c>
      <c r="I4" s="99" t="s">
        <v>15</v>
      </c>
      <c r="J4" s="99"/>
      <c r="K4" s="99"/>
      <c r="L4" s="99"/>
      <c r="M4" s="99"/>
      <c r="O4" s="13">
        <f>O3</f>
        <v>81</v>
      </c>
      <c r="P4" s="13">
        <f>P3</f>
        <v>54</v>
      </c>
      <c r="Q4" s="13"/>
      <c r="R4" s="13">
        <f>R3</f>
        <v>54</v>
      </c>
    </row>
    <row r="5" spans="1:18" ht="18" customHeight="1" x14ac:dyDescent="0.2">
      <c r="A5" s="18" t="s">
        <v>169</v>
      </c>
      <c r="B5" s="12" t="s">
        <v>170</v>
      </c>
      <c r="C5" s="55">
        <f>C4</f>
        <v>63</v>
      </c>
      <c r="D5" s="55"/>
      <c r="E5" s="13" t="s">
        <v>126</v>
      </c>
      <c r="F5" s="12" t="s">
        <v>29</v>
      </c>
      <c r="G5" s="12" t="s">
        <v>14</v>
      </c>
      <c r="H5" s="29" t="s">
        <v>168</v>
      </c>
      <c r="I5" s="99" t="s">
        <v>15</v>
      </c>
      <c r="J5" s="99"/>
      <c r="K5" s="99"/>
      <c r="L5" s="99"/>
      <c r="M5" s="99"/>
      <c r="O5" s="13">
        <f>0.04*'Initial Estimates'!$C$49</f>
        <v>3.6</v>
      </c>
      <c r="P5" s="13">
        <f>0.04*'Initial Estimates'!$C$49</f>
        <v>3.6</v>
      </c>
      <c r="Q5" s="13"/>
      <c r="R5" s="13">
        <f>0.04*'Initial Estimates'!$C$49</f>
        <v>3.6</v>
      </c>
    </row>
    <row r="6" spans="1:18" ht="18" customHeight="1" x14ac:dyDescent="0.2">
      <c r="A6" s="12" t="s">
        <v>171</v>
      </c>
      <c r="B6" s="12" t="s">
        <v>172</v>
      </c>
      <c r="C6" s="55">
        <v>3.6</v>
      </c>
      <c r="D6" s="55"/>
      <c r="E6" s="13" t="s">
        <v>126</v>
      </c>
      <c r="F6" s="12" t="s">
        <v>29</v>
      </c>
      <c r="G6" s="12" t="s">
        <v>14</v>
      </c>
      <c r="H6" s="29" t="s">
        <v>168</v>
      </c>
      <c r="I6" s="99" t="s">
        <v>15</v>
      </c>
      <c r="J6" s="99"/>
      <c r="K6" s="99"/>
      <c r="L6" s="99"/>
      <c r="M6" s="99"/>
      <c r="O6" s="13">
        <f>0.8*'Initial Estimates'!$C$49</f>
        <v>72</v>
      </c>
      <c r="P6" s="13">
        <f>0.45*'Initial Estimates'!$C$49</f>
        <v>40.5</v>
      </c>
      <c r="Q6" s="13"/>
      <c r="R6" s="13">
        <f>0.45*'Initial Estimates'!$C$49</f>
        <v>40.5</v>
      </c>
    </row>
    <row r="7" spans="1:18" ht="18" customHeight="1" x14ac:dyDescent="0.2">
      <c r="A7" s="12" t="s">
        <v>173</v>
      </c>
      <c r="B7" s="12" t="s">
        <v>174</v>
      </c>
      <c r="C7" s="55">
        <v>40.5</v>
      </c>
      <c r="D7" s="55"/>
      <c r="E7" s="13" t="s">
        <v>126</v>
      </c>
      <c r="F7" s="12" t="s">
        <v>29</v>
      </c>
      <c r="G7" s="12" t="s">
        <v>14</v>
      </c>
      <c r="H7" s="29" t="s">
        <v>168</v>
      </c>
      <c r="I7" s="99" t="s">
        <v>15</v>
      </c>
      <c r="J7" s="99"/>
      <c r="K7" s="99"/>
      <c r="L7" s="99"/>
      <c r="M7" s="99"/>
      <c r="O7" s="13">
        <f>0.15*'Initial Estimates'!$C$49</f>
        <v>13.5</v>
      </c>
      <c r="P7" s="13">
        <f>0.15*'Initial Estimates'!$C$49</f>
        <v>13.5</v>
      </c>
      <c r="Q7" s="13"/>
      <c r="R7" s="13">
        <f>0.15*'Initial Estimates'!$C$49</f>
        <v>13.5</v>
      </c>
    </row>
    <row r="8" spans="1:18" ht="18" customHeight="1" x14ac:dyDescent="0.2">
      <c r="A8" s="12" t="s">
        <v>175</v>
      </c>
      <c r="B8" s="12" t="s">
        <v>176</v>
      </c>
      <c r="C8" s="55">
        <v>13.5</v>
      </c>
      <c r="D8" s="55"/>
      <c r="E8" s="13" t="s">
        <v>126</v>
      </c>
      <c r="F8" s="12" t="s">
        <v>29</v>
      </c>
      <c r="G8" s="12" t="s">
        <v>14</v>
      </c>
      <c r="H8" s="29" t="s">
        <v>168</v>
      </c>
      <c r="I8" s="99" t="s">
        <v>15</v>
      </c>
      <c r="J8" s="99"/>
      <c r="K8" s="99"/>
      <c r="L8" s="99"/>
      <c r="M8" s="99"/>
      <c r="O8" s="49">
        <f xml:space="preserve"> 'Initial Estimates'!$C$57+'Initial Estimates'!$C$50</f>
        <v>59.99</v>
      </c>
      <c r="P8" s="49">
        <f xml:space="preserve"> 'Initial Estimates'!$C$57+'Initial Estimates'!$C$50</f>
        <v>59.99</v>
      </c>
      <c r="Q8" s="49"/>
      <c r="R8" s="49">
        <f xml:space="preserve"> 'Initial Estimates'!$C$57+'Initial Estimates'!$C$50</f>
        <v>59.99</v>
      </c>
    </row>
    <row r="9" spans="1:18" ht="18" customHeight="1" x14ac:dyDescent="0.2">
      <c r="A9" s="12" t="s">
        <v>177</v>
      </c>
      <c r="B9" s="12" t="s">
        <v>178</v>
      </c>
      <c r="C9" s="55">
        <v>59.99</v>
      </c>
      <c r="D9" s="55"/>
      <c r="E9" s="13" t="s">
        <v>126</v>
      </c>
      <c r="F9" s="12" t="s">
        <v>29</v>
      </c>
      <c r="G9" s="12" t="s">
        <v>14</v>
      </c>
      <c r="H9" s="29" t="s">
        <v>168</v>
      </c>
      <c r="I9" s="99" t="s">
        <v>15</v>
      </c>
      <c r="J9" s="99"/>
      <c r="K9" s="99"/>
      <c r="L9" s="99"/>
      <c r="M9" s="99"/>
      <c r="O9" s="13">
        <f>0.9*'Initial Estimates'!$C$49</f>
        <v>81</v>
      </c>
      <c r="P9" s="13">
        <f>0.9*'Initial Estimates'!$C$49</f>
        <v>81</v>
      </c>
      <c r="Q9" s="13"/>
      <c r="R9" s="13">
        <f>0.9*'Initial Estimates'!$C$49</f>
        <v>81</v>
      </c>
    </row>
    <row r="10" spans="1:18" ht="18" customHeight="1" x14ac:dyDescent="0.2">
      <c r="A10" s="12" t="s">
        <v>179</v>
      </c>
      <c r="B10" s="12" t="s">
        <v>180</v>
      </c>
      <c r="C10" s="55">
        <v>81</v>
      </c>
      <c r="D10" s="55"/>
      <c r="E10" s="13" t="s">
        <v>126</v>
      </c>
      <c r="F10" s="12" t="s">
        <v>29</v>
      </c>
      <c r="G10" s="12" t="s">
        <v>14</v>
      </c>
      <c r="H10" s="29" t="s">
        <v>168</v>
      </c>
      <c r="I10" s="99" t="s">
        <v>15</v>
      </c>
      <c r="J10" s="99"/>
      <c r="K10" s="99"/>
      <c r="L10" s="99"/>
      <c r="M10" s="99"/>
      <c r="O10" s="13">
        <f>0.9*'Initial Estimates'!$C$49</f>
        <v>81</v>
      </c>
      <c r="P10" s="13">
        <f>0.9*'Initial Estimates'!$C$49</f>
        <v>81</v>
      </c>
      <c r="Q10" s="13"/>
      <c r="R10" s="13">
        <f>0.9*'Initial Estimates'!$C$49</f>
        <v>81</v>
      </c>
    </row>
    <row r="11" spans="1:18" ht="18" customHeight="1" x14ac:dyDescent="0.2">
      <c r="A11" s="12" t="s">
        <v>181</v>
      </c>
      <c r="B11" s="12" t="s">
        <v>182</v>
      </c>
      <c r="C11" s="55">
        <v>81</v>
      </c>
      <c r="D11" s="55"/>
      <c r="E11" s="13" t="s">
        <v>126</v>
      </c>
      <c r="F11" s="12" t="s">
        <v>29</v>
      </c>
      <c r="G11" s="12" t="s">
        <v>14</v>
      </c>
      <c r="H11" s="29" t="s">
        <v>168</v>
      </c>
      <c r="I11" s="99" t="s">
        <v>15</v>
      </c>
      <c r="J11" s="99"/>
      <c r="K11" s="99"/>
      <c r="L11" s="99"/>
      <c r="M11" s="99"/>
      <c r="O11" s="13">
        <f>0.05*'Initial Estimates'!$C$49</f>
        <v>4.5</v>
      </c>
      <c r="P11" s="13">
        <f>0.05*'Initial Estimates'!$C$49</f>
        <v>4.5</v>
      </c>
      <c r="Q11" s="13"/>
      <c r="R11" s="13">
        <f>0.05*'Initial Estimates'!$C$49</f>
        <v>4.5</v>
      </c>
    </row>
    <row r="12" spans="1:18" ht="18" customHeight="1" x14ac:dyDescent="0.2">
      <c r="A12" s="12" t="s">
        <v>183</v>
      </c>
      <c r="B12" s="12" t="s">
        <v>184</v>
      </c>
      <c r="C12" s="13">
        <f>0.05*'Initial Estimates'!$C$49</f>
        <v>4.5</v>
      </c>
      <c r="D12" s="13"/>
      <c r="E12" s="13" t="s">
        <v>126</v>
      </c>
      <c r="F12" s="12" t="s">
        <v>29</v>
      </c>
      <c r="G12" s="12" t="s">
        <v>14</v>
      </c>
      <c r="H12" s="29" t="s">
        <v>168</v>
      </c>
      <c r="I12" s="99" t="s">
        <v>15</v>
      </c>
      <c r="J12" s="99"/>
      <c r="K12" s="99"/>
      <c r="L12" s="99"/>
      <c r="M12" s="99"/>
      <c r="O12" s="13">
        <f>0.15*'Initial Estimates'!$C$49</f>
        <v>13.5</v>
      </c>
      <c r="P12" s="13">
        <f>0.15*'Initial Estimates'!$C$49</f>
        <v>13.5</v>
      </c>
      <c r="Q12" s="13"/>
      <c r="R12" s="13">
        <f>0.15*'Initial Estimates'!$C$49</f>
        <v>13.5</v>
      </c>
    </row>
    <row r="13" spans="1:18" ht="18" customHeight="1" x14ac:dyDescent="0.2">
      <c r="A13" s="12" t="s">
        <v>185</v>
      </c>
      <c r="B13" s="12" t="s">
        <v>186</v>
      </c>
      <c r="C13" s="13">
        <f>0.15*'Initial Estimates'!$C$49</f>
        <v>13.5</v>
      </c>
      <c r="D13" s="13"/>
      <c r="E13" s="13" t="s">
        <v>126</v>
      </c>
      <c r="F13" s="12" t="s">
        <v>29</v>
      </c>
      <c r="G13" s="12" t="s">
        <v>14</v>
      </c>
      <c r="H13" s="29" t="s">
        <v>168</v>
      </c>
      <c r="I13" s="99" t="s">
        <v>15</v>
      </c>
      <c r="J13" s="99"/>
      <c r="K13" s="99"/>
      <c r="L13" s="99"/>
      <c r="M13" s="99"/>
      <c r="O13" s="13">
        <f>0.3*'Initial Estimates'!$C$49</f>
        <v>27</v>
      </c>
      <c r="P13" s="13">
        <f>0.3*'Initial Estimates'!$C$49</f>
        <v>27</v>
      </c>
      <c r="Q13" s="13"/>
      <c r="R13" s="13">
        <f>0.3*'Initial Estimates'!$C$49</f>
        <v>27</v>
      </c>
    </row>
    <row r="14" spans="1:18" ht="18" customHeight="1" x14ac:dyDescent="0.2">
      <c r="A14" s="12" t="s">
        <v>187</v>
      </c>
      <c r="B14" s="12" t="s">
        <v>190</v>
      </c>
      <c r="C14" s="13">
        <f>0.24*'Initial Estimates'!$C$49</f>
        <v>21.599999999999998</v>
      </c>
      <c r="D14" s="13"/>
      <c r="E14" s="13" t="s">
        <v>126</v>
      </c>
      <c r="F14" s="12" t="s">
        <v>29</v>
      </c>
      <c r="G14" s="12" t="s">
        <v>14</v>
      </c>
      <c r="H14" s="29" t="s">
        <v>168</v>
      </c>
      <c r="I14" s="99" t="s">
        <v>15</v>
      </c>
      <c r="J14" s="99"/>
      <c r="K14" s="99"/>
      <c r="L14" s="99"/>
      <c r="M14" s="99"/>
      <c r="O14" s="13">
        <f>0.413*'Initial Estimates'!$C$49</f>
        <v>37.169999999999995</v>
      </c>
      <c r="P14" s="13">
        <f>0.413*'Initial Estimates'!$C$49</f>
        <v>37.169999999999995</v>
      </c>
      <c r="Q14" s="13"/>
      <c r="R14" s="13">
        <f>0.413*'Initial Estimates'!$C$49</f>
        <v>37.169999999999995</v>
      </c>
    </row>
    <row r="15" spans="1:18" ht="18" customHeight="1" x14ac:dyDescent="0.2">
      <c r="A15" s="12" t="s">
        <v>188</v>
      </c>
      <c r="B15" s="12" t="s">
        <v>191</v>
      </c>
      <c r="C15" s="13">
        <f>0.36*'Initial Estimates'!$C$49</f>
        <v>32.4</v>
      </c>
      <c r="D15" s="13"/>
      <c r="E15" s="13" t="s">
        <v>126</v>
      </c>
      <c r="F15" s="12" t="s">
        <v>29</v>
      </c>
      <c r="G15" s="12" t="s">
        <v>14</v>
      </c>
      <c r="H15" s="29" t="s">
        <v>168</v>
      </c>
      <c r="I15" s="99" t="s">
        <v>15</v>
      </c>
      <c r="J15" s="99"/>
      <c r="K15" s="99"/>
      <c r="L15" s="99"/>
      <c r="M15" s="99"/>
      <c r="O15" s="13">
        <f>0.526*'Initial Estimates'!$C$49</f>
        <v>47.34</v>
      </c>
      <c r="P15" s="13">
        <f>0.526*'Initial Estimates'!$C$49</f>
        <v>47.34</v>
      </c>
      <c r="Q15" s="13"/>
      <c r="R15" s="13">
        <f>0.526*'Initial Estimates'!$C$49</f>
        <v>47.34</v>
      </c>
    </row>
    <row r="16" spans="1:18" ht="18" customHeight="1" x14ac:dyDescent="0.2">
      <c r="A16" s="12" t="s">
        <v>189</v>
      </c>
      <c r="B16" s="12" t="s">
        <v>192</v>
      </c>
      <c r="C16" s="13">
        <f>0.475*'Initial Estimates'!$C$49</f>
        <v>42.75</v>
      </c>
      <c r="D16" s="13"/>
      <c r="E16" s="13" t="s">
        <v>126</v>
      </c>
      <c r="F16" s="12" t="s">
        <v>29</v>
      </c>
      <c r="G16" s="12" t="s">
        <v>14</v>
      </c>
      <c r="H16" s="29" t="s">
        <v>168</v>
      </c>
      <c r="I16" s="99" t="s">
        <v>15</v>
      </c>
      <c r="J16" s="99"/>
      <c r="K16" s="99"/>
      <c r="L16" s="99"/>
      <c r="M16" s="99"/>
    </row>
    <row r="17" spans="1:16" ht="22" customHeight="1" x14ac:dyDescent="0.2">
      <c r="A17" s="112" t="s">
        <v>218</v>
      </c>
      <c r="B17" s="114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15"/>
    </row>
    <row r="18" spans="1:16" ht="18" customHeight="1" x14ac:dyDescent="0.2">
      <c r="A18" s="23" t="s">
        <v>5</v>
      </c>
      <c r="B18" s="23" t="s">
        <v>97</v>
      </c>
      <c r="C18" s="24" t="s">
        <v>7</v>
      </c>
      <c r="D18" s="58"/>
      <c r="E18" s="24" t="s">
        <v>126</v>
      </c>
      <c r="F18" s="24" t="s">
        <v>8</v>
      </c>
      <c r="G18" s="24" t="s">
        <v>9</v>
      </c>
      <c r="H18" s="31" t="s">
        <v>10</v>
      </c>
      <c r="I18" s="102" t="s">
        <v>11</v>
      </c>
      <c r="J18" s="102"/>
      <c r="K18" s="102"/>
      <c r="L18" s="102"/>
      <c r="M18" s="102"/>
    </row>
    <row r="19" spans="1:16" ht="18" customHeight="1" x14ac:dyDescent="0.2">
      <c r="A19" s="12" t="s">
        <v>205</v>
      </c>
      <c r="B19" s="12" t="s">
        <v>206</v>
      </c>
      <c r="C19" s="13">
        <f>C3 + ((1 - 0.8037)*'Initial Estimates'!C8)</f>
        <v>61.703133600000001</v>
      </c>
      <c r="D19" s="13"/>
      <c r="E19" s="13" t="s">
        <v>126</v>
      </c>
      <c r="F19" s="12" t="s">
        <v>29</v>
      </c>
      <c r="G19" s="12" t="s">
        <v>14</v>
      </c>
      <c r="H19" s="30" t="s">
        <v>207</v>
      </c>
      <c r="I19" s="99" t="s">
        <v>208</v>
      </c>
      <c r="J19" s="99"/>
      <c r="K19" s="99"/>
      <c r="L19" s="99"/>
      <c r="M19" s="99"/>
    </row>
    <row r="20" spans="1:16" ht="18" customHeight="1" x14ac:dyDescent="0.2">
      <c r="A20" s="12" t="s">
        <v>209</v>
      </c>
      <c r="B20" s="12" t="s">
        <v>210</v>
      </c>
      <c r="C20" s="12">
        <f>C3+0.7*'Initial Estimates'!C8</f>
        <v>76.850399999999993</v>
      </c>
      <c r="E20" s="13" t="s">
        <v>126</v>
      </c>
      <c r="F20" s="12" t="s">
        <v>29</v>
      </c>
      <c r="G20" s="12" t="s">
        <v>14</v>
      </c>
      <c r="H20" s="30" t="s">
        <v>226</v>
      </c>
      <c r="I20" s="99" t="s">
        <v>208</v>
      </c>
      <c r="J20" s="99"/>
      <c r="K20" s="99"/>
      <c r="L20" s="99"/>
      <c r="M20" s="99"/>
    </row>
    <row r="21" spans="1:16" ht="18" customHeight="1" x14ac:dyDescent="0.2">
      <c r="A21" s="12" t="s">
        <v>211</v>
      </c>
      <c r="B21" s="12" t="s">
        <v>212</v>
      </c>
      <c r="C21" s="13">
        <f>C19+'Initial Estimates'!C10</f>
        <v>82.122021600000011</v>
      </c>
      <c r="D21" s="13"/>
      <c r="E21" s="13" t="s">
        <v>126</v>
      </c>
      <c r="F21" s="12" t="s">
        <v>29</v>
      </c>
      <c r="G21" s="12" t="s">
        <v>14</v>
      </c>
      <c r="H21" s="30" t="s">
        <v>227</v>
      </c>
      <c r="I21" s="99" t="s">
        <v>208</v>
      </c>
      <c r="J21" s="99"/>
      <c r="K21" s="99"/>
      <c r="L21" s="99"/>
      <c r="M21" s="99"/>
    </row>
    <row r="22" spans="1:16" ht="18" customHeight="1" x14ac:dyDescent="0.2">
      <c r="A22" s="12" t="s">
        <v>213</v>
      </c>
      <c r="B22" s="12" t="s">
        <v>214</v>
      </c>
      <c r="C22" s="12">
        <f xml:space="preserve"> C20*'Initial Estimates'!C33</f>
        <v>746035.24855200003</v>
      </c>
      <c r="E22" s="13" t="s">
        <v>126</v>
      </c>
      <c r="F22" s="12" t="s">
        <v>225</v>
      </c>
      <c r="G22" s="12" t="s">
        <v>14</v>
      </c>
      <c r="H22" s="30" t="s">
        <v>228</v>
      </c>
      <c r="I22" s="99" t="s">
        <v>208</v>
      </c>
      <c r="J22" s="99"/>
      <c r="K22" s="99"/>
      <c r="L22" s="99"/>
      <c r="M22" s="99"/>
    </row>
    <row r="23" spans="1:16" ht="18" customHeight="1" x14ac:dyDescent="0.2">
      <c r="A23" s="12" t="s">
        <v>215</v>
      </c>
      <c r="B23" s="12" t="s">
        <v>216</v>
      </c>
      <c r="C23" s="12">
        <f>C21*'Initial Estimates'!C37</f>
        <v>111252.46828498442</v>
      </c>
      <c r="E23" s="13" t="s">
        <v>126</v>
      </c>
      <c r="F23" s="12" t="s">
        <v>225</v>
      </c>
      <c r="G23" s="12" t="s">
        <v>14</v>
      </c>
      <c r="H23" s="30" t="s">
        <v>229</v>
      </c>
      <c r="I23" s="99" t="s">
        <v>208</v>
      </c>
      <c r="J23" s="99"/>
      <c r="K23" s="99"/>
      <c r="L23" s="99"/>
      <c r="M23" s="99"/>
    </row>
    <row r="24" spans="1:16" ht="22" customHeight="1" x14ac:dyDescent="0.2">
      <c r="A24" s="112" t="s">
        <v>217</v>
      </c>
      <c r="B24" s="114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15"/>
    </row>
    <row r="25" spans="1:16" ht="18" customHeight="1" x14ac:dyDescent="0.2">
      <c r="A25" s="23" t="s">
        <v>5</v>
      </c>
      <c r="B25" s="23" t="s">
        <v>97</v>
      </c>
      <c r="C25" s="24" t="s">
        <v>7</v>
      </c>
      <c r="D25" s="58"/>
      <c r="E25" s="24" t="s">
        <v>126</v>
      </c>
      <c r="F25" s="24" t="s">
        <v>8</v>
      </c>
      <c r="G25" s="24" t="s">
        <v>9</v>
      </c>
      <c r="H25" s="31" t="s">
        <v>10</v>
      </c>
      <c r="I25" s="102" t="s">
        <v>11</v>
      </c>
      <c r="J25" s="102"/>
      <c r="K25" s="102"/>
      <c r="L25" s="102"/>
      <c r="M25" s="102"/>
    </row>
    <row r="26" spans="1:16" ht="18" customHeight="1" x14ac:dyDescent="0.2">
      <c r="A26" s="12" t="s">
        <v>221</v>
      </c>
      <c r="B26" s="12" t="s">
        <v>222</v>
      </c>
      <c r="C26" s="13">
        <v>10.18</v>
      </c>
      <c r="D26" s="13"/>
      <c r="E26" s="13" t="s">
        <v>126</v>
      </c>
      <c r="F26" s="12" t="s">
        <v>223</v>
      </c>
      <c r="G26" s="12" t="s">
        <v>14</v>
      </c>
      <c r="H26" s="30" t="s">
        <v>231</v>
      </c>
      <c r="I26" s="99" t="s">
        <v>208</v>
      </c>
      <c r="J26" s="99"/>
      <c r="K26" s="99"/>
      <c r="L26" s="99"/>
      <c r="M26" s="99"/>
      <c r="O26" s="49"/>
      <c r="P26" s="49"/>
    </row>
    <row r="27" spans="1:16" ht="18" customHeight="1" x14ac:dyDescent="0.2">
      <c r="A27" s="12" t="s">
        <v>219</v>
      </c>
      <c r="B27" s="12" t="s">
        <v>220</v>
      </c>
      <c r="C27" s="13">
        <f>C26*0.7*'Initial Estimates'!C8*'Initial Estimates'!C29</f>
        <v>10702.438894895999</v>
      </c>
      <c r="D27" s="13"/>
      <c r="E27" s="13" t="s">
        <v>126</v>
      </c>
      <c r="F27" s="12" t="s">
        <v>224</v>
      </c>
      <c r="G27" s="12" t="s">
        <v>14</v>
      </c>
      <c r="H27" s="30" t="s">
        <v>231</v>
      </c>
      <c r="I27" s="99" t="s">
        <v>208</v>
      </c>
      <c r="J27" s="99"/>
      <c r="K27" s="99"/>
      <c r="L27" s="99"/>
      <c r="M27" s="99"/>
    </row>
    <row r="28" spans="1:16" ht="18" customHeight="1" x14ac:dyDescent="0.2">
      <c r="A28" s="12" t="s">
        <v>233</v>
      </c>
      <c r="B28" s="12" t="s">
        <v>232</v>
      </c>
      <c r="C28" s="13">
        <f>'Initial Estimates'!C27-'Cg Calcs'!C27</f>
        <v>14331.397694500918</v>
      </c>
      <c r="D28" s="13"/>
      <c r="E28" s="13" t="s">
        <v>126</v>
      </c>
      <c r="F28" s="12" t="s">
        <v>224</v>
      </c>
      <c r="G28" s="12" t="s">
        <v>21</v>
      </c>
      <c r="H28" s="30" t="s">
        <v>236</v>
      </c>
      <c r="I28" s="99" t="s">
        <v>208</v>
      </c>
      <c r="J28" s="99"/>
      <c r="K28" s="99"/>
      <c r="L28" s="99"/>
      <c r="M28" s="99"/>
    </row>
    <row r="29" spans="1:16" s="49" customFormat="1" ht="18" customHeight="1" x14ac:dyDescent="0.2">
      <c r="A29" s="49" t="s">
        <v>493</v>
      </c>
      <c r="B29" s="49" t="s">
        <v>496</v>
      </c>
      <c r="C29" s="13">
        <v>0</v>
      </c>
      <c r="D29" s="13"/>
      <c r="E29" s="13" t="s">
        <v>126</v>
      </c>
      <c r="F29" s="49" t="s">
        <v>224</v>
      </c>
      <c r="G29" s="49" t="s">
        <v>21</v>
      </c>
      <c r="H29" s="30" t="s">
        <v>236</v>
      </c>
      <c r="I29" s="99" t="s">
        <v>208</v>
      </c>
      <c r="J29" s="99"/>
      <c r="K29" s="99"/>
      <c r="L29" s="99"/>
      <c r="M29" s="99"/>
      <c r="O29" s="12"/>
      <c r="P29" s="12"/>
    </row>
    <row r="30" spans="1:16" ht="18" customHeight="1" x14ac:dyDescent="0.2">
      <c r="A30" s="12" t="s">
        <v>234</v>
      </c>
      <c r="B30" s="12" t="s">
        <v>235</v>
      </c>
      <c r="C30" s="12">
        <f>C3+'Initial Estimates'!C8/2</f>
        <v>70.835999999999999</v>
      </c>
      <c r="E30" s="13" t="s">
        <v>126</v>
      </c>
      <c r="F30" s="12" t="s">
        <v>29</v>
      </c>
      <c r="G30" s="12" t="s">
        <v>21</v>
      </c>
      <c r="H30" s="30" t="s">
        <v>237</v>
      </c>
      <c r="I30" s="99" t="s">
        <v>208</v>
      </c>
      <c r="J30" s="99"/>
      <c r="K30" s="99"/>
      <c r="L30" s="99"/>
      <c r="M30" s="99"/>
    </row>
    <row r="31" spans="1:16" ht="18" customHeight="1" x14ac:dyDescent="0.2">
      <c r="A31" s="12" t="s">
        <v>238</v>
      </c>
      <c r="B31" s="12" t="s">
        <v>239</v>
      </c>
      <c r="C31" s="12">
        <f>C3+0.5+0.7*0.4*'Initial Estimates'!C8</f>
        <v>64.720159999999993</v>
      </c>
      <c r="E31" s="13" t="s">
        <v>126</v>
      </c>
      <c r="F31" s="12" t="s">
        <v>29</v>
      </c>
      <c r="G31" s="12" t="s">
        <v>21</v>
      </c>
      <c r="H31" s="30" t="s">
        <v>240</v>
      </c>
      <c r="I31" s="99" t="s">
        <v>208</v>
      </c>
      <c r="J31" s="99"/>
      <c r="K31" s="99"/>
      <c r="L31" s="99"/>
      <c r="M31" s="99"/>
      <c r="O31" s="49"/>
      <c r="P31" s="49"/>
    </row>
    <row r="32" spans="1:16" ht="18" customHeight="1" x14ac:dyDescent="0.2">
      <c r="A32" s="12" t="s">
        <v>241</v>
      </c>
      <c r="B32" s="12" t="s">
        <v>242</v>
      </c>
      <c r="C32" s="12">
        <f>C30*C27</f>
        <v>758117.96155885293</v>
      </c>
      <c r="E32" s="13" t="s">
        <v>126</v>
      </c>
      <c r="F32" s="12" t="s">
        <v>225</v>
      </c>
      <c r="G32" s="12" t="s">
        <v>21</v>
      </c>
      <c r="H32" s="29" t="s">
        <v>243</v>
      </c>
      <c r="I32" s="99" t="s">
        <v>208</v>
      </c>
      <c r="J32" s="99"/>
      <c r="K32" s="99"/>
      <c r="L32" s="99"/>
      <c r="M32" s="99"/>
    </row>
    <row r="33" spans="1:16" ht="18" customHeight="1" x14ac:dyDescent="0.2">
      <c r="A33" s="12" t="s">
        <v>244</v>
      </c>
      <c r="B33" s="12" t="s">
        <v>245</v>
      </c>
      <c r="C33" s="12">
        <f xml:space="preserve"> C31*C28</f>
        <v>927530.35181173042</v>
      </c>
      <c r="E33" s="12" t="s">
        <v>126</v>
      </c>
      <c r="F33" s="12" t="s">
        <v>225</v>
      </c>
      <c r="G33" s="12" t="s">
        <v>21</v>
      </c>
      <c r="H33" s="29" t="s">
        <v>246</v>
      </c>
      <c r="I33" s="99" t="s">
        <v>208</v>
      </c>
      <c r="J33" s="99"/>
      <c r="K33" s="99"/>
      <c r="L33" s="99"/>
      <c r="M33" s="99"/>
    </row>
    <row r="34" spans="1:16" s="49" customFormat="1" ht="18" customHeight="1" x14ac:dyDescent="0.2">
      <c r="A34" s="49" t="s">
        <v>497</v>
      </c>
      <c r="B34" s="49" t="s">
        <v>245</v>
      </c>
      <c r="C34" s="49">
        <f xml:space="preserve"> C31*C29</f>
        <v>0</v>
      </c>
      <c r="D34" s="57"/>
      <c r="E34" s="49" t="s">
        <v>126</v>
      </c>
      <c r="F34" s="49" t="s">
        <v>225</v>
      </c>
      <c r="G34" s="49" t="s">
        <v>21</v>
      </c>
      <c r="H34" s="29" t="s">
        <v>246</v>
      </c>
      <c r="I34" s="99" t="s">
        <v>208</v>
      </c>
      <c r="J34" s="99"/>
      <c r="K34" s="99"/>
      <c r="L34" s="99"/>
      <c r="M34" s="99"/>
      <c r="O34" s="12"/>
      <c r="P34" s="12"/>
    </row>
    <row r="35" spans="1:16" ht="22" customHeight="1" x14ac:dyDescent="0.2">
      <c r="A35" s="112" t="s">
        <v>247</v>
      </c>
      <c r="B35" s="114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5"/>
    </row>
    <row r="36" spans="1:16" ht="18" customHeight="1" x14ac:dyDescent="0.2">
      <c r="A36" s="23" t="s">
        <v>5</v>
      </c>
      <c r="B36" s="23" t="s">
        <v>97</v>
      </c>
      <c r="C36" s="24" t="s">
        <v>7</v>
      </c>
      <c r="D36" s="58"/>
      <c r="E36" s="24" t="s">
        <v>126</v>
      </c>
      <c r="F36" s="24" t="s">
        <v>8</v>
      </c>
      <c r="G36" s="24" t="s">
        <v>9</v>
      </c>
      <c r="H36" s="31" t="s">
        <v>10</v>
      </c>
      <c r="I36" s="102" t="s">
        <v>11</v>
      </c>
      <c r="J36" s="102"/>
      <c r="K36" s="102"/>
      <c r="L36" s="102"/>
      <c r="M36" s="102"/>
    </row>
    <row r="37" spans="1:16" ht="18" customHeight="1" x14ac:dyDescent="0.2">
      <c r="A37" s="12" t="s">
        <v>274</v>
      </c>
      <c r="B37" s="12" t="s">
        <v>248</v>
      </c>
      <c r="C37" s="13">
        <f>C4+'Initial Estimates'!C52/2</f>
        <v>69.5</v>
      </c>
      <c r="D37" s="13"/>
      <c r="E37" s="13" t="s">
        <v>126</v>
      </c>
      <c r="F37" s="12" t="s">
        <v>29</v>
      </c>
      <c r="G37" s="12" t="s">
        <v>21</v>
      </c>
      <c r="H37" s="30" t="s">
        <v>249</v>
      </c>
      <c r="I37" s="99" t="s">
        <v>208</v>
      </c>
      <c r="J37" s="99"/>
      <c r="K37" s="99"/>
      <c r="L37" s="99"/>
      <c r="M37" s="99"/>
    </row>
    <row r="38" spans="1:16" ht="18" customHeight="1" x14ac:dyDescent="0.2">
      <c r="A38" s="12" t="s">
        <v>250</v>
      </c>
      <c r="B38" s="12" t="s">
        <v>251</v>
      </c>
      <c r="C38" s="13">
        <f>C37*'Initial Estimates'!C23</f>
        <v>509782.5</v>
      </c>
      <c r="D38" s="13"/>
      <c r="E38" s="13" t="s">
        <v>126</v>
      </c>
      <c r="F38" s="12" t="s">
        <v>225</v>
      </c>
      <c r="G38" s="12" t="s">
        <v>21</v>
      </c>
      <c r="H38" s="30" t="s">
        <v>256</v>
      </c>
      <c r="I38" s="99" t="s">
        <v>208</v>
      </c>
      <c r="J38" s="99"/>
      <c r="K38" s="99"/>
      <c r="L38" s="99"/>
      <c r="M38" s="99"/>
    </row>
    <row r="39" spans="1:16" ht="22" customHeight="1" x14ac:dyDescent="0.2">
      <c r="A39" s="112" t="s">
        <v>257</v>
      </c>
      <c r="B39" s="114"/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5"/>
    </row>
    <row r="40" spans="1:16" ht="18" customHeight="1" x14ac:dyDescent="0.2">
      <c r="A40" s="23" t="s">
        <v>5</v>
      </c>
      <c r="B40" s="23" t="s">
        <v>97</v>
      </c>
      <c r="C40" s="24" t="s">
        <v>7</v>
      </c>
      <c r="D40" s="58"/>
      <c r="E40" s="24" t="s">
        <v>126</v>
      </c>
      <c r="F40" s="24" t="s">
        <v>8</v>
      </c>
      <c r="G40" s="24" t="s">
        <v>9</v>
      </c>
      <c r="H40" s="31" t="s">
        <v>10</v>
      </c>
      <c r="I40" s="102" t="s">
        <v>11</v>
      </c>
      <c r="J40" s="102"/>
      <c r="K40" s="102"/>
      <c r="L40" s="102"/>
      <c r="M40" s="102"/>
    </row>
    <row r="41" spans="1:16" ht="18" customHeight="1" x14ac:dyDescent="0.2">
      <c r="A41" s="12" t="s">
        <v>275</v>
      </c>
      <c r="B41" s="12" t="s">
        <v>259</v>
      </c>
      <c r="C41" s="13">
        <f>C5+0.4*'Initial Estimates'!C56</f>
        <v>68.599999999999994</v>
      </c>
      <c r="D41" s="13"/>
      <c r="E41" s="13" t="s">
        <v>126</v>
      </c>
      <c r="F41" s="12" t="s">
        <v>29</v>
      </c>
      <c r="G41" s="12" t="s">
        <v>21</v>
      </c>
      <c r="H41" s="30" t="s">
        <v>261</v>
      </c>
      <c r="I41" s="99" t="s">
        <v>208</v>
      </c>
      <c r="J41" s="99"/>
      <c r="K41" s="99"/>
      <c r="L41" s="99"/>
      <c r="M41" s="99"/>
    </row>
    <row r="42" spans="1:16" ht="18" customHeight="1" x14ac:dyDescent="0.2">
      <c r="A42" s="12" t="s">
        <v>258</v>
      </c>
      <c r="B42" s="12" t="s">
        <v>262</v>
      </c>
      <c r="C42" s="13">
        <f>C41*'Initial Estimates'!C38</f>
        <v>71067.096099999995</v>
      </c>
      <c r="D42" s="13"/>
      <c r="E42" s="13" t="s">
        <v>126</v>
      </c>
      <c r="F42" s="12" t="s">
        <v>225</v>
      </c>
      <c r="G42" s="12" t="s">
        <v>21</v>
      </c>
      <c r="H42" s="30" t="s">
        <v>263</v>
      </c>
      <c r="I42" s="99" t="s">
        <v>208</v>
      </c>
      <c r="J42" s="99"/>
      <c r="K42" s="99"/>
      <c r="L42" s="99"/>
      <c r="M42" s="99"/>
    </row>
    <row r="43" spans="1:16" ht="22" customHeight="1" x14ac:dyDescent="0.2">
      <c r="A43" s="112" t="s">
        <v>264</v>
      </c>
      <c r="B43" s="114"/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5"/>
    </row>
    <row r="44" spans="1:16" ht="18" customHeight="1" x14ac:dyDescent="0.2">
      <c r="A44" s="23" t="s">
        <v>5</v>
      </c>
      <c r="B44" s="23" t="s">
        <v>97</v>
      </c>
      <c r="C44" s="24" t="s">
        <v>7</v>
      </c>
      <c r="D44" s="58"/>
      <c r="E44" s="24" t="s">
        <v>126</v>
      </c>
      <c r="F44" s="24" t="s">
        <v>8</v>
      </c>
      <c r="G44" s="24" t="s">
        <v>9</v>
      </c>
      <c r="H44" s="31" t="s">
        <v>10</v>
      </c>
      <c r="I44" s="102" t="s">
        <v>11</v>
      </c>
      <c r="J44" s="102"/>
      <c r="K44" s="102"/>
      <c r="L44" s="102"/>
      <c r="M44" s="102"/>
    </row>
    <row r="45" spans="1:16" ht="18" customHeight="1" x14ac:dyDescent="0.2">
      <c r="A45" s="12" t="s">
        <v>269</v>
      </c>
      <c r="B45" s="12" t="s">
        <v>271</v>
      </c>
      <c r="C45" s="13">
        <f>C10+0.42</f>
        <v>81.42</v>
      </c>
      <c r="D45" s="13"/>
      <c r="E45" s="13" t="s">
        <v>126</v>
      </c>
      <c r="F45" s="12" t="s">
        <v>29</v>
      </c>
      <c r="G45" s="12" t="s">
        <v>21</v>
      </c>
      <c r="H45" s="30" t="s">
        <v>277</v>
      </c>
      <c r="I45" s="99" t="s">
        <v>208</v>
      </c>
      <c r="J45" s="99"/>
      <c r="K45" s="99"/>
      <c r="L45" s="99"/>
      <c r="M45" s="99"/>
    </row>
    <row r="46" spans="1:16" ht="18" customHeight="1" x14ac:dyDescent="0.2">
      <c r="A46" s="12" t="s">
        <v>270</v>
      </c>
      <c r="B46" s="12" t="s">
        <v>272</v>
      </c>
      <c r="C46" s="13">
        <f>C11+0.42</f>
        <v>81.42</v>
      </c>
      <c r="D46" s="13"/>
      <c r="E46" s="13" t="s">
        <v>126</v>
      </c>
      <c r="F46" s="12" t="s">
        <v>29</v>
      </c>
      <c r="G46" s="12" t="s">
        <v>21</v>
      </c>
      <c r="H46" s="30" t="s">
        <v>277</v>
      </c>
      <c r="I46" s="99" t="s">
        <v>208</v>
      </c>
      <c r="J46" s="99"/>
      <c r="K46" s="99"/>
      <c r="L46" s="99"/>
      <c r="M46" s="99"/>
    </row>
    <row r="47" spans="1:16" ht="18" customHeight="1" x14ac:dyDescent="0.2">
      <c r="A47" s="12" t="s">
        <v>267</v>
      </c>
      <c r="B47" s="12" t="s">
        <v>268</v>
      </c>
      <c r="C47" s="13">
        <f>C46*'Initial Estimates'!C34</f>
        <v>104402.95263</v>
      </c>
      <c r="D47" s="13"/>
      <c r="E47" s="13" t="s">
        <v>126</v>
      </c>
      <c r="F47" s="12" t="s">
        <v>225</v>
      </c>
      <c r="G47" s="12" t="s">
        <v>21</v>
      </c>
      <c r="H47" s="30" t="s">
        <v>278</v>
      </c>
      <c r="I47" s="99" t="s">
        <v>208</v>
      </c>
      <c r="J47" s="99"/>
      <c r="K47" s="99"/>
      <c r="L47" s="99"/>
      <c r="M47" s="99"/>
    </row>
    <row r="48" spans="1:16" ht="22" customHeight="1" x14ac:dyDescent="0.2">
      <c r="A48" s="112" t="s">
        <v>265</v>
      </c>
      <c r="B48" s="114"/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5"/>
    </row>
    <row r="49" spans="1:13" ht="18" customHeight="1" x14ac:dyDescent="0.2">
      <c r="A49" s="23" t="s">
        <v>5</v>
      </c>
      <c r="B49" s="23" t="s">
        <v>97</v>
      </c>
      <c r="C49" s="24" t="s">
        <v>7</v>
      </c>
      <c r="D49" s="58"/>
      <c r="E49" s="24" t="s">
        <v>126</v>
      </c>
      <c r="F49" s="24" t="s">
        <v>8</v>
      </c>
      <c r="G49" s="24" t="s">
        <v>9</v>
      </c>
      <c r="H49" s="31" t="s">
        <v>10</v>
      </c>
      <c r="I49" s="102" t="s">
        <v>11</v>
      </c>
      <c r="J49" s="102"/>
      <c r="K49" s="102"/>
      <c r="L49" s="102"/>
      <c r="M49" s="102"/>
    </row>
    <row r="50" spans="1:13" ht="18" customHeight="1" x14ac:dyDescent="0.2">
      <c r="A50" s="12" t="s">
        <v>273</v>
      </c>
      <c r="B50" s="12" t="s">
        <v>276</v>
      </c>
      <c r="C50" s="12">
        <f>C8+0.47*'Initial Estimates'!C50</f>
        <v>33.319900000000004</v>
      </c>
      <c r="E50" s="13" t="s">
        <v>126</v>
      </c>
      <c r="F50" s="12" t="s">
        <v>29</v>
      </c>
      <c r="G50" s="12" t="s">
        <v>21</v>
      </c>
      <c r="H50" s="30" t="s">
        <v>279</v>
      </c>
      <c r="I50" s="99" t="s">
        <v>208</v>
      </c>
      <c r="J50" s="99"/>
      <c r="K50" s="99"/>
      <c r="L50" s="99"/>
      <c r="M50" s="99"/>
    </row>
    <row r="51" spans="1:13" ht="18" customHeight="1" x14ac:dyDescent="0.2">
      <c r="A51" s="12" t="s">
        <v>280</v>
      </c>
      <c r="B51" s="12" t="s">
        <v>281</v>
      </c>
      <c r="C51" s="12">
        <f>C50*'Initial Estimates'!C35</f>
        <v>253455.31632750001</v>
      </c>
      <c r="E51" s="13" t="s">
        <v>126</v>
      </c>
      <c r="F51" s="12" t="s">
        <v>225</v>
      </c>
      <c r="G51" s="12" t="s">
        <v>21</v>
      </c>
      <c r="H51" s="30" t="s">
        <v>282</v>
      </c>
      <c r="I51" s="99" t="s">
        <v>208</v>
      </c>
      <c r="J51" s="99"/>
      <c r="K51" s="99"/>
      <c r="L51" s="99"/>
      <c r="M51" s="99"/>
    </row>
    <row r="52" spans="1:13" ht="22" customHeight="1" x14ac:dyDescent="0.2">
      <c r="A52" s="112" t="s">
        <v>266</v>
      </c>
      <c r="B52" s="114"/>
      <c r="C52" s="114"/>
      <c r="D52" s="114"/>
      <c r="E52" s="114"/>
      <c r="F52" s="114"/>
      <c r="G52" s="114"/>
      <c r="H52" s="114"/>
      <c r="I52" s="114"/>
      <c r="J52" s="114"/>
      <c r="K52" s="114"/>
      <c r="L52" s="114"/>
      <c r="M52" s="115"/>
    </row>
    <row r="53" spans="1:13" ht="18" customHeight="1" x14ac:dyDescent="0.2">
      <c r="A53" s="23" t="s">
        <v>5</v>
      </c>
      <c r="B53" s="23" t="s">
        <v>97</v>
      </c>
      <c r="C53" s="24" t="s">
        <v>7</v>
      </c>
      <c r="D53" s="58"/>
      <c r="E53" s="24" t="s">
        <v>126</v>
      </c>
      <c r="F53" s="24" t="s">
        <v>8</v>
      </c>
      <c r="G53" s="24" t="s">
        <v>9</v>
      </c>
      <c r="H53" s="31" t="s">
        <v>10</v>
      </c>
      <c r="I53" s="102" t="s">
        <v>11</v>
      </c>
      <c r="J53" s="102"/>
      <c r="K53" s="102"/>
      <c r="L53" s="102"/>
      <c r="M53" s="102"/>
    </row>
    <row r="54" spans="1:13" ht="18" customHeight="1" x14ac:dyDescent="0.2">
      <c r="A54" s="12" t="s">
        <v>283</v>
      </c>
      <c r="B54" s="12" t="s">
        <v>284</v>
      </c>
      <c r="C54" s="12">
        <f>C6+2/3*C7</f>
        <v>30.6</v>
      </c>
      <c r="E54" s="12" t="s">
        <v>126</v>
      </c>
      <c r="F54" s="12" t="s">
        <v>29</v>
      </c>
      <c r="G54" s="12" t="s">
        <v>21</v>
      </c>
      <c r="H54" s="30" t="s">
        <v>295</v>
      </c>
      <c r="I54" s="99" t="s">
        <v>208</v>
      </c>
      <c r="J54" s="99"/>
      <c r="K54" s="99"/>
      <c r="L54" s="99"/>
      <c r="M54" s="99"/>
    </row>
    <row r="55" spans="1:13" ht="18" customHeight="1" x14ac:dyDescent="0.2">
      <c r="A55" s="12" t="s">
        <v>285</v>
      </c>
      <c r="B55" s="12" t="s">
        <v>286</v>
      </c>
      <c r="C55" s="12">
        <f>C54*'Initial Estimates'!C36</f>
        <v>102638.62710000001</v>
      </c>
      <c r="E55" s="12" t="s">
        <v>126</v>
      </c>
      <c r="F55" s="12" t="s">
        <v>225</v>
      </c>
      <c r="G55" s="12" t="s">
        <v>21</v>
      </c>
      <c r="H55" s="29" t="s">
        <v>287</v>
      </c>
      <c r="I55" s="99" t="s">
        <v>208</v>
      </c>
      <c r="J55" s="99"/>
      <c r="K55" s="99"/>
      <c r="L55" s="99"/>
      <c r="M55" s="99"/>
    </row>
    <row r="56" spans="1:13" ht="22" customHeight="1" x14ac:dyDescent="0.2">
      <c r="A56" s="112" t="s">
        <v>494</v>
      </c>
      <c r="B56" s="114"/>
      <c r="C56" s="114"/>
      <c r="D56" s="114"/>
      <c r="E56" s="114"/>
      <c r="F56" s="114"/>
      <c r="G56" s="114"/>
      <c r="H56" s="114"/>
      <c r="I56" s="114"/>
      <c r="J56" s="114"/>
      <c r="K56" s="114"/>
      <c r="L56" s="114"/>
      <c r="M56" s="115"/>
    </row>
    <row r="57" spans="1:13" ht="18" customHeight="1" x14ac:dyDescent="0.2">
      <c r="A57" s="23" t="s">
        <v>5</v>
      </c>
      <c r="B57" s="23" t="s">
        <v>97</v>
      </c>
      <c r="C57" s="24" t="s">
        <v>7</v>
      </c>
      <c r="D57" s="58"/>
      <c r="E57" s="24" t="s">
        <v>126</v>
      </c>
      <c r="F57" s="24" t="s">
        <v>8</v>
      </c>
      <c r="G57" s="24" t="s">
        <v>9</v>
      </c>
      <c r="H57" s="31" t="s">
        <v>10</v>
      </c>
      <c r="I57" s="102" t="s">
        <v>11</v>
      </c>
      <c r="J57" s="102"/>
      <c r="K57" s="102"/>
      <c r="L57" s="102"/>
      <c r="M57" s="102"/>
    </row>
    <row r="58" spans="1:13" ht="18" customHeight="1" x14ac:dyDescent="0.2">
      <c r="A58" s="12" t="s">
        <v>288</v>
      </c>
      <c r="B58" s="12" t="s">
        <v>292</v>
      </c>
      <c r="C58" s="12">
        <f xml:space="preserve"> $C$14+'Initial Estimates'!$C$53/2</f>
        <v>26.599999999999998</v>
      </c>
      <c r="E58" s="12" t="s">
        <v>126</v>
      </c>
      <c r="F58" s="12" t="s">
        <v>29</v>
      </c>
      <c r="G58" s="12" t="s">
        <v>21</v>
      </c>
      <c r="H58" s="30" t="s">
        <v>296</v>
      </c>
      <c r="I58" s="99" t="s">
        <v>208</v>
      </c>
      <c r="J58" s="99"/>
      <c r="K58" s="99"/>
      <c r="L58" s="99"/>
      <c r="M58" s="99"/>
    </row>
    <row r="59" spans="1:13" ht="18" customHeight="1" x14ac:dyDescent="0.2">
      <c r="A59" s="12" t="s">
        <v>289</v>
      </c>
      <c r="B59" s="12" t="s">
        <v>293</v>
      </c>
      <c r="C59" s="12">
        <f xml:space="preserve"> $C$15+'Initial Estimates'!$C$53/2</f>
        <v>37.4</v>
      </c>
      <c r="E59" s="12" t="s">
        <v>126</v>
      </c>
      <c r="F59" s="12" t="s">
        <v>29</v>
      </c>
      <c r="G59" s="12" t="s">
        <v>21</v>
      </c>
      <c r="H59" s="30" t="s">
        <v>297</v>
      </c>
      <c r="I59" s="99" t="s">
        <v>208</v>
      </c>
      <c r="J59" s="99"/>
      <c r="K59" s="99"/>
      <c r="L59" s="99"/>
      <c r="M59" s="99"/>
    </row>
    <row r="60" spans="1:13" ht="18" customHeight="1" x14ac:dyDescent="0.2">
      <c r="A60" s="12" t="s">
        <v>291</v>
      </c>
      <c r="B60" s="12" t="s">
        <v>294</v>
      </c>
      <c r="C60" s="12">
        <f xml:space="preserve"> $C$16+'Initial Estimates'!$C$53/2</f>
        <v>47.75</v>
      </c>
      <c r="E60" s="12" t="s">
        <v>126</v>
      </c>
      <c r="F60" s="12" t="s">
        <v>29</v>
      </c>
      <c r="G60" s="12" t="s">
        <v>21</v>
      </c>
      <c r="H60" s="30" t="s">
        <v>297</v>
      </c>
      <c r="I60" s="99" t="s">
        <v>208</v>
      </c>
      <c r="J60" s="99"/>
      <c r="K60" s="99"/>
      <c r="L60" s="99"/>
      <c r="M60" s="99"/>
    </row>
    <row r="61" spans="1:13" ht="18" customHeight="1" x14ac:dyDescent="0.2">
      <c r="A61" s="12" t="s">
        <v>298</v>
      </c>
      <c r="B61" s="12" t="s">
        <v>301</v>
      </c>
      <c r="C61" s="12">
        <f>'Initial Estimates'!$C$44*('Initial Estimates'!$C$40+'Initial Estimates'!$C$43)</f>
        <v>980</v>
      </c>
      <c r="E61" s="12" t="s">
        <v>126</v>
      </c>
      <c r="F61" s="12" t="s">
        <v>224</v>
      </c>
      <c r="G61" s="12" t="s">
        <v>21</v>
      </c>
      <c r="H61" s="29" t="s">
        <v>311</v>
      </c>
      <c r="I61" s="99" t="s">
        <v>208</v>
      </c>
      <c r="J61" s="99"/>
      <c r="K61" s="99"/>
      <c r="L61" s="99"/>
      <c r="M61" s="99"/>
    </row>
    <row r="62" spans="1:13" ht="18" customHeight="1" x14ac:dyDescent="0.2">
      <c r="A62" s="12" t="s">
        <v>299</v>
      </c>
      <c r="B62" s="12" t="s">
        <v>302</v>
      </c>
      <c r="C62" s="49">
        <f>'Initial Estimates'!$C$45*('Initial Estimates'!$C$40+'Initial Estimates'!$C$43)</f>
        <v>980</v>
      </c>
      <c r="E62" s="12" t="s">
        <v>126</v>
      </c>
      <c r="F62" s="12" t="s">
        <v>224</v>
      </c>
      <c r="G62" s="12" t="s">
        <v>21</v>
      </c>
      <c r="H62" s="29" t="s">
        <v>311</v>
      </c>
      <c r="I62" s="99" t="s">
        <v>208</v>
      </c>
      <c r="J62" s="99"/>
      <c r="K62" s="99"/>
      <c r="L62" s="99"/>
      <c r="M62" s="99"/>
    </row>
    <row r="63" spans="1:13" ht="18" customHeight="1" x14ac:dyDescent="0.2">
      <c r="A63" s="12" t="s">
        <v>300</v>
      </c>
      <c r="B63" s="12" t="s">
        <v>303</v>
      </c>
      <c r="C63" s="49">
        <f>'Initial Estimates'!$C$46*('Initial Estimates'!$C$40+'Initial Estimates'!$C$43)</f>
        <v>980</v>
      </c>
      <c r="E63" s="12" t="s">
        <v>126</v>
      </c>
      <c r="F63" s="12" t="s">
        <v>224</v>
      </c>
      <c r="G63" s="12" t="s">
        <v>21</v>
      </c>
      <c r="H63" s="29" t="s">
        <v>311</v>
      </c>
      <c r="I63" s="99" t="s">
        <v>208</v>
      </c>
      <c r="J63" s="99"/>
      <c r="K63" s="99"/>
      <c r="L63" s="99"/>
      <c r="M63" s="99"/>
    </row>
    <row r="64" spans="1:13" ht="18" customHeight="1" x14ac:dyDescent="0.2">
      <c r="A64" s="12" t="s">
        <v>312</v>
      </c>
      <c r="B64" s="12" t="s">
        <v>313</v>
      </c>
      <c r="C64" s="12">
        <f xml:space="preserve"> 2*'Initial Estimates'!$C$42+2*'Initial Estimates'!$C$43</f>
        <v>480</v>
      </c>
      <c r="E64" s="12" t="s">
        <v>126</v>
      </c>
      <c r="F64" s="12" t="s">
        <v>224</v>
      </c>
      <c r="G64" s="12" t="s">
        <v>21</v>
      </c>
      <c r="H64" s="29" t="s">
        <v>314</v>
      </c>
      <c r="I64" s="99" t="s">
        <v>208</v>
      </c>
      <c r="J64" s="99"/>
      <c r="K64" s="99"/>
      <c r="L64" s="99"/>
      <c r="M64" s="99"/>
    </row>
    <row r="65" spans="1:16" ht="18" customHeight="1" x14ac:dyDescent="0.2">
      <c r="A65" s="12" t="s">
        <v>315</v>
      </c>
      <c r="B65" s="12" t="s">
        <v>202</v>
      </c>
      <c r="C65" s="12">
        <f xml:space="preserve"> 'Initial Estimates'!$C$41+'Initial Estimates'!$C$43</f>
        <v>230</v>
      </c>
      <c r="E65" s="12" t="s">
        <v>126</v>
      </c>
      <c r="F65" s="12" t="s">
        <v>224</v>
      </c>
      <c r="G65" s="12" t="s">
        <v>21</v>
      </c>
      <c r="H65" s="29" t="s">
        <v>314</v>
      </c>
      <c r="I65" s="99" t="s">
        <v>208</v>
      </c>
      <c r="J65" s="99"/>
      <c r="K65" s="99"/>
      <c r="L65" s="99"/>
      <c r="M65" s="99"/>
    </row>
    <row r="66" spans="1:16" ht="18" customHeight="1" x14ac:dyDescent="0.2">
      <c r="A66" s="12" t="s">
        <v>316</v>
      </c>
      <c r="B66" s="12" t="s">
        <v>317</v>
      </c>
      <c r="C66" s="12">
        <f xml:space="preserve"> C61*C58</f>
        <v>26067.999999999996</v>
      </c>
      <c r="E66" s="12" t="s">
        <v>126</v>
      </c>
      <c r="F66" s="12" t="s">
        <v>225</v>
      </c>
      <c r="G66" s="12" t="s">
        <v>21</v>
      </c>
      <c r="H66" s="29" t="s">
        <v>322</v>
      </c>
      <c r="I66" s="99" t="s">
        <v>208</v>
      </c>
      <c r="J66" s="99"/>
      <c r="K66" s="99"/>
      <c r="L66" s="99"/>
      <c r="M66" s="99"/>
    </row>
    <row r="67" spans="1:16" ht="18" customHeight="1" x14ac:dyDescent="0.2">
      <c r="A67" s="12" t="s">
        <v>318</v>
      </c>
      <c r="B67" s="12" t="s">
        <v>320</v>
      </c>
      <c r="C67" s="12">
        <f xml:space="preserve"> C62*C59</f>
        <v>36652</v>
      </c>
      <c r="E67" s="12" t="s">
        <v>126</v>
      </c>
      <c r="F67" s="12" t="s">
        <v>225</v>
      </c>
      <c r="G67" s="12" t="s">
        <v>21</v>
      </c>
      <c r="H67" s="29" t="s">
        <v>322</v>
      </c>
      <c r="I67" s="99" t="s">
        <v>208</v>
      </c>
      <c r="J67" s="99"/>
      <c r="K67" s="99"/>
      <c r="L67" s="99"/>
      <c r="M67" s="99"/>
    </row>
    <row r="68" spans="1:16" ht="18" customHeight="1" x14ac:dyDescent="0.2">
      <c r="A68" s="12" t="s">
        <v>319</v>
      </c>
      <c r="B68" s="12" t="s">
        <v>321</v>
      </c>
      <c r="C68" s="12">
        <f xml:space="preserve"> C63*C60</f>
        <v>46795</v>
      </c>
      <c r="E68" s="12" t="s">
        <v>126</v>
      </c>
      <c r="F68" s="12" t="s">
        <v>225</v>
      </c>
      <c r="G68" s="12" t="s">
        <v>21</v>
      </c>
      <c r="H68" s="29" t="s">
        <v>322</v>
      </c>
      <c r="I68" s="99" t="s">
        <v>208</v>
      </c>
      <c r="J68" s="99"/>
      <c r="K68" s="99"/>
      <c r="L68" s="99"/>
      <c r="M68" s="99"/>
      <c r="O68" s="49"/>
      <c r="P68" s="49"/>
    </row>
    <row r="69" spans="1:16" ht="18" customHeight="1" x14ac:dyDescent="0.2">
      <c r="A69" s="12" t="s">
        <v>323</v>
      </c>
      <c r="B69" s="12" t="s">
        <v>324</v>
      </c>
      <c r="C69" s="12">
        <f>$C$12*C64</f>
        <v>2160</v>
      </c>
      <c r="E69" s="12" t="s">
        <v>126</v>
      </c>
      <c r="F69" s="12" t="s">
        <v>225</v>
      </c>
      <c r="G69" s="12" t="s">
        <v>21</v>
      </c>
      <c r="H69" s="29" t="s">
        <v>327</v>
      </c>
      <c r="I69" s="99" t="s">
        <v>208</v>
      </c>
      <c r="J69" s="99"/>
      <c r="K69" s="99"/>
      <c r="L69" s="99"/>
      <c r="M69" s="99"/>
      <c r="O69" s="49"/>
      <c r="P69" s="49"/>
    </row>
    <row r="70" spans="1:16" ht="18" customHeight="1" x14ac:dyDescent="0.2">
      <c r="A70" s="12" t="s">
        <v>325</v>
      </c>
      <c r="B70" s="12" t="s">
        <v>326</v>
      </c>
      <c r="C70" s="12">
        <f>C65*$C$13</f>
        <v>3105</v>
      </c>
      <c r="E70" s="12" t="s">
        <v>126</v>
      </c>
      <c r="F70" s="12" t="s">
        <v>225</v>
      </c>
      <c r="G70" s="12" t="s">
        <v>21</v>
      </c>
      <c r="H70" s="29" t="s">
        <v>327</v>
      </c>
      <c r="I70" s="99" t="s">
        <v>208</v>
      </c>
      <c r="J70" s="99"/>
      <c r="K70" s="99"/>
      <c r="L70" s="99"/>
      <c r="M70" s="99"/>
      <c r="O70" s="49"/>
      <c r="P70" s="49"/>
    </row>
    <row r="71" spans="1:16" s="49" customFormat="1" ht="22" customHeight="1" x14ac:dyDescent="0.2">
      <c r="A71" s="112" t="s">
        <v>495</v>
      </c>
      <c r="B71" s="114"/>
      <c r="C71" s="114"/>
      <c r="D71" s="114"/>
      <c r="E71" s="114"/>
      <c r="F71" s="114"/>
      <c r="G71" s="114"/>
      <c r="H71" s="114"/>
      <c r="I71" s="114"/>
      <c r="J71" s="114"/>
      <c r="K71" s="114"/>
      <c r="L71" s="114"/>
      <c r="M71" s="115"/>
    </row>
    <row r="72" spans="1:16" s="49" customFormat="1" ht="18" customHeight="1" x14ac:dyDescent="0.2">
      <c r="A72" s="23" t="s">
        <v>5</v>
      </c>
      <c r="B72" s="23" t="s">
        <v>97</v>
      </c>
      <c r="C72" s="50" t="s">
        <v>7</v>
      </c>
      <c r="D72" s="58"/>
      <c r="E72" s="50" t="s">
        <v>126</v>
      </c>
      <c r="F72" s="50" t="s">
        <v>8</v>
      </c>
      <c r="G72" s="50" t="s">
        <v>9</v>
      </c>
      <c r="H72" s="31" t="s">
        <v>10</v>
      </c>
      <c r="I72" s="102" t="s">
        <v>11</v>
      </c>
      <c r="J72" s="102"/>
      <c r="K72" s="102"/>
      <c r="L72" s="102"/>
      <c r="M72" s="102"/>
    </row>
    <row r="73" spans="1:16" s="49" customFormat="1" ht="18" customHeight="1" x14ac:dyDescent="0.2">
      <c r="A73" s="49" t="s">
        <v>288</v>
      </c>
      <c r="B73" s="49" t="s">
        <v>292</v>
      </c>
      <c r="C73" s="49">
        <f xml:space="preserve"> $C$14+'Initial Estimates'!$C$53/2</f>
        <v>26.599999999999998</v>
      </c>
      <c r="D73" s="57"/>
      <c r="E73" s="49" t="s">
        <v>126</v>
      </c>
      <c r="F73" s="49" t="s">
        <v>29</v>
      </c>
      <c r="G73" s="49" t="s">
        <v>21</v>
      </c>
      <c r="H73" s="30" t="s">
        <v>296</v>
      </c>
      <c r="I73" s="99" t="s">
        <v>208</v>
      </c>
      <c r="J73" s="99"/>
      <c r="K73" s="99"/>
      <c r="L73" s="99"/>
      <c r="M73" s="99"/>
    </row>
    <row r="74" spans="1:16" s="49" customFormat="1" ht="18" customHeight="1" x14ac:dyDescent="0.2">
      <c r="A74" s="49" t="s">
        <v>289</v>
      </c>
      <c r="B74" s="49" t="s">
        <v>293</v>
      </c>
      <c r="C74" s="49">
        <f xml:space="preserve"> $C$15+'Initial Estimates'!$C$53/2</f>
        <v>37.4</v>
      </c>
      <c r="D74" s="57"/>
      <c r="E74" s="49" t="s">
        <v>126</v>
      </c>
      <c r="F74" s="49" t="s">
        <v>29</v>
      </c>
      <c r="G74" s="49" t="s">
        <v>21</v>
      </c>
      <c r="H74" s="30" t="s">
        <v>297</v>
      </c>
      <c r="I74" s="99" t="s">
        <v>208</v>
      </c>
      <c r="J74" s="99"/>
      <c r="K74" s="99"/>
      <c r="L74" s="99"/>
      <c r="M74" s="99"/>
    </row>
    <row r="75" spans="1:16" s="49" customFormat="1" ht="18" customHeight="1" x14ac:dyDescent="0.2">
      <c r="A75" s="49" t="s">
        <v>291</v>
      </c>
      <c r="B75" s="49" t="s">
        <v>294</v>
      </c>
      <c r="C75" s="49">
        <f xml:space="preserve"> $C$16+'Initial Estimates'!$C$53/2</f>
        <v>47.75</v>
      </c>
      <c r="D75" s="57"/>
      <c r="E75" s="49" t="s">
        <v>126</v>
      </c>
      <c r="F75" s="49" t="s">
        <v>29</v>
      </c>
      <c r="G75" s="49" t="s">
        <v>21</v>
      </c>
      <c r="H75" s="30" t="s">
        <v>297</v>
      </c>
      <c r="I75" s="99" t="s">
        <v>208</v>
      </c>
      <c r="J75" s="99"/>
      <c r="K75" s="99"/>
      <c r="L75" s="99"/>
      <c r="M75" s="99"/>
    </row>
    <row r="76" spans="1:16" s="49" customFormat="1" ht="18" customHeight="1" x14ac:dyDescent="0.2">
      <c r="A76" s="49" t="s">
        <v>298</v>
      </c>
      <c r="B76" s="49" t="s">
        <v>301</v>
      </c>
      <c r="C76" s="49">
        <f>'Initial Estimates'!$C$44*('Initial Estimates'!$C$40)</f>
        <v>180</v>
      </c>
      <c r="D76" s="57"/>
      <c r="E76" s="49" t="s">
        <v>126</v>
      </c>
      <c r="F76" s="49" t="s">
        <v>224</v>
      </c>
      <c r="G76" s="49" t="s">
        <v>21</v>
      </c>
      <c r="H76" s="29" t="s">
        <v>311</v>
      </c>
      <c r="I76" s="99" t="s">
        <v>208</v>
      </c>
      <c r="J76" s="99"/>
      <c r="K76" s="99"/>
      <c r="L76" s="99"/>
      <c r="M76" s="99"/>
    </row>
    <row r="77" spans="1:16" s="49" customFormat="1" ht="18" customHeight="1" x14ac:dyDescent="0.2">
      <c r="A77" s="49" t="s">
        <v>299</v>
      </c>
      <c r="B77" s="49" t="s">
        <v>302</v>
      </c>
      <c r="C77" s="49">
        <f>'Initial Estimates'!$C$45*('Initial Estimates'!$C$40)</f>
        <v>180</v>
      </c>
      <c r="D77" s="57"/>
      <c r="E77" s="49" t="s">
        <v>126</v>
      </c>
      <c r="F77" s="49" t="s">
        <v>224</v>
      </c>
      <c r="G77" s="49" t="s">
        <v>21</v>
      </c>
      <c r="H77" s="29" t="s">
        <v>311</v>
      </c>
      <c r="I77" s="99" t="s">
        <v>208</v>
      </c>
      <c r="J77" s="99"/>
      <c r="K77" s="99"/>
      <c r="L77" s="99"/>
      <c r="M77" s="99"/>
    </row>
    <row r="78" spans="1:16" s="49" customFormat="1" ht="18" customHeight="1" x14ac:dyDescent="0.2">
      <c r="A78" s="49" t="s">
        <v>300</v>
      </c>
      <c r="B78" s="49" t="s">
        <v>303</v>
      </c>
      <c r="C78" s="49">
        <f>'Initial Estimates'!$C$46*('Initial Estimates'!$C$40)</f>
        <v>180</v>
      </c>
      <c r="D78" s="57"/>
      <c r="E78" s="49" t="s">
        <v>126</v>
      </c>
      <c r="F78" s="49" t="s">
        <v>224</v>
      </c>
      <c r="G78" s="49" t="s">
        <v>21</v>
      </c>
      <c r="H78" s="29" t="s">
        <v>311</v>
      </c>
      <c r="I78" s="99" t="s">
        <v>208</v>
      </c>
      <c r="J78" s="99"/>
      <c r="K78" s="99"/>
      <c r="L78" s="99"/>
      <c r="M78" s="99"/>
    </row>
    <row r="79" spans="1:16" s="49" customFormat="1" ht="18" customHeight="1" x14ac:dyDescent="0.2">
      <c r="A79" s="49" t="s">
        <v>312</v>
      </c>
      <c r="B79" s="49" t="s">
        <v>313</v>
      </c>
      <c r="C79" s="49">
        <f xml:space="preserve"> 2*'Initial Estimates'!$C$42+2*'Initial Estimates'!$C$43</f>
        <v>480</v>
      </c>
      <c r="D79" s="57"/>
      <c r="E79" s="49" t="s">
        <v>126</v>
      </c>
      <c r="F79" s="49" t="s">
        <v>224</v>
      </c>
      <c r="G79" s="49" t="s">
        <v>21</v>
      </c>
      <c r="H79" s="29" t="s">
        <v>314</v>
      </c>
      <c r="I79" s="99" t="s">
        <v>208</v>
      </c>
      <c r="J79" s="99"/>
      <c r="K79" s="99"/>
      <c r="L79" s="99"/>
      <c r="M79" s="99"/>
    </row>
    <row r="80" spans="1:16" s="49" customFormat="1" ht="18" customHeight="1" x14ac:dyDescent="0.2">
      <c r="A80" s="49" t="s">
        <v>315</v>
      </c>
      <c r="B80" s="49" t="s">
        <v>202</v>
      </c>
      <c r="C80" s="49">
        <f xml:space="preserve"> 'Initial Estimates'!$C$41</f>
        <v>30</v>
      </c>
      <c r="D80" s="57"/>
      <c r="E80" s="49" t="s">
        <v>126</v>
      </c>
      <c r="F80" s="49" t="s">
        <v>224</v>
      </c>
      <c r="G80" s="49" t="s">
        <v>21</v>
      </c>
      <c r="H80" s="29" t="s">
        <v>314</v>
      </c>
      <c r="I80" s="99" t="s">
        <v>208</v>
      </c>
      <c r="J80" s="99"/>
      <c r="K80" s="99"/>
      <c r="L80" s="99"/>
      <c r="M80" s="99"/>
    </row>
    <row r="81" spans="1:16" s="49" customFormat="1" ht="18" customHeight="1" x14ac:dyDescent="0.2">
      <c r="A81" s="49" t="s">
        <v>316</v>
      </c>
      <c r="B81" s="49" t="s">
        <v>317</v>
      </c>
      <c r="C81" s="49">
        <f xml:space="preserve"> C76*C73</f>
        <v>4788</v>
      </c>
      <c r="D81" s="57"/>
      <c r="E81" s="49" t="s">
        <v>126</v>
      </c>
      <c r="F81" s="49" t="s">
        <v>225</v>
      </c>
      <c r="G81" s="49" t="s">
        <v>21</v>
      </c>
      <c r="H81" s="29" t="s">
        <v>322</v>
      </c>
      <c r="I81" s="99" t="s">
        <v>208</v>
      </c>
      <c r="J81" s="99"/>
      <c r="K81" s="99"/>
      <c r="L81" s="99"/>
      <c r="M81" s="99"/>
    </row>
    <row r="82" spans="1:16" s="49" customFormat="1" ht="18" customHeight="1" x14ac:dyDescent="0.2">
      <c r="A82" s="49" t="s">
        <v>318</v>
      </c>
      <c r="B82" s="49" t="s">
        <v>320</v>
      </c>
      <c r="C82" s="49">
        <f xml:space="preserve"> C77*C74</f>
        <v>6732</v>
      </c>
      <c r="D82" s="57"/>
      <c r="E82" s="49" t="s">
        <v>126</v>
      </c>
      <c r="F82" s="49" t="s">
        <v>225</v>
      </c>
      <c r="G82" s="49" t="s">
        <v>21</v>
      </c>
      <c r="H82" s="29" t="s">
        <v>322</v>
      </c>
      <c r="I82" s="99" t="s">
        <v>208</v>
      </c>
      <c r="J82" s="99"/>
      <c r="K82" s="99"/>
      <c r="L82" s="99"/>
      <c r="M82" s="99"/>
    </row>
    <row r="83" spans="1:16" s="49" customFormat="1" ht="18" customHeight="1" x14ac:dyDescent="0.2">
      <c r="A83" s="49" t="s">
        <v>319</v>
      </c>
      <c r="B83" s="49" t="s">
        <v>321</v>
      </c>
      <c r="C83" s="49">
        <f xml:space="preserve"> C78*C75</f>
        <v>8595</v>
      </c>
      <c r="D83" s="57"/>
      <c r="E83" s="49" t="s">
        <v>126</v>
      </c>
      <c r="F83" s="49" t="s">
        <v>225</v>
      </c>
      <c r="G83" s="49" t="s">
        <v>21</v>
      </c>
      <c r="H83" s="29" t="s">
        <v>322</v>
      </c>
      <c r="I83" s="99" t="s">
        <v>208</v>
      </c>
      <c r="J83" s="99"/>
      <c r="K83" s="99"/>
      <c r="L83" s="99"/>
      <c r="M83" s="99"/>
      <c r="O83" s="12"/>
      <c r="P83" s="12"/>
    </row>
    <row r="84" spans="1:16" s="49" customFormat="1" ht="18" customHeight="1" x14ac:dyDescent="0.2">
      <c r="A84" s="49" t="s">
        <v>323</v>
      </c>
      <c r="B84" s="49" t="s">
        <v>324</v>
      </c>
      <c r="C84" s="49">
        <f>$C$12*C79</f>
        <v>2160</v>
      </c>
      <c r="D84" s="57"/>
      <c r="E84" s="49" t="s">
        <v>126</v>
      </c>
      <c r="F84" s="49" t="s">
        <v>225</v>
      </c>
      <c r="G84" s="49" t="s">
        <v>21</v>
      </c>
      <c r="H84" s="29" t="s">
        <v>327</v>
      </c>
      <c r="I84" s="99" t="s">
        <v>208</v>
      </c>
      <c r="J84" s="99"/>
      <c r="K84" s="99"/>
      <c r="L84" s="99"/>
      <c r="M84" s="99"/>
      <c r="O84" s="12"/>
      <c r="P84" s="12"/>
    </row>
    <row r="85" spans="1:16" s="49" customFormat="1" ht="18" customHeight="1" x14ac:dyDescent="0.2">
      <c r="A85" s="49" t="s">
        <v>325</v>
      </c>
      <c r="B85" s="49" t="s">
        <v>326</v>
      </c>
      <c r="C85" s="49">
        <f>C80*$C$13</f>
        <v>405</v>
      </c>
      <c r="D85" s="57"/>
      <c r="E85" s="49" t="s">
        <v>126</v>
      </c>
      <c r="F85" s="49" t="s">
        <v>225</v>
      </c>
      <c r="G85" s="49" t="s">
        <v>21</v>
      </c>
      <c r="H85" s="29" t="s">
        <v>327</v>
      </c>
      <c r="I85" s="99" t="s">
        <v>208</v>
      </c>
      <c r="J85" s="99"/>
      <c r="K85" s="99"/>
      <c r="L85" s="99"/>
      <c r="M85" s="99"/>
      <c r="O85" s="12"/>
      <c r="P85" s="12"/>
    </row>
    <row r="86" spans="1:16" ht="22" customHeight="1" x14ac:dyDescent="0.2">
      <c r="A86" s="112" t="s">
        <v>491</v>
      </c>
      <c r="B86" s="114"/>
      <c r="C86" s="114"/>
      <c r="D86" s="114"/>
      <c r="E86" s="114"/>
      <c r="F86" s="114"/>
      <c r="G86" s="114"/>
      <c r="H86" s="114"/>
      <c r="I86" s="114"/>
      <c r="J86" s="114"/>
      <c r="K86" s="114"/>
      <c r="L86" s="114"/>
      <c r="M86" s="115"/>
    </row>
    <row r="87" spans="1:16" ht="18" customHeight="1" x14ac:dyDescent="0.2">
      <c r="A87" s="23" t="s">
        <v>5</v>
      </c>
      <c r="B87" s="23" t="s">
        <v>97</v>
      </c>
      <c r="C87" s="24" t="s">
        <v>7</v>
      </c>
      <c r="D87" s="58"/>
      <c r="E87" s="24" t="s">
        <v>126</v>
      </c>
      <c r="F87" s="24" t="s">
        <v>8</v>
      </c>
      <c r="G87" s="24" t="s">
        <v>9</v>
      </c>
      <c r="H87" s="31" t="s">
        <v>10</v>
      </c>
      <c r="I87" s="102" t="s">
        <v>11</v>
      </c>
      <c r="J87" s="102"/>
      <c r="K87" s="102"/>
      <c r="L87" s="102"/>
      <c r="M87" s="102"/>
    </row>
    <row r="88" spans="1:16" ht="18" customHeight="1" x14ac:dyDescent="0.2">
      <c r="A88" s="12" t="s">
        <v>328</v>
      </c>
      <c r="B88" s="12" t="s">
        <v>329</v>
      </c>
      <c r="C88" s="13">
        <f>SUM($C$66:$C$70,$C$55,$C$51,$C$47,$C$42,$C$38,$C$32:$C$33:$C$22:$C$23)</f>
        <v>3724242.0951144644</v>
      </c>
      <c r="D88" s="13"/>
      <c r="E88" s="12" t="s">
        <v>126</v>
      </c>
      <c r="F88" s="12" t="s">
        <v>225</v>
      </c>
      <c r="G88" s="12" t="s">
        <v>21</v>
      </c>
      <c r="H88" s="29" t="s">
        <v>330</v>
      </c>
      <c r="I88" s="99"/>
      <c r="J88" s="99"/>
      <c r="K88" s="99"/>
      <c r="L88" s="99"/>
      <c r="M88" s="99"/>
    </row>
    <row r="89" spans="1:16" ht="18" customHeight="1" x14ac:dyDescent="0.2">
      <c r="A89" s="12" t="s">
        <v>331</v>
      </c>
      <c r="B89" s="12" t="s">
        <v>332</v>
      </c>
      <c r="C89" s="12">
        <f>SUM($C$61:$C$65)+'Initial Estimates'!$C$39+'Initial Estimates'!$C$38+'Initial Estimates'!$C$37+'Initial Estimates'!$C$36+'Initial Estimates'!$C$35+'Initial Estimates'!$C$34+'Initial Estimates'!$C$33+'Initial Estimates'!$C$27</f>
        <v>55470.356589396921</v>
      </c>
      <c r="E89" s="12" t="s">
        <v>126</v>
      </c>
      <c r="F89" s="12" t="s">
        <v>224</v>
      </c>
      <c r="G89" s="12" t="s">
        <v>21</v>
      </c>
      <c r="H89" s="29" t="s">
        <v>333</v>
      </c>
      <c r="I89" s="99"/>
      <c r="J89" s="99"/>
      <c r="K89" s="99"/>
      <c r="L89" s="99"/>
      <c r="M89" s="99"/>
    </row>
    <row r="90" spans="1:16" ht="18" customHeight="1" x14ac:dyDescent="0.2">
      <c r="A90" s="12" t="s">
        <v>290</v>
      </c>
      <c r="B90" s="47" t="s">
        <v>334</v>
      </c>
      <c r="C90" s="47">
        <f>C88/C89</f>
        <v>67.139321325840328</v>
      </c>
      <c r="D90" s="66"/>
      <c r="E90" s="12" t="s">
        <v>126</v>
      </c>
      <c r="F90" s="12" t="s">
        <v>29</v>
      </c>
      <c r="G90" s="12" t="s">
        <v>21</v>
      </c>
      <c r="H90" s="29" t="s">
        <v>335</v>
      </c>
      <c r="I90" s="99"/>
      <c r="J90" s="99"/>
      <c r="K90" s="99"/>
      <c r="L90" s="99"/>
      <c r="M90" s="99"/>
    </row>
    <row r="91" spans="1:16" ht="18" customHeight="1" x14ac:dyDescent="0.2">
      <c r="A91" s="12" t="s">
        <v>336</v>
      </c>
      <c r="B91" s="47" t="s">
        <v>337</v>
      </c>
      <c r="C91" s="47">
        <f>(C90-$C$19)/'Initial Estimates'!$C$10*100</f>
        <v>26.623328977759837</v>
      </c>
      <c r="D91" s="66"/>
      <c r="E91" s="12" t="s">
        <v>126</v>
      </c>
      <c r="F91" s="12" t="s">
        <v>338</v>
      </c>
      <c r="G91" s="12" t="s">
        <v>21</v>
      </c>
      <c r="H91" s="29" t="s">
        <v>339</v>
      </c>
      <c r="I91" s="99"/>
      <c r="J91" s="99"/>
      <c r="K91" s="99"/>
      <c r="L91" s="99"/>
      <c r="M91" s="99"/>
      <c r="O91" s="49"/>
      <c r="P91" s="49"/>
    </row>
    <row r="92" spans="1:16" ht="18" customHeight="1" x14ac:dyDescent="0.2">
      <c r="A92" s="112" t="s">
        <v>492</v>
      </c>
      <c r="B92" s="113"/>
      <c r="C92" s="113"/>
      <c r="D92" s="113"/>
      <c r="E92" s="114"/>
      <c r="F92" s="114"/>
      <c r="G92" s="114"/>
      <c r="H92" s="114"/>
      <c r="I92" s="114"/>
      <c r="J92" s="114"/>
      <c r="K92" s="114"/>
      <c r="L92" s="114"/>
      <c r="M92" s="115"/>
      <c r="O92" s="49"/>
      <c r="P92" s="49"/>
    </row>
    <row r="93" spans="1:16" ht="18" customHeight="1" x14ac:dyDescent="0.2">
      <c r="A93" s="23" t="s">
        <v>5</v>
      </c>
      <c r="B93" s="23" t="s">
        <v>97</v>
      </c>
      <c r="C93" s="50" t="s">
        <v>7</v>
      </c>
      <c r="D93" s="58"/>
      <c r="E93" s="50" t="s">
        <v>126</v>
      </c>
      <c r="F93" s="50" t="s">
        <v>8</v>
      </c>
      <c r="G93" s="50" t="s">
        <v>9</v>
      </c>
      <c r="H93" s="31" t="s">
        <v>10</v>
      </c>
      <c r="I93" s="102" t="s">
        <v>11</v>
      </c>
      <c r="J93" s="102"/>
      <c r="K93" s="102"/>
      <c r="L93" s="102"/>
      <c r="M93" s="102"/>
      <c r="O93" s="49"/>
      <c r="P93" s="49"/>
    </row>
    <row r="94" spans="1:16" s="49" customFormat="1" ht="18" customHeight="1" x14ac:dyDescent="0.2">
      <c r="A94" s="49" t="s">
        <v>328</v>
      </c>
      <c r="B94" s="49" t="s">
        <v>329</v>
      </c>
      <c r="C94" s="13">
        <f>SUM($C$66:$C$70,$C$55,$C$51,$C$47,$C$42,$C$38,$C$32,$C$34,$C$22:$C$23)</f>
        <v>2771532.1705533378</v>
      </c>
      <c r="D94" s="13"/>
      <c r="E94" s="49" t="s">
        <v>126</v>
      </c>
      <c r="F94" s="49" t="s">
        <v>225</v>
      </c>
      <c r="G94" s="49" t="s">
        <v>21</v>
      </c>
      <c r="H94" s="29" t="s">
        <v>330</v>
      </c>
      <c r="I94" s="99"/>
      <c r="J94" s="99"/>
      <c r="K94" s="99"/>
      <c r="L94" s="99"/>
      <c r="M94" s="99"/>
    </row>
    <row r="95" spans="1:16" s="49" customFormat="1" ht="18" customHeight="1" x14ac:dyDescent="0.2">
      <c r="A95" s="49" t="s">
        <v>331</v>
      </c>
      <c r="B95" s="49" t="s">
        <v>332</v>
      </c>
      <c r="C95" s="49">
        <f>SUM($C$61:$C$65)+'Initial Estimates'!$C$39+'Initial Estimates'!$C$38+'Initial Estimates'!$C$37+'Initial Estimates'!$C$36+'Initial Estimates'!$C$35+'Initial Estimates'!$C$34+'Initial Estimates'!$C$33+'Initial Estimates'!$C$28</f>
        <v>38417.667463390797</v>
      </c>
      <c r="D95" s="57"/>
      <c r="E95" s="49" t="s">
        <v>126</v>
      </c>
      <c r="F95" s="49" t="s">
        <v>224</v>
      </c>
      <c r="G95" s="49" t="s">
        <v>21</v>
      </c>
      <c r="H95" s="29" t="s">
        <v>333</v>
      </c>
      <c r="I95" s="99"/>
      <c r="J95" s="99"/>
      <c r="K95" s="99"/>
      <c r="L95" s="99"/>
      <c r="M95" s="99"/>
    </row>
    <row r="96" spans="1:16" s="49" customFormat="1" ht="18" customHeight="1" x14ac:dyDescent="0.2">
      <c r="A96" s="49" t="s">
        <v>290</v>
      </c>
      <c r="B96" s="47" t="s">
        <v>334</v>
      </c>
      <c r="C96" s="47">
        <f>C94/C95</f>
        <v>72.142125057290457</v>
      </c>
      <c r="D96" s="66"/>
      <c r="E96" s="49" t="s">
        <v>126</v>
      </c>
      <c r="F96" s="49" t="s">
        <v>29</v>
      </c>
      <c r="G96" s="49" t="s">
        <v>21</v>
      </c>
      <c r="H96" s="29" t="s">
        <v>335</v>
      </c>
      <c r="I96" s="99"/>
      <c r="J96" s="99"/>
      <c r="K96" s="99"/>
      <c r="L96" s="99"/>
      <c r="M96" s="99"/>
    </row>
    <row r="97" spans="1:16" s="49" customFormat="1" ht="18" customHeight="1" x14ac:dyDescent="0.2">
      <c r="A97" s="49" t="s">
        <v>336</v>
      </c>
      <c r="B97" s="47" t="s">
        <v>337</v>
      </c>
      <c r="C97" s="47">
        <f>(C96-$C$19)/'Initial Estimates'!$C$10*100</f>
        <v>51.124191764460704</v>
      </c>
      <c r="D97" s="66"/>
      <c r="E97" s="49" t="s">
        <v>126</v>
      </c>
      <c r="F97" s="49" t="s">
        <v>338</v>
      </c>
      <c r="G97" s="49" t="s">
        <v>21</v>
      </c>
      <c r="H97" s="29" t="s">
        <v>339</v>
      </c>
      <c r="I97" s="99"/>
      <c r="J97" s="99"/>
      <c r="K97" s="99"/>
      <c r="L97" s="99"/>
      <c r="M97" s="99"/>
    </row>
    <row r="98" spans="1:16" s="49" customFormat="1" ht="18" customHeight="1" x14ac:dyDescent="0.2">
      <c r="A98" s="112" t="s">
        <v>498</v>
      </c>
      <c r="B98" s="113"/>
      <c r="C98" s="113"/>
      <c r="D98" s="113"/>
      <c r="E98" s="114"/>
      <c r="F98" s="114"/>
      <c r="G98" s="114"/>
      <c r="H98" s="114"/>
      <c r="I98" s="114"/>
      <c r="J98" s="114"/>
      <c r="K98" s="114"/>
      <c r="L98" s="114"/>
      <c r="M98" s="115"/>
    </row>
    <row r="99" spans="1:16" s="49" customFormat="1" ht="18" customHeight="1" x14ac:dyDescent="0.2">
      <c r="A99" s="23" t="s">
        <v>5</v>
      </c>
      <c r="B99" s="23" t="s">
        <v>97</v>
      </c>
      <c r="C99" s="50" t="s">
        <v>7</v>
      </c>
      <c r="D99" s="58"/>
      <c r="E99" s="50" t="s">
        <v>126</v>
      </c>
      <c r="F99" s="50" t="s">
        <v>8</v>
      </c>
      <c r="G99" s="50" t="s">
        <v>9</v>
      </c>
      <c r="H99" s="31" t="s">
        <v>10</v>
      </c>
      <c r="I99" s="102" t="s">
        <v>11</v>
      </c>
      <c r="J99" s="102"/>
      <c r="K99" s="102"/>
      <c r="L99" s="102"/>
      <c r="M99" s="102"/>
    </row>
    <row r="100" spans="1:16" s="49" customFormat="1" ht="18" customHeight="1" x14ac:dyDescent="0.2">
      <c r="A100" s="49" t="s">
        <v>328</v>
      </c>
      <c r="B100" s="49" t="s">
        <v>329</v>
      </c>
      <c r="C100" s="13">
        <f>SUM($C$81:$C$85,$C$55,$C$51,$C$47,$C$42,$C$38,$C$32:$C$33:$C$22:$C$23)</f>
        <v>3632142.0951144644</v>
      </c>
      <c r="D100" s="13"/>
      <c r="E100" s="49" t="s">
        <v>126</v>
      </c>
      <c r="F100" s="49" t="s">
        <v>225</v>
      </c>
      <c r="G100" s="49" t="s">
        <v>21</v>
      </c>
      <c r="H100" s="29" t="s">
        <v>330</v>
      </c>
      <c r="I100" s="99"/>
      <c r="J100" s="99"/>
      <c r="K100" s="99"/>
      <c r="L100" s="99"/>
      <c r="M100" s="99"/>
    </row>
    <row r="101" spans="1:16" s="49" customFormat="1" ht="18" customHeight="1" x14ac:dyDescent="0.2">
      <c r="A101" s="49" t="s">
        <v>331</v>
      </c>
      <c r="B101" s="49" t="s">
        <v>332</v>
      </c>
      <c r="C101" s="49">
        <f>SUM($C$76:$C$80)+'Initial Estimates'!$C$39+'Initial Estimates'!$C$38+'Initial Estimates'!$C$37+'Initial Estimates'!$C$36+'Initial Estimates'!$C$35+'Initial Estimates'!$C$34+'Initial Estimates'!$C$33+'Initial Estimates'!$C$27</f>
        <v>52870.356589396921</v>
      </c>
      <c r="D101" s="57"/>
      <c r="E101" s="49" t="s">
        <v>126</v>
      </c>
      <c r="F101" s="49" t="s">
        <v>224</v>
      </c>
      <c r="G101" s="49" t="s">
        <v>21</v>
      </c>
      <c r="H101" s="29" t="s">
        <v>333</v>
      </c>
      <c r="I101" s="99"/>
      <c r="J101" s="99"/>
      <c r="K101" s="99"/>
      <c r="L101" s="99"/>
      <c r="M101" s="99"/>
    </row>
    <row r="102" spans="1:16" s="49" customFormat="1" ht="18" customHeight="1" x14ac:dyDescent="0.2">
      <c r="A102" s="49" t="s">
        <v>290</v>
      </c>
      <c r="B102" s="47" t="s">
        <v>334</v>
      </c>
      <c r="C102" s="47">
        <f>C100/C101</f>
        <v>68.699027761860904</v>
      </c>
      <c r="D102" s="66"/>
      <c r="E102" s="49" t="s">
        <v>126</v>
      </c>
      <c r="F102" s="49" t="s">
        <v>29</v>
      </c>
      <c r="G102" s="49" t="s">
        <v>21</v>
      </c>
      <c r="H102" s="29" t="s">
        <v>335</v>
      </c>
      <c r="I102" s="99"/>
      <c r="J102" s="99"/>
      <c r="K102" s="99"/>
      <c r="L102" s="99"/>
      <c r="M102" s="99"/>
    </row>
    <row r="103" spans="1:16" s="49" customFormat="1" ht="18" customHeight="1" x14ac:dyDescent="0.2">
      <c r="A103" s="49" t="s">
        <v>336</v>
      </c>
      <c r="B103" s="47" t="s">
        <v>337</v>
      </c>
      <c r="C103" s="47">
        <f>(C102-$C$19)/'Initial Estimates'!$C$10*100</f>
        <v>34.261876365945596</v>
      </c>
      <c r="D103" s="66"/>
      <c r="E103" s="49" t="s">
        <v>126</v>
      </c>
      <c r="F103" s="49" t="s">
        <v>338</v>
      </c>
      <c r="G103" s="49" t="s">
        <v>21</v>
      </c>
      <c r="H103" s="29" t="s">
        <v>339</v>
      </c>
      <c r="I103" s="99"/>
      <c r="J103" s="99"/>
      <c r="K103" s="99"/>
      <c r="L103" s="99"/>
      <c r="M103" s="99"/>
    </row>
    <row r="104" spans="1:16" s="49" customFormat="1" ht="18" customHeight="1" x14ac:dyDescent="0.2">
      <c r="A104" s="112" t="s">
        <v>467</v>
      </c>
      <c r="B104" s="113"/>
      <c r="C104" s="113"/>
      <c r="D104" s="113"/>
      <c r="E104" s="114"/>
      <c r="F104" s="114"/>
      <c r="G104" s="114"/>
      <c r="H104" s="114"/>
      <c r="I104" s="114"/>
      <c r="J104" s="114"/>
      <c r="K104" s="114"/>
      <c r="L104" s="114"/>
      <c r="M104" s="115"/>
    </row>
    <row r="105" spans="1:16" s="49" customFormat="1" ht="18" customHeight="1" x14ac:dyDescent="0.2">
      <c r="A105" s="23" t="s">
        <v>5</v>
      </c>
      <c r="B105" s="23" t="s">
        <v>97</v>
      </c>
      <c r="C105" s="50" t="s">
        <v>7</v>
      </c>
      <c r="D105" s="58"/>
      <c r="E105" s="50" t="s">
        <v>126</v>
      </c>
      <c r="F105" s="50" t="s">
        <v>8</v>
      </c>
      <c r="G105" s="50" t="s">
        <v>9</v>
      </c>
      <c r="H105" s="31" t="s">
        <v>10</v>
      </c>
      <c r="I105" s="102" t="s">
        <v>11</v>
      </c>
      <c r="J105" s="102"/>
      <c r="K105" s="102"/>
      <c r="L105" s="102"/>
      <c r="M105" s="102"/>
    </row>
    <row r="106" spans="1:16" s="49" customFormat="1" ht="18" customHeight="1" x14ac:dyDescent="0.2">
      <c r="A106" s="49" t="s">
        <v>328</v>
      </c>
      <c r="B106" s="49" t="s">
        <v>329</v>
      </c>
      <c r="C106" s="13">
        <f>SUM($C$81:$C$85,$C$55,$C$51,$C$47,$C$42,$C$38,$C$32,$C$34,$C$22:$C$23)</f>
        <v>2679432.1705533378</v>
      </c>
      <c r="D106" s="13"/>
      <c r="E106" s="49" t="s">
        <v>126</v>
      </c>
      <c r="F106" s="49" t="s">
        <v>225</v>
      </c>
      <c r="G106" s="49" t="s">
        <v>21</v>
      </c>
      <c r="H106" s="29" t="s">
        <v>330</v>
      </c>
      <c r="I106" s="99"/>
      <c r="J106" s="99"/>
      <c r="K106" s="99"/>
      <c r="L106" s="99"/>
      <c r="M106" s="99"/>
    </row>
    <row r="107" spans="1:16" s="49" customFormat="1" ht="18" customHeight="1" x14ac:dyDescent="0.2">
      <c r="A107" s="49" t="s">
        <v>331</v>
      </c>
      <c r="B107" s="49" t="s">
        <v>332</v>
      </c>
      <c r="C107" s="49">
        <f>SUM($C$76:$C$80)+'Initial Estimates'!$C$39+'Initial Estimates'!$C$38+'Initial Estimates'!$C$37+'Initial Estimates'!$C$36+'Initial Estimates'!$C$35+'Initial Estimates'!$C$34+'Initial Estimates'!$C$33+'Initial Estimates'!$C$28</f>
        <v>35817.667463390797</v>
      </c>
      <c r="D107" s="57"/>
      <c r="E107" s="49" t="s">
        <v>126</v>
      </c>
      <c r="F107" s="49" t="s">
        <v>224</v>
      </c>
      <c r="G107" s="49" t="s">
        <v>21</v>
      </c>
      <c r="H107" s="29" t="s">
        <v>333</v>
      </c>
      <c r="I107" s="99"/>
      <c r="J107" s="99"/>
      <c r="K107" s="99"/>
      <c r="L107" s="99"/>
      <c r="M107" s="99"/>
      <c r="O107" s="12"/>
      <c r="P107" s="12"/>
    </row>
    <row r="108" spans="1:16" s="49" customFormat="1" ht="18" customHeight="1" x14ac:dyDescent="0.2">
      <c r="A108" s="49" t="s">
        <v>290</v>
      </c>
      <c r="B108" s="47" t="s">
        <v>334</v>
      </c>
      <c r="C108" s="47">
        <f>C106/C107</f>
        <v>74.807556167413267</v>
      </c>
      <c r="D108" s="66"/>
      <c r="E108" s="49" t="s">
        <v>126</v>
      </c>
      <c r="F108" s="49" t="s">
        <v>29</v>
      </c>
      <c r="G108" s="49" t="s">
        <v>21</v>
      </c>
      <c r="H108" s="29" t="s">
        <v>335</v>
      </c>
      <c r="I108" s="99"/>
      <c r="J108" s="99"/>
      <c r="K108" s="99"/>
      <c r="L108" s="99"/>
      <c r="M108" s="99"/>
      <c r="O108" s="12"/>
      <c r="P108" s="12"/>
    </row>
    <row r="109" spans="1:16" s="49" customFormat="1" ht="18" customHeight="1" x14ac:dyDescent="0.2">
      <c r="A109" s="49" t="s">
        <v>336</v>
      </c>
      <c r="B109" s="47" t="s">
        <v>337</v>
      </c>
      <c r="C109" s="47">
        <f>(C108-$C$19)/'Initial Estimates'!$C$10*100</f>
        <v>64.177944300459771</v>
      </c>
      <c r="D109" s="66"/>
      <c r="E109" s="49" t="s">
        <v>126</v>
      </c>
      <c r="F109" s="49" t="s">
        <v>338</v>
      </c>
      <c r="G109" s="49" t="s">
        <v>21</v>
      </c>
      <c r="H109" s="29" t="s">
        <v>339</v>
      </c>
      <c r="I109" s="99"/>
      <c r="J109" s="99"/>
      <c r="K109" s="99"/>
      <c r="L109" s="99"/>
      <c r="M109" s="99"/>
      <c r="O109" s="12"/>
      <c r="P109" s="12"/>
    </row>
  </sheetData>
  <mergeCells count="109">
    <mergeCell ref="I20:M20"/>
    <mergeCell ref="I21:M21"/>
    <mergeCell ref="I13:M13"/>
    <mergeCell ref="I14:M14"/>
    <mergeCell ref="I15:M15"/>
    <mergeCell ref="I16:M16"/>
    <mergeCell ref="I19:M19"/>
    <mergeCell ref="I12:M12"/>
    <mergeCell ref="A1:M1"/>
    <mergeCell ref="I2:M2"/>
    <mergeCell ref="I3:M3"/>
    <mergeCell ref="I4:M4"/>
    <mergeCell ref="I7:M7"/>
    <mergeCell ref="I8:M8"/>
    <mergeCell ref="I9:M9"/>
    <mergeCell ref="I10:M10"/>
    <mergeCell ref="I11:M11"/>
    <mergeCell ref="I42:M42"/>
    <mergeCell ref="A35:M35"/>
    <mergeCell ref="A39:M39"/>
    <mergeCell ref="I41:M41"/>
    <mergeCell ref="I27:M27"/>
    <mergeCell ref="I30:M30"/>
    <mergeCell ref="I31:M31"/>
    <mergeCell ref="I32:M32"/>
    <mergeCell ref="I33:M33"/>
    <mergeCell ref="I64:M64"/>
    <mergeCell ref="A52:M52"/>
    <mergeCell ref="A56:M56"/>
    <mergeCell ref="I54:M54"/>
    <mergeCell ref="I55:M55"/>
    <mergeCell ref="I58:M58"/>
    <mergeCell ref="I51:M51"/>
    <mergeCell ref="I5:M5"/>
    <mergeCell ref="I6:M6"/>
    <mergeCell ref="A17:M17"/>
    <mergeCell ref="I22:M22"/>
    <mergeCell ref="I23:M23"/>
    <mergeCell ref="A24:M24"/>
    <mergeCell ref="I26:M26"/>
    <mergeCell ref="I28:M28"/>
    <mergeCell ref="I45:M45"/>
    <mergeCell ref="I46:M46"/>
    <mergeCell ref="I47:M47"/>
    <mergeCell ref="I50:M50"/>
    <mergeCell ref="A43:M43"/>
    <mergeCell ref="A48:M48"/>
    <mergeCell ref="I37:M37"/>
    <mergeCell ref="I38:M38"/>
    <mergeCell ref="I36:M36"/>
    <mergeCell ref="I87:M87"/>
    <mergeCell ref="I88:M88"/>
    <mergeCell ref="I89:M89"/>
    <mergeCell ref="I90:M90"/>
    <mergeCell ref="I91:M91"/>
    <mergeCell ref="A86:M86"/>
    <mergeCell ref="I18:M18"/>
    <mergeCell ref="I25:M25"/>
    <mergeCell ref="I40:M40"/>
    <mergeCell ref="I44:M44"/>
    <mergeCell ref="I49:M49"/>
    <mergeCell ref="I53:M53"/>
    <mergeCell ref="I57:M57"/>
    <mergeCell ref="I65:M65"/>
    <mergeCell ref="I66:M66"/>
    <mergeCell ref="I67:M67"/>
    <mergeCell ref="I68:M68"/>
    <mergeCell ref="I69:M69"/>
    <mergeCell ref="I70:M70"/>
    <mergeCell ref="I59:M59"/>
    <mergeCell ref="I60:M60"/>
    <mergeCell ref="I61:M61"/>
    <mergeCell ref="I62:M62"/>
    <mergeCell ref="I63:M63"/>
    <mergeCell ref="I83:M83"/>
    <mergeCell ref="I84:M84"/>
    <mergeCell ref="I85:M85"/>
    <mergeCell ref="I34:M34"/>
    <mergeCell ref="A98:M98"/>
    <mergeCell ref="I97:M97"/>
    <mergeCell ref="I29:M29"/>
    <mergeCell ref="I72:M72"/>
    <mergeCell ref="I73:M73"/>
    <mergeCell ref="I74:M74"/>
    <mergeCell ref="I75:M75"/>
    <mergeCell ref="I76:M76"/>
    <mergeCell ref="I77:M77"/>
    <mergeCell ref="I78:M78"/>
    <mergeCell ref="I79:M79"/>
    <mergeCell ref="I80:M80"/>
    <mergeCell ref="A71:M71"/>
    <mergeCell ref="I81:M81"/>
    <mergeCell ref="I82:M82"/>
    <mergeCell ref="A92:M92"/>
    <mergeCell ref="I93:M93"/>
    <mergeCell ref="I94:M94"/>
    <mergeCell ref="I95:M95"/>
    <mergeCell ref="I96:M96"/>
    <mergeCell ref="I109:M109"/>
    <mergeCell ref="A104:M104"/>
    <mergeCell ref="I105:M105"/>
    <mergeCell ref="I106:M106"/>
    <mergeCell ref="I107:M107"/>
    <mergeCell ref="I108:M108"/>
    <mergeCell ref="I99:M99"/>
    <mergeCell ref="I100:M100"/>
    <mergeCell ref="I101:M101"/>
    <mergeCell ref="I102:M102"/>
    <mergeCell ref="I103:M103"/>
  </mergeCells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L21"/>
  <sheetViews>
    <sheetView zoomScale="70" zoomScaleNormal="70" zoomScalePageLayoutView="70" workbookViewId="0">
      <selection activeCell="B24" sqref="B24"/>
    </sheetView>
  </sheetViews>
  <sheetFormatPr baseColWidth="10" defaultColWidth="15.1640625" defaultRowHeight="18" customHeight="1" x14ac:dyDescent="0.2"/>
  <cols>
    <col min="1" max="1" width="51" style="12" customWidth="1"/>
    <col min="2" max="2" width="19.33203125" style="12" customWidth="1"/>
    <col min="3" max="3" width="15.1640625" style="12"/>
    <col min="4" max="4" width="2" style="12" customWidth="1"/>
    <col min="5" max="5" width="15.1640625" style="12"/>
    <col min="6" max="6" width="30.33203125" style="12" customWidth="1"/>
    <col min="7" max="7" width="38.6640625" style="29" customWidth="1"/>
    <col min="8" max="16384" width="15.1640625" style="12"/>
  </cols>
  <sheetData>
    <row r="1" spans="1:12" ht="22" customHeight="1" x14ac:dyDescent="0.2">
      <c r="A1" s="112" t="s">
        <v>405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5"/>
    </row>
    <row r="2" spans="1:12" ht="18" customHeight="1" x14ac:dyDescent="0.2">
      <c r="A2" s="23" t="s">
        <v>5</v>
      </c>
      <c r="B2" s="23" t="s">
        <v>97</v>
      </c>
      <c r="C2" s="24" t="s">
        <v>7</v>
      </c>
      <c r="D2" s="24" t="s">
        <v>126</v>
      </c>
      <c r="E2" s="24" t="s">
        <v>8</v>
      </c>
      <c r="F2" s="24" t="s">
        <v>9</v>
      </c>
      <c r="G2" s="31" t="s">
        <v>10</v>
      </c>
      <c r="H2" s="116" t="s">
        <v>11</v>
      </c>
      <c r="I2" s="117"/>
      <c r="J2" s="117"/>
      <c r="K2" s="117"/>
      <c r="L2" s="118"/>
    </row>
    <row r="3" spans="1:12" ht="18" customHeight="1" x14ac:dyDescent="0.2">
      <c r="A3" s="12" t="s">
        <v>343</v>
      </c>
      <c r="B3" s="12" t="s">
        <v>347</v>
      </c>
      <c r="C3" s="13">
        <v>5.91E-2</v>
      </c>
      <c r="D3" s="12" t="s">
        <v>126</v>
      </c>
      <c r="E3" s="12" t="s">
        <v>138</v>
      </c>
      <c r="F3" s="12" t="s">
        <v>21</v>
      </c>
      <c r="G3" s="29" t="s">
        <v>442</v>
      </c>
      <c r="H3" s="99" t="s">
        <v>342</v>
      </c>
      <c r="I3" s="99"/>
      <c r="J3" s="99"/>
      <c r="K3" s="99"/>
      <c r="L3" s="99"/>
    </row>
    <row r="4" spans="1:12" ht="18" customHeight="1" x14ac:dyDescent="0.2">
      <c r="A4" s="12" t="s">
        <v>344</v>
      </c>
      <c r="B4" s="12" t="s">
        <v>348</v>
      </c>
      <c r="C4" s="13">
        <v>0.89429999999999998</v>
      </c>
      <c r="D4" s="12" t="s">
        <v>126</v>
      </c>
      <c r="E4" s="12" t="s">
        <v>138</v>
      </c>
      <c r="F4" s="12" t="s">
        <v>21</v>
      </c>
      <c r="G4" s="29" t="s">
        <v>442</v>
      </c>
      <c r="H4" s="99" t="s">
        <v>342</v>
      </c>
      <c r="I4" s="99"/>
      <c r="J4" s="99"/>
      <c r="K4" s="99"/>
      <c r="L4" s="99"/>
    </row>
    <row r="5" spans="1:12" ht="18" customHeight="1" x14ac:dyDescent="0.2">
      <c r="A5" s="12" t="s">
        <v>345</v>
      </c>
      <c r="B5" s="12" t="s">
        <v>349</v>
      </c>
      <c r="C5" s="13">
        <v>9.8500000000000004E-2</v>
      </c>
      <c r="D5" s="12" t="s">
        <v>126</v>
      </c>
      <c r="E5" s="12" t="s">
        <v>138</v>
      </c>
      <c r="F5" s="12" t="s">
        <v>21</v>
      </c>
      <c r="G5" s="29" t="s">
        <v>394</v>
      </c>
      <c r="H5" s="99" t="s">
        <v>342</v>
      </c>
      <c r="I5" s="99"/>
      <c r="J5" s="99"/>
      <c r="K5" s="99"/>
      <c r="L5" s="99"/>
    </row>
    <row r="6" spans="1:12" ht="18" customHeight="1" x14ac:dyDescent="0.2">
      <c r="A6" s="12" t="s">
        <v>346</v>
      </c>
      <c r="B6" s="12" t="s">
        <v>350</v>
      </c>
      <c r="C6" s="13">
        <v>0.83540000000000003</v>
      </c>
      <c r="D6" s="12" t="s">
        <v>126</v>
      </c>
      <c r="E6" s="12" t="s">
        <v>138</v>
      </c>
      <c r="F6" s="12" t="s">
        <v>21</v>
      </c>
      <c r="G6" s="29" t="s">
        <v>394</v>
      </c>
      <c r="H6" s="99" t="s">
        <v>342</v>
      </c>
      <c r="I6" s="99"/>
      <c r="J6" s="99"/>
      <c r="K6" s="99"/>
      <c r="L6" s="99"/>
    </row>
    <row r="7" spans="1:12" ht="18" customHeight="1" x14ac:dyDescent="0.2">
      <c r="A7" s="12" t="s">
        <v>351</v>
      </c>
      <c r="B7" s="12" t="s">
        <v>352</v>
      </c>
      <c r="C7" s="13">
        <f xml:space="preserve"> 'Cg Calcs'!C90</f>
        <v>67.139321325840328</v>
      </c>
      <c r="D7" s="12" t="s">
        <v>126</v>
      </c>
      <c r="E7" s="12" t="s">
        <v>29</v>
      </c>
      <c r="F7" s="12" t="s">
        <v>21</v>
      </c>
      <c r="G7" s="29" t="s">
        <v>353</v>
      </c>
      <c r="H7" s="99" t="s">
        <v>342</v>
      </c>
      <c r="I7" s="99"/>
      <c r="J7" s="99"/>
      <c r="K7" s="99"/>
      <c r="L7" s="99"/>
    </row>
    <row r="8" spans="1:12" ht="18" customHeight="1" x14ac:dyDescent="0.2">
      <c r="A8" s="12" t="s">
        <v>365</v>
      </c>
      <c r="B8" s="12" t="s">
        <v>364</v>
      </c>
      <c r="C8" s="13">
        <f xml:space="preserve"> 'Cg Calcs'!C90-'Cg Calcs'!C19</f>
        <v>5.4361877258403268</v>
      </c>
      <c r="D8" s="12" t="s">
        <v>126</v>
      </c>
      <c r="E8" s="12" t="s">
        <v>29</v>
      </c>
      <c r="F8" s="12" t="s">
        <v>21</v>
      </c>
      <c r="G8" s="29" t="s">
        <v>369</v>
      </c>
      <c r="H8" s="99" t="s">
        <v>342</v>
      </c>
      <c r="I8" s="99"/>
      <c r="J8" s="99"/>
      <c r="K8" s="99"/>
      <c r="L8" s="99"/>
    </row>
    <row r="9" spans="1:12" ht="18" customHeight="1" x14ac:dyDescent="0.2">
      <c r="A9" s="12" t="s">
        <v>366</v>
      </c>
      <c r="B9" s="12" t="s">
        <v>367</v>
      </c>
      <c r="C9" s="13">
        <f>'Cg Calcs'!C10+(1-0.8037)*'Initial Estimates'!C8 - 'Cg Calcs'!C90</f>
        <v>19.763812274159676</v>
      </c>
      <c r="D9" s="12" t="s">
        <v>126</v>
      </c>
      <c r="E9" s="12" t="s">
        <v>29</v>
      </c>
      <c r="F9" s="12" t="s">
        <v>21</v>
      </c>
      <c r="G9" s="29" t="s">
        <v>368</v>
      </c>
      <c r="H9" s="99" t="s">
        <v>342</v>
      </c>
      <c r="I9" s="99"/>
      <c r="J9" s="99"/>
      <c r="K9" s="99"/>
      <c r="L9" s="99"/>
    </row>
    <row r="10" spans="1:12" s="14" customFormat="1" ht="18" customHeight="1" x14ac:dyDescent="0.2">
      <c r="A10" s="14" t="s">
        <v>395</v>
      </c>
      <c r="B10" s="14" t="s">
        <v>396</v>
      </c>
      <c r="C10" s="13">
        <f>C9+C8</f>
        <v>25.200000000000003</v>
      </c>
      <c r="D10" s="14" t="s">
        <v>126</v>
      </c>
      <c r="E10" s="14" t="s">
        <v>29</v>
      </c>
      <c r="F10" s="14" t="s">
        <v>21</v>
      </c>
      <c r="G10" s="29" t="s">
        <v>397</v>
      </c>
      <c r="H10" s="99" t="s">
        <v>456</v>
      </c>
      <c r="I10" s="99"/>
      <c r="J10" s="99"/>
      <c r="K10" s="99"/>
      <c r="L10" s="99"/>
    </row>
    <row r="11" spans="1:12" ht="18" customHeight="1" x14ac:dyDescent="0.2">
      <c r="A11" s="12" t="s">
        <v>370</v>
      </c>
      <c r="B11" s="12" t="s">
        <v>371</v>
      </c>
      <c r="C11" s="13">
        <f>'Initial Estimates'!C21</f>
        <v>3</v>
      </c>
      <c r="D11" s="12" t="s">
        <v>126</v>
      </c>
      <c r="E11" s="12" t="s">
        <v>138</v>
      </c>
      <c r="F11" s="12" t="s">
        <v>14</v>
      </c>
      <c r="G11" s="29" t="s">
        <v>138</v>
      </c>
      <c r="H11" s="99" t="s">
        <v>342</v>
      </c>
      <c r="I11" s="99"/>
      <c r="J11" s="99"/>
      <c r="K11" s="99"/>
      <c r="L11" s="99"/>
    </row>
    <row r="12" spans="1:12" ht="18" customHeight="1" x14ac:dyDescent="0.2">
      <c r="A12" s="12" t="s">
        <v>378</v>
      </c>
      <c r="B12" s="12" t="s">
        <v>379</v>
      </c>
      <c r="C12" s="12">
        <f>'Subsonic Stability'!C10*'Initial Estimates'!C15*1.68</f>
        <v>1456.4012440319998</v>
      </c>
      <c r="D12" s="12" t="s">
        <v>126</v>
      </c>
      <c r="E12" s="12" t="s">
        <v>507</v>
      </c>
      <c r="F12" s="12" t="s">
        <v>21</v>
      </c>
      <c r="G12" s="29" t="s">
        <v>384</v>
      </c>
      <c r="H12" s="99" t="s">
        <v>385</v>
      </c>
      <c r="I12" s="99"/>
      <c r="J12" s="99"/>
      <c r="K12" s="99"/>
      <c r="L12" s="99"/>
    </row>
    <row r="13" spans="1:12" ht="18" customHeight="1" x14ac:dyDescent="0.2">
      <c r="A13" s="12" t="s">
        <v>386</v>
      </c>
      <c r="B13" s="12" t="s">
        <v>387</v>
      </c>
      <c r="C13" s="12">
        <f>0.5*'Initial Estimates'!$C$20*'Stability Constants'!C12^2</f>
        <v>489.97515881574805</v>
      </c>
      <c r="D13" s="12" t="s">
        <v>126</v>
      </c>
      <c r="E13" s="12" t="s">
        <v>388</v>
      </c>
      <c r="F13" s="12" t="s">
        <v>21</v>
      </c>
      <c r="G13" s="29" t="s">
        <v>389</v>
      </c>
      <c r="H13" s="99" t="s">
        <v>385</v>
      </c>
      <c r="I13" s="99"/>
      <c r="J13" s="99"/>
      <c r="K13" s="99"/>
      <c r="L13" s="99"/>
    </row>
    <row r="14" spans="1:12" ht="18" customHeight="1" x14ac:dyDescent="0.2">
      <c r="A14" s="12" t="s">
        <v>390</v>
      </c>
      <c r="B14" s="12" t="s">
        <v>118</v>
      </c>
      <c r="C14" s="12">
        <f>PI()*('Initial Estimates'!C58/2)^2*'Initial Estimates'!C50</f>
        <v>2392.9373797714861</v>
      </c>
      <c r="D14" s="12" t="s">
        <v>126</v>
      </c>
      <c r="E14" s="12" t="s">
        <v>361</v>
      </c>
      <c r="F14" s="12" t="s">
        <v>21</v>
      </c>
      <c r="G14" s="29" t="s">
        <v>391</v>
      </c>
      <c r="H14" s="99" t="s">
        <v>385</v>
      </c>
      <c r="I14" s="99"/>
      <c r="J14" s="99"/>
      <c r="K14" s="99"/>
      <c r="L14" s="99"/>
    </row>
    <row r="15" spans="1:12" ht="18" customHeight="1" x14ac:dyDescent="0.2">
      <c r="A15" s="12" t="s">
        <v>392</v>
      </c>
      <c r="B15" s="12" t="s">
        <v>393</v>
      </c>
      <c r="C15" s="14">
        <f>PI()*('Initial Estimates'!C58/2)^2*'Initial Estimates'!C51</f>
        <v>1696.6760174334224</v>
      </c>
      <c r="D15" s="12" t="s">
        <v>126</v>
      </c>
      <c r="E15" s="12" t="s">
        <v>361</v>
      </c>
      <c r="F15" s="12" t="s">
        <v>21</v>
      </c>
      <c r="G15" s="29" t="s">
        <v>394</v>
      </c>
      <c r="H15" s="99" t="s">
        <v>385</v>
      </c>
      <c r="I15" s="99"/>
      <c r="J15" s="99"/>
      <c r="K15" s="99"/>
      <c r="L15" s="99"/>
    </row>
    <row r="16" spans="1:12" ht="18" customHeight="1" x14ac:dyDescent="0.2">
      <c r="A16" s="12" t="s">
        <v>398</v>
      </c>
      <c r="B16" s="12" t="s">
        <v>399</v>
      </c>
      <c r="C16" s="13">
        <v>1</v>
      </c>
      <c r="D16" s="12" t="s">
        <v>126</v>
      </c>
      <c r="E16" s="12" t="s">
        <v>138</v>
      </c>
      <c r="F16" s="12" t="s">
        <v>401</v>
      </c>
      <c r="G16" s="29" t="s">
        <v>402</v>
      </c>
      <c r="H16" s="99" t="s">
        <v>342</v>
      </c>
      <c r="I16" s="99"/>
      <c r="J16" s="99"/>
      <c r="K16" s="99"/>
      <c r="L16" s="99"/>
    </row>
    <row r="17" spans="1:12" s="49" customFormat="1" ht="22" customHeight="1" x14ac:dyDescent="0.2">
      <c r="A17" s="112" t="s">
        <v>405</v>
      </c>
      <c r="B17" s="114"/>
      <c r="C17" s="114"/>
      <c r="D17" s="114"/>
      <c r="E17" s="114"/>
      <c r="F17" s="114"/>
      <c r="G17" s="114"/>
      <c r="H17" s="114"/>
      <c r="I17" s="114"/>
      <c r="J17" s="114"/>
      <c r="K17" s="114"/>
      <c r="L17" s="115"/>
    </row>
    <row r="18" spans="1:12" s="49" customFormat="1" ht="18" customHeight="1" x14ac:dyDescent="0.2">
      <c r="A18" s="23" t="s">
        <v>5</v>
      </c>
      <c r="B18" s="23" t="s">
        <v>97</v>
      </c>
      <c r="C18" s="50" t="s">
        <v>7</v>
      </c>
      <c r="D18" s="50" t="s">
        <v>126</v>
      </c>
      <c r="E18" s="50" t="s">
        <v>8</v>
      </c>
      <c r="F18" s="50" t="s">
        <v>9</v>
      </c>
      <c r="G18" s="31" t="s">
        <v>10</v>
      </c>
      <c r="H18" s="116" t="s">
        <v>11</v>
      </c>
      <c r="I18" s="117"/>
      <c r="J18" s="117"/>
      <c r="K18" s="117"/>
      <c r="L18" s="118"/>
    </row>
    <row r="19" spans="1:12" s="49" customFormat="1" ht="18" customHeight="1" x14ac:dyDescent="0.2">
      <c r="A19" s="49" t="s">
        <v>485</v>
      </c>
      <c r="B19" s="49" t="s">
        <v>387</v>
      </c>
      <c r="C19" s="49">
        <f>0.5*'Initial Estimates'!$C$20*('Initial Estimates'!$C$15*'Supersonic Stability'!C10)^2</f>
        <v>548.66902809635576</v>
      </c>
      <c r="D19" s="49" t="s">
        <v>126</v>
      </c>
      <c r="E19" s="49" t="s">
        <v>388</v>
      </c>
      <c r="F19" s="49" t="s">
        <v>21</v>
      </c>
      <c r="G19" s="29" t="s">
        <v>389</v>
      </c>
      <c r="H19" s="99" t="s">
        <v>385</v>
      </c>
      <c r="I19" s="99"/>
      <c r="J19" s="99"/>
      <c r="K19" s="99"/>
      <c r="L19" s="99"/>
    </row>
    <row r="20" spans="1:12" s="49" customFormat="1" ht="18" customHeight="1" x14ac:dyDescent="0.2">
      <c r="A20" s="49" t="s">
        <v>486</v>
      </c>
      <c r="B20" s="49" t="s">
        <v>387</v>
      </c>
      <c r="C20" s="49" t="e">
        <f>0.5*'Initial Estimates'!$C$20*('Initial Estimates'!$C$15*'Supersonic Stability'!C94)^2</f>
        <v>#VALUE!</v>
      </c>
      <c r="D20" s="49" t="s">
        <v>126</v>
      </c>
      <c r="E20" s="49" t="s">
        <v>388</v>
      </c>
      <c r="F20" s="49" t="s">
        <v>21</v>
      </c>
      <c r="G20" s="29" t="s">
        <v>389</v>
      </c>
      <c r="H20" s="99" t="s">
        <v>385</v>
      </c>
      <c r="I20" s="99"/>
      <c r="J20" s="99"/>
      <c r="K20" s="99"/>
      <c r="L20" s="99"/>
    </row>
    <row r="21" spans="1:12" s="49" customFormat="1" ht="18" customHeight="1" x14ac:dyDescent="0.2">
      <c r="A21" s="49" t="s">
        <v>487</v>
      </c>
      <c r="B21" s="49" t="s">
        <v>387</v>
      </c>
      <c r="C21" s="49">
        <f>0.5*'Initial Estimates'!$C$20*('Initial Estimates'!$C$15*'Supersonic Stability'!C106)^2</f>
        <v>260.07877908503201</v>
      </c>
      <c r="D21" s="49" t="s">
        <v>126</v>
      </c>
      <c r="E21" s="49" t="s">
        <v>388</v>
      </c>
      <c r="F21" s="49" t="s">
        <v>21</v>
      </c>
      <c r="G21" s="29" t="s">
        <v>389</v>
      </c>
      <c r="H21" s="99" t="s">
        <v>385</v>
      </c>
      <c r="I21" s="99"/>
      <c r="J21" s="99"/>
      <c r="K21" s="99"/>
      <c r="L21" s="99"/>
    </row>
  </sheetData>
  <mergeCells count="21">
    <mergeCell ref="H16:L16"/>
    <mergeCell ref="H15:L15"/>
    <mergeCell ref="H11:L11"/>
    <mergeCell ref="H12:L12"/>
    <mergeCell ref="H13:L13"/>
    <mergeCell ref="H14:L14"/>
    <mergeCell ref="H10:L10"/>
    <mergeCell ref="H8:L8"/>
    <mergeCell ref="H9:L9"/>
    <mergeCell ref="A1:L1"/>
    <mergeCell ref="H2:L2"/>
    <mergeCell ref="H3:L3"/>
    <mergeCell ref="H4:L4"/>
    <mergeCell ref="H5:L5"/>
    <mergeCell ref="H6:L6"/>
    <mergeCell ref="H7:L7"/>
    <mergeCell ref="A17:L17"/>
    <mergeCell ref="H18:L18"/>
    <mergeCell ref="H19:L19"/>
    <mergeCell ref="H20:L20"/>
    <mergeCell ref="H21:L21"/>
  </mergeCells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M55"/>
  <sheetViews>
    <sheetView topLeftCell="A25" zoomScale="70" zoomScaleNormal="70" zoomScalePageLayoutView="70" workbookViewId="0">
      <selection sqref="A1:XFD1048576"/>
    </sheetView>
  </sheetViews>
  <sheetFormatPr baseColWidth="10" defaultColWidth="15.1640625" defaultRowHeight="18" customHeight="1" x14ac:dyDescent="0.2"/>
  <cols>
    <col min="1" max="1" width="27.6640625" style="14" customWidth="1"/>
    <col min="2" max="2" width="19.33203125" style="14" customWidth="1"/>
    <col min="3" max="3" width="15.1640625" style="14"/>
    <col min="4" max="4" width="2" style="14" customWidth="1"/>
    <col min="5" max="5" width="6.6640625" style="14" customWidth="1"/>
    <col min="6" max="6" width="30.33203125" style="14" customWidth="1"/>
    <col min="7" max="7" width="52.83203125" style="29" customWidth="1"/>
    <col min="8" max="16384" width="15.1640625" style="14"/>
  </cols>
  <sheetData>
    <row r="1" spans="1:12" ht="22" customHeight="1" x14ac:dyDescent="0.2">
      <c r="A1" s="112" t="s">
        <v>403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5"/>
    </row>
    <row r="2" spans="1:12" ht="18" customHeight="1" x14ac:dyDescent="0.2">
      <c r="A2" s="23" t="s">
        <v>5</v>
      </c>
      <c r="B2" s="23" t="s">
        <v>97</v>
      </c>
      <c r="C2" s="25" t="s">
        <v>7</v>
      </c>
      <c r="D2" s="25" t="s">
        <v>126</v>
      </c>
      <c r="E2" s="25" t="s">
        <v>8</v>
      </c>
      <c r="F2" s="25" t="s">
        <v>9</v>
      </c>
      <c r="G2" s="31" t="s">
        <v>10</v>
      </c>
      <c r="H2" s="116" t="s">
        <v>11</v>
      </c>
      <c r="I2" s="117"/>
      <c r="J2" s="117"/>
      <c r="K2" s="117"/>
      <c r="L2" s="118"/>
    </row>
    <row r="3" spans="1:12" ht="18" customHeight="1" x14ac:dyDescent="0.2">
      <c r="A3" s="34" t="s">
        <v>411</v>
      </c>
      <c r="B3" s="14" t="s">
        <v>412</v>
      </c>
      <c r="C3" s="13">
        <v>0.5</v>
      </c>
      <c r="D3" s="14" t="s">
        <v>126</v>
      </c>
      <c r="E3" s="14" t="s">
        <v>138</v>
      </c>
      <c r="F3" s="14" t="s">
        <v>14</v>
      </c>
      <c r="G3" s="29" t="s">
        <v>138</v>
      </c>
      <c r="H3" s="121" t="s">
        <v>413</v>
      </c>
      <c r="I3" s="121"/>
      <c r="J3" s="121"/>
      <c r="K3" s="121"/>
      <c r="L3" s="121"/>
    </row>
    <row r="4" spans="1:12" ht="18" customHeight="1" x14ac:dyDescent="0.2">
      <c r="A4" s="34" t="s">
        <v>376</v>
      </c>
      <c r="B4" s="14" t="s">
        <v>377</v>
      </c>
      <c r="C4" s="13">
        <f>'Initial Estimates'!C5*'Initial Estimates'!C10/'Stability Constants'!C9</f>
        <v>1074.4710193268068</v>
      </c>
      <c r="D4" s="14" t="s">
        <v>126</v>
      </c>
      <c r="E4" s="14" t="s">
        <v>223</v>
      </c>
      <c r="F4" s="14" t="s">
        <v>21</v>
      </c>
      <c r="G4" s="29" t="s">
        <v>457</v>
      </c>
      <c r="H4" s="121" t="s">
        <v>383</v>
      </c>
      <c r="I4" s="121"/>
      <c r="J4" s="121"/>
      <c r="K4" s="121"/>
      <c r="L4" s="121"/>
    </row>
    <row r="5" spans="1:12" ht="18" customHeight="1" x14ac:dyDescent="0.2">
      <c r="A5" s="34" t="s">
        <v>354</v>
      </c>
      <c r="B5" s="14" t="s">
        <v>355</v>
      </c>
      <c r="C5" s="13">
        <v>0</v>
      </c>
      <c r="D5" s="14" t="s">
        <v>126</v>
      </c>
      <c r="E5" s="14" t="s">
        <v>138</v>
      </c>
      <c r="F5" s="14" t="s">
        <v>14</v>
      </c>
      <c r="G5" s="29" t="s">
        <v>356</v>
      </c>
      <c r="H5" s="99" t="s">
        <v>414</v>
      </c>
      <c r="I5" s="99"/>
      <c r="J5" s="99"/>
      <c r="K5" s="99"/>
      <c r="L5" s="99"/>
    </row>
    <row r="6" spans="1:12" ht="18" customHeight="1" x14ac:dyDescent="0.2">
      <c r="A6" s="34" t="s">
        <v>340</v>
      </c>
      <c r="B6" s="14" t="s">
        <v>341</v>
      </c>
      <c r="C6" s="13">
        <v>0</v>
      </c>
      <c r="D6" s="13" t="s">
        <v>126</v>
      </c>
      <c r="E6" s="14" t="s">
        <v>138</v>
      </c>
      <c r="F6" s="14" t="s">
        <v>14</v>
      </c>
      <c r="G6" s="29" t="s">
        <v>419</v>
      </c>
      <c r="H6" s="119" t="s">
        <v>342</v>
      </c>
      <c r="I6" s="119"/>
      <c r="J6" s="119"/>
      <c r="K6" s="119"/>
      <c r="L6" s="119"/>
    </row>
    <row r="7" spans="1:12" ht="18" customHeight="1" x14ac:dyDescent="0.2">
      <c r="A7" s="34" t="s">
        <v>415</v>
      </c>
      <c r="B7" s="14" t="s">
        <v>416</v>
      </c>
      <c r="C7" s="13">
        <f>2*C11/(PI()*'Initial Estimates'!C6)*(1+C6)</f>
        <v>0.21231800987426946</v>
      </c>
      <c r="D7" s="14" t="s">
        <v>126</v>
      </c>
      <c r="E7" s="14" t="s">
        <v>138</v>
      </c>
      <c r="F7" s="14" t="s">
        <v>14</v>
      </c>
      <c r="G7" s="29" t="s">
        <v>417</v>
      </c>
      <c r="H7" s="99" t="s">
        <v>418</v>
      </c>
      <c r="I7" s="99"/>
      <c r="J7" s="99"/>
      <c r="K7" s="99"/>
      <c r="L7" s="99"/>
    </row>
    <row r="8" spans="1:12" ht="22" customHeight="1" x14ac:dyDescent="0.2">
      <c r="A8" s="112" t="s">
        <v>425</v>
      </c>
      <c r="B8" s="114"/>
      <c r="C8" s="114"/>
      <c r="D8" s="114"/>
      <c r="E8" s="114"/>
      <c r="F8" s="114"/>
      <c r="G8" s="114"/>
      <c r="H8" s="113"/>
      <c r="I8" s="113"/>
      <c r="J8" s="113"/>
      <c r="K8" s="113"/>
      <c r="L8" s="122"/>
    </row>
    <row r="9" spans="1:12" ht="18" customHeight="1" x14ac:dyDescent="0.2">
      <c r="A9" s="23" t="s">
        <v>5</v>
      </c>
      <c r="B9" s="23" t="s">
        <v>97</v>
      </c>
      <c r="C9" s="25" t="s">
        <v>7</v>
      </c>
      <c r="D9" s="25" t="s">
        <v>126</v>
      </c>
      <c r="E9" s="25" t="s">
        <v>8</v>
      </c>
      <c r="F9" s="25" t="s">
        <v>9</v>
      </c>
      <c r="G9" s="31" t="s">
        <v>10</v>
      </c>
      <c r="H9" s="116" t="s">
        <v>11</v>
      </c>
      <c r="I9" s="117"/>
      <c r="J9" s="117"/>
      <c r="K9" s="117"/>
      <c r="L9" s="118"/>
    </row>
    <row r="10" spans="1:12" ht="18" customHeight="1" x14ac:dyDescent="0.2">
      <c r="A10" s="14" t="s">
        <v>380</v>
      </c>
      <c r="B10" s="14" t="s">
        <v>381</v>
      </c>
      <c r="C10" s="36">
        <v>0.9</v>
      </c>
      <c r="D10" s="14" t="s">
        <v>126</v>
      </c>
      <c r="E10" s="14" t="s">
        <v>138</v>
      </c>
      <c r="F10" s="14" t="s">
        <v>382</v>
      </c>
      <c r="G10" s="29" t="s">
        <v>138</v>
      </c>
      <c r="H10" s="120" t="s">
        <v>310</v>
      </c>
      <c r="I10" s="120"/>
      <c r="J10" s="120"/>
      <c r="K10" s="120"/>
      <c r="L10" s="120"/>
    </row>
    <row r="11" spans="1:12" ht="18" customHeight="1" x14ac:dyDescent="0.2">
      <c r="A11" s="14" t="s">
        <v>406</v>
      </c>
      <c r="B11" s="14" t="s">
        <v>407</v>
      </c>
      <c r="C11" s="36">
        <v>0.28999999999999998</v>
      </c>
      <c r="D11" s="14" t="s">
        <v>126</v>
      </c>
      <c r="E11" s="14" t="s">
        <v>138</v>
      </c>
      <c r="F11" s="14" t="s">
        <v>400</v>
      </c>
      <c r="G11" s="29" t="s">
        <v>138</v>
      </c>
      <c r="H11" s="119" t="s">
        <v>409</v>
      </c>
      <c r="I11" s="119"/>
      <c r="J11" s="119"/>
      <c r="K11" s="119"/>
      <c r="L11" s="119"/>
    </row>
    <row r="12" spans="1:12" ht="18" customHeight="1" x14ac:dyDescent="0.2">
      <c r="A12" s="14" t="s">
        <v>448</v>
      </c>
      <c r="B12" s="47" t="s">
        <v>449</v>
      </c>
      <c r="C12" s="48">
        <v>7.0153931870556185E-2</v>
      </c>
      <c r="D12" s="14" t="s">
        <v>126</v>
      </c>
      <c r="E12" s="14" t="s">
        <v>138</v>
      </c>
      <c r="F12" s="14" t="s">
        <v>400</v>
      </c>
      <c r="G12" s="29" t="s">
        <v>138</v>
      </c>
      <c r="H12" s="119" t="s">
        <v>450</v>
      </c>
      <c r="I12" s="119"/>
      <c r="J12" s="119"/>
      <c r="K12" s="119"/>
      <c r="L12" s="119"/>
    </row>
    <row r="13" spans="1:12" ht="18" customHeight="1" x14ac:dyDescent="0.2">
      <c r="A13" s="14" t="s">
        <v>404</v>
      </c>
      <c r="B13" s="14" t="s">
        <v>437</v>
      </c>
      <c r="C13" s="36">
        <f>2.46*PI()/180</f>
        <v>4.2935099599060507E-2</v>
      </c>
      <c r="D13" s="14" t="s">
        <v>126</v>
      </c>
      <c r="E13" s="14" t="s">
        <v>408</v>
      </c>
      <c r="F13" s="14" t="s">
        <v>9</v>
      </c>
      <c r="G13" s="29" t="s">
        <v>138</v>
      </c>
      <c r="H13" s="119" t="s">
        <v>410</v>
      </c>
      <c r="I13" s="119"/>
      <c r="J13" s="119"/>
      <c r="K13" s="119"/>
      <c r="L13" s="119"/>
    </row>
    <row r="14" spans="1:12" s="46" customFormat="1" ht="18" customHeight="1" x14ac:dyDescent="0.2">
      <c r="A14" s="46" t="s">
        <v>481</v>
      </c>
      <c r="B14" s="47" t="s">
        <v>482</v>
      </c>
      <c r="C14" s="48">
        <f>C12/C16</f>
        <v>1.0386434662510467E-2</v>
      </c>
      <c r="D14" s="46" t="s">
        <v>126</v>
      </c>
      <c r="E14" s="46" t="s">
        <v>408</v>
      </c>
      <c r="F14" s="46" t="s">
        <v>21</v>
      </c>
      <c r="G14" s="29" t="s">
        <v>483</v>
      </c>
      <c r="H14" s="119" t="s">
        <v>484</v>
      </c>
      <c r="I14" s="119"/>
      <c r="J14" s="119"/>
      <c r="K14" s="119"/>
      <c r="L14" s="119"/>
    </row>
    <row r="15" spans="1:12" ht="18" customHeight="1" x14ac:dyDescent="0.2">
      <c r="A15" s="14" t="s">
        <v>420</v>
      </c>
      <c r="B15" s="14" t="s">
        <v>421</v>
      </c>
      <c r="C15" s="36">
        <f>C11/C13</f>
        <v>6.7543805117048263</v>
      </c>
      <c r="D15" s="14" t="s">
        <v>126</v>
      </c>
      <c r="E15" s="14" t="s">
        <v>422</v>
      </c>
      <c r="F15" s="14" t="s">
        <v>21</v>
      </c>
      <c r="G15" s="29" t="s">
        <v>423</v>
      </c>
      <c r="H15" s="99" t="s">
        <v>424</v>
      </c>
      <c r="I15" s="99"/>
      <c r="J15" s="99"/>
      <c r="K15" s="99"/>
      <c r="L15" s="99"/>
    </row>
    <row r="16" spans="1:12" ht="18" customHeight="1" x14ac:dyDescent="0.2">
      <c r="A16" s="14" t="s">
        <v>426</v>
      </c>
      <c r="B16" s="14" t="s">
        <v>427</v>
      </c>
      <c r="C16" s="36">
        <f>C15</f>
        <v>6.7543805117048263</v>
      </c>
      <c r="D16" s="14" t="s">
        <v>126</v>
      </c>
      <c r="E16" s="14" t="s">
        <v>422</v>
      </c>
      <c r="F16" s="14" t="s">
        <v>21</v>
      </c>
      <c r="G16" s="29" t="s">
        <v>428</v>
      </c>
      <c r="H16" s="99" t="s">
        <v>429</v>
      </c>
      <c r="I16" s="99"/>
      <c r="J16" s="99"/>
      <c r="K16" s="99"/>
      <c r="L16" s="99"/>
    </row>
    <row r="17" spans="1:13" ht="18" customHeight="1" x14ac:dyDescent="0.2">
      <c r="A17" s="34" t="s">
        <v>430</v>
      </c>
      <c r="B17" s="14" t="s">
        <v>431</v>
      </c>
      <c r="C17" s="36">
        <f>$C$7/C13</f>
        <v>4.9450918213059261</v>
      </c>
      <c r="D17" s="14" t="s">
        <v>126</v>
      </c>
      <c r="E17" s="14" t="s">
        <v>432</v>
      </c>
      <c r="F17" s="14" t="s">
        <v>21</v>
      </c>
      <c r="G17" s="29" t="s">
        <v>433</v>
      </c>
      <c r="H17" s="99" t="s">
        <v>434</v>
      </c>
      <c r="I17" s="99"/>
      <c r="J17" s="99"/>
      <c r="K17" s="99"/>
      <c r="L17" s="99"/>
    </row>
    <row r="18" spans="1:13" ht="18" customHeight="1" x14ac:dyDescent="0.2">
      <c r="A18" s="14" t="s">
        <v>435</v>
      </c>
      <c r="B18" s="14" t="s">
        <v>436</v>
      </c>
      <c r="C18" s="36">
        <f>2*'Stability Constants'!$C$13*('Stability Constants'!$C$4-'Stability Constants'!$C$3)*'Stability Constants'!$C$14*'Subsonic Stability'!C13</f>
        <v>84088.838202792365</v>
      </c>
      <c r="D18" s="14" t="s">
        <v>126</v>
      </c>
      <c r="E18" s="14" t="s">
        <v>225</v>
      </c>
      <c r="F18" s="14" t="s">
        <v>21</v>
      </c>
      <c r="G18" s="29" t="s">
        <v>438</v>
      </c>
      <c r="H18" s="99" t="s">
        <v>439</v>
      </c>
      <c r="I18" s="99"/>
      <c r="J18" s="99"/>
      <c r="K18" s="99"/>
      <c r="L18" s="99"/>
    </row>
    <row r="19" spans="1:13" ht="18" customHeight="1" x14ac:dyDescent="0.2">
      <c r="A19" s="14" t="s">
        <v>440</v>
      </c>
      <c r="B19" s="14" t="s">
        <v>441</v>
      </c>
      <c r="C19" s="36">
        <f>2*'Stability Constants'!$C$13*('Stability Constants'!$C$6-'Stability Constants'!$C$5)*'Stability Constants'!$C$15*'Subsonic Stability'!C13</f>
        <v>52604.634851850758</v>
      </c>
      <c r="D19" s="14" t="s">
        <v>126</v>
      </c>
      <c r="E19" s="14" t="s">
        <v>225</v>
      </c>
      <c r="F19" s="14" t="s">
        <v>21</v>
      </c>
      <c r="G19" s="29" t="s">
        <v>443</v>
      </c>
      <c r="H19" s="99" t="s">
        <v>439</v>
      </c>
      <c r="I19" s="99"/>
      <c r="J19" s="99"/>
      <c r="K19" s="99"/>
      <c r="L19" s="99"/>
    </row>
    <row r="20" spans="1:13" ht="22" customHeight="1" x14ac:dyDescent="0.2">
      <c r="A20" s="112" t="s">
        <v>444</v>
      </c>
      <c r="B20" s="114"/>
      <c r="C20" s="114"/>
      <c r="D20" s="114"/>
      <c r="E20" s="114"/>
      <c r="F20" s="114"/>
      <c r="G20" s="114"/>
      <c r="H20" s="113"/>
      <c r="I20" s="113"/>
      <c r="J20" s="113"/>
      <c r="K20" s="113"/>
      <c r="L20" s="122"/>
    </row>
    <row r="21" spans="1:13" ht="18" customHeight="1" x14ac:dyDescent="0.2">
      <c r="A21" s="23" t="s">
        <v>5</v>
      </c>
      <c r="B21" s="23" t="s">
        <v>97</v>
      </c>
      <c r="C21" s="25" t="s">
        <v>7</v>
      </c>
      <c r="D21" s="25" t="s">
        <v>126</v>
      </c>
      <c r="E21" s="25" t="s">
        <v>8</v>
      </c>
      <c r="F21" s="25" t="s">
        <v>9</v>
      </c>
      <c r="G21" s="31" t="s">
        <v>10</v>
      </c>
      <c r="H21" s="116" t="s">
        <v>11</v>
      </c>
      <c r="I21" s="117"/>
      <c r="J21" s="117"/>
      <c r="K21" s="117"/>
      <c r="L21" s="118"/>
    </row>
    <row r="22" spans="1:13" ht="18" customHeight="1" x14ac:dyDescent="0.2">
      <c r="A22" s="14" t="s">
        <v>380</v>
      </c>
      <c r="B22" s="14" t="s">
        <v>381</v>
      </c>
      <c r="C22" s="36">
        <v>0.9</v>
      </c>
      <c r="D22" s="14" t="s">
        <v>126</v>
      </c>
      <c r="E22" s="14" t="s">
        <v>138</v>
      </c>
      <c r="F22" s="14" t="s">
        <v>382</v>
      </c>
      <c r="G22" s="29" t="s">
        <v>138</v>
      </c>
      <c r="H22" s="120" t="s">
        <v>310</v>
      </c>
      <c r="I22" s="120"/>
      <c r="J22" s="120"/>
      <c r="K22" s="120"/>
      <c r="L22" s="120"/>
    </row>
    <row r="23" spans="1:13" ht="18" customHeight="1" x14ac:dyDescent="0.2">
      <c r="A23" s="14" t="s">
        <v>406</v>
      </c>
      <c r="B23" s="14" t="s">
        <v>407</v>
      </c>
      <c r="C23" s="36">
        <v>0.4</v>
      </c>
      <c r="D23" s="14" t="s">
        <v>126</v>
      </c>
      <c r="E23" s="14" t="s">
        <v>138</v>
      </c>
      <c r="F23" s="14" t="s">
        <v>400</v>
      </c>
      <c r="G23" s="29" t="s">
        <v>138</v>
      </c>
      <c r="H23" s="119" t="s">
        <v>409</v>
      </c>
      <c r="I23" s="119"/>
      <c r="J23" s="119"/>
      <c r="K23" s="119"/>
      <c r="L23" s="119"/>
    </row>
    <row r="24" spans="1:13" ht="18" customHeight="1" x14ac:dyDescent="0.2">
      <c r="A24" s="14" t="s">
        <v>448</v>
      </c>
      <c r="B24" s="47" t="s">
        <v>449</v>
      </c>
      <c r="C24" s="48">
        <v>9.2002110856543584E-2</v>
      </c>
      <c r="D24" s="14" t="s">
        <v>126</v>
      </c>
      <c r="E24" s="14" t="s">
        <v>138</v>
      </c>
      <c r="F24" s="14" t="s">
        <v>400</v>
      </c>
      <c r="G24" s="29" t="s">
        <v>138</v>
      </c>
      <c r="H24" s="119" t="s">
        <v>450</v>
      </c>
      <c r="I24" s="119"/>
      <c r="J24" s="119"/>
      <c r="K24" s="119"/>
      <c r="L24" s="119"/>
    </row>
    <row r="25" spans="1:13" ht="18" customHeight="1" x14ac:dyDescent="0.2">
      <c r="A25" s="14" t="s">
        <v>404</v>
      </c>
      <c r="B25" s="14" t="s">
        <v>437</v>
      </c>
      <c r="C25" s="36">
        <f>3.2*PI()/180</f>
        <v>5.5850536063818547E-2</v>
      </c>
      <c r="D25" s="14" t="s">
        <v>126</v>
      </c>
      <c r="E25" s="14" t="s">
        <v>408</v>
      </c>
      <c r="F25" s="14" t="s">
        <v>9</v>
      </c>
      <c r="G25" s="29" t="s">
        <v>138</v>
      </c>
      <c r="H25" s="119" t="s">
        <v>410</v>
      </c>
      <c r="I25" s="119"/>
      <c r="J25" s="119"/>
      <c r="K25" s="119"/>
      <c r="L25" s="119"/>
      <c r="M25" s="14">
        <f>70000*2/0.0005598/0.5/636</f>
        <v>786444.39501079684</v>
      </c>
    </row>
    <row r="26" spans="1:13" s="46" customFormat="1" ht="18" customHeight="1" x14ac:dyDescent="0.2">
      <c r="A26" s="46" t="s">
        <v>481</v>
      </c>
      <c r="B26" s="47" t="s">
        <v>482</v>
      </c>
      <c r="C26" s="48">
        <f>C24/C28</f>
        <v>1.2845918025852048E-2</v>
      </c>
      <c r="D26" s="46" t="s">
        <v>126</v>
      </c>
      <c r="E26" s="46" t="s">
        <v>408</v>
      </c>
      <c r="F26" s="46" t="s">
        <v>21</v>
      </c>
      <c r="G26" s="29" t="s">
        <v>483</v>
      </c>
      <c r="H26" s="119" t="s">
        <v>484</v>
      </c>
      <c r="I26" s="119"/>
      <c r="J26" s="119"/>
      <c r="K26" s="119"/>
      <c r="L26" s="119"/>
      <c r="M26" s="46">
        <f>SQRT(M25)</f>
        <v>886.81700198563897</v>
      </c>
    </row>
    <row r="27" spans="1:13" ht="18" customHeight="1" x14ac:dyDescent="0.2">
      <c r="A27" s="14" t="s">
        <v>420</v>
      </c>
      <c r="B27" s="14" t="s">
        <v>421</v>
      </c>
      <c r="C27" s="36">
        <f>C23/C25</f>
        <v>7.1619724391352904</v>
      </c>
      <c r="D27" s="14" t="s">
        <v>126</v>
      </c>
      <c r="E27" s="14" t="s">
        <v>422</v>
      </c>
      <c r="F27" s="14" t="s">
        <v>21</v>
      </c>
      <c r="G27" s="29" t="s">
        <v>423</v>
      </c>
      <c r="H27" s="99" t="s">
        <v>424</v>
      </c>
      <c r="I27" s="99"/>
      <c r="J27" s="99"/>
      <c r="K27" s="99"/>
      <c r="L27" s="99"/>
    </row>
    <row r="28" spans="1:13" ht="18" customHeight="1" x14ac:dyDescent="0.2">
      <c r="A28" s="14" t="s">
        <v>426</v>
      </c>
      <c r="B28" s="14" t="s">
        <v>427</v>
      </c>
      <c r="C28" s="36">
        <f>C27</f>
        <v>7.1619724391352904</v>
      </c>
      <c r="D28" s="14" t="s">
        <v>126</v>
      </c>
      <c r="E28" s="14" t="s">
        <v>422</v>
      </c>
      <c r="F28" s="14" t="s">
        <v>21</v>
      </c>
      <c r="G28" s="29" t="s">
        <v>428</v>
      </c>
      <c r="H28" s="99" t="s">
        <v>429</v>
      </c>
      <c r="I28" s="99"/>
      <c r="J28" s="99"/>
      <c r="K28" s="99"/>
      <c r="L28" s="99"/>
    </row>
    <row r="29" spans="1:13" ht="18" customHeight="1" x14ac:dyDescent="0.2">
      <c r="A29" s="34" t="s">
        <v>430</v>
      </c>
      <c r="B29" s="14" t="s">
        <v>431</v>
      </c>
      <c r="C29" s="36">
        <f>$C$7/C25</f>
        <v>3.8015393376289306</v>
      </c>
      <c r="D29" s="14" t="s">
        <v>126</v>
      </c>
      <c r="E29" s="14" t="s">
        <v>432</v>
      </c>
      <c r="F29" s="14" t="s">
        <v>21</v>
      </c>
      <c r="G29" s="29" t="s">
        <v>433</v>
      </c>
      <c r="H29" s="99" t="s">
        <v>434</v>
      </c>
      <c r="I29" s="99"/>
      <c r="J29" s="99"/>
      <c r="K29" s="99"/>
      <c r="L29" s="99"/>
      <c r="M29" s="36"/>
    </row>
    <row r="30" spans="1:13" ht="18" customHeight="1" x14ac:dyDescent="0.2">
      <c r="A30" s="14" t="s">
        <v>435</v>
      </c>
      <c r="B30" s="14" t="s">
        <v>436</v>
      </c>
      <c r="C30" s="36">
        <f>2*'Stability Constants'!$C$13*('Stability Constants'!$C$4-'Stability Constants'!$C$3)*'Stability Constants'!$C$14*'Subsonic Stability'!C25</f>
        <v>109383.85457273804</v>
      </c>
      <c r="D30" s="14" t="s">
        <v>126</v>
      </c>
      <c r="E30" s="14" t="s">
        <v>225</v>
      </c>
      <c r="F30" s="14" t="s">
        <v>21</v>
      </c>
      <c r="G30" s="29" t="s">
        <v>438</v>
      </c>
      <c r="H30" s="99" t="s">
        <v>439</v>
      </c>
      <c r="I30" s="99"/>
      <c r="J30" s="99"/>
      <c r="K30" s="99"/>
      <c r="L30" s="99"/>
    </row>
    <row r="31" spans="1:13" ht="18" customHeight="1" x14ac:dyDescent="0.2">
      <c r="A31" s="14" t="s">
        <v>440</v>
      </c>
      <c r="B31" s="14" t="s">
        <v>441</v>
      </c>
      <c r="C31" s="36">
        <f>2*'Stability Constants'!$C$13*('Stability Constants'!$C$6-'Stability Constants'!$C$5)*'Stability Constants'!$C$15*'Subsonic Stability'!C25</f>
        <v>68428.793303220504</v>
      </c>
      <c r="D31" s="14" t="s">
        <v>126</v>
      </c>
      <c r="E31" s="14" t="s">
        <v>225</v>
      </c>
      <c r="F31" s="14" t="s">
        <v>21</v>
      </c>
      <c r="G31" s="29" t="s">
        <v>443</v>
      </c>
      <c r="H31" s="99" t="s">
        <v>439</v>
      </c>
      <c r="I31" s="99"/>
      <c r="J31" s="99"/>
      <c r="K31" s="99"/>
      <c r="L31" s="99"/>
    </row>
    <row r="32" spans="1:13" ht="22" customHeight="1" x14ac:dyDescent="0.2">
      <c r="A32" s="112" t="s">
        <v>445</v>
      </c>
      <c r="B32" s="114"/>
      <c r="C32" s="114"/>
      <c r="D32" s="114"/>
      <c r="E32" s="114"/>
      <c r="F32" s="114"/>
      <c r="G32" s="114"/>
      <c r="H32" s="113"/>
      <c r="I32" s="113"/>
      <c r="J32" s="113"/>
      <c r="K32" s="113"/>
      <c r="L32" s="122"/>
    </row>
    <row r="33" spans="1:12" ht="18" customHeight="1" x14ac:dyDescent="0.2">
      <c r="A33" s="23" t="s">
        <v>5</v>
      </c>
      <c r="B33" s="23" t="s">
        <v>97</v>
      </c>
      <c r="C33" s="25" t="s">
        <v>7</v>
      </c>
      <c r="D33" s="25" t="s">
        <v>126</v>
      </c>
      <c r="E33" s="25" t="s">
        <v>8</v>
      </c>
      <c r="F33" s="25" t="s">
        <v>9</v>
      </c>
      <c r="G33" s="31" t="s">
        <v>10</v>
      </c>
      <c r="H33" s="116" t="s">
        <v>11</v>
      </c>
      <c r="I33" s="117"/>
      <c r="J33" s="117"/>
      <c r="K33" s="117"/>
      <c r="L33" s="118"/>
    </row>
    <row r="34" spans="1:12" ht="18" customHeight="1" x14ac:dyDescent="0.2">
      <c r="A34" s="14" t="s">
        <v>380</v>
      </c>
      <c r="B34" s="14" t="s">
        <v>381</v>
      </c>
      <c r="C34" s="36">
        <v>0.9</v>
      </c>
      <c r="D34" s="14" t="s">
        <v>126</v>
      </c>
      <c r="E34" s="14" t="s">
        <v>138</v>
      </c>
      <c r="F34" s="14" t="s">
        <v>382</v>
      </c>
      <c r="G34" s="29" t="s">
        <v>138</v>
      </c>
      <c r="H34" s="120" t="s">
        <v>310</v>
      </c>
      <c r="I34" s="120"/>
      <c r="J34" s="120"/>
      <c r="K34" s="120"/>
      <c r="L34" s="120"/>
    </row>
    <row r="35" spans="1:12" ht="18" customHeight="1" x14ac:dyDescent="0.2">
      <c r="A35" s="14" t="s">
        <v>406</v>
      </c>
      <c r="B35" s="14" t="s">
        <v>407</v>
      </c>
      <c r="C35" s="36">
        <v>0.5</v>
      </c>
      <c r="D35" s="14" t="s">
        <v>126</v>
      </c>
      <c r="E35" s="14" t="s">
        <v>138</v>
      </c>
      <c r="F35" s="14" t="s">
        <v>400</v>
      </c>
      <c r="G35" s="29" t="s">
        <v>138</v>
      </c>
      <c r="H35" s="119" t="s">
        <v>409</v>
      </c>
      <c r="I35" s="119"/>
      <c r="J35" s="119"/>
      <c r="K35" s="119"/>
      <c r="L35" s="119"/>
    </row>
    <row r="36" spans="1:12" ht="18" customHeight="1" x14ac:dyDescent="0.2">
      <c r="A36" s="14" t="s">
        <v>448</v>
      </c>
      <c r="B36" s="47" t="s">
        <v>449</v>
      </c>
      <c r="C36" s="48">
        <v>0.1130298377137868</v>
      </c>
      <c r="D36" s="14" t="s">
        <v>126</v>
      </c>
      <c r="E36" s="14" t="s">
        <v>138</v>
      </c>
      <c r="F36" s="14" t="s">
        <v>400</v>
      </c>
      <c r="G36" s="29" t="s">
        <v>138</v>
      </c>
      <c r="H36" s="119" t="s">
        <v>450</v>
      </c>
      <c r="I36" s="119"/>
      <c r="J36" s="119"/>
      <c r="K36" s="119"/>
      <c r="L36" s="119"/>
    </row>
    <row r="37" spans="1:12" ht="18" customHeight="1" x14ac:dyDescent="0.2">
      <c r="A37" s="14" t="s">
        <v>404</v>
      </c>
      <c r="B37" s="14" t="s">
        <v>437</v>
      </c>
      <c r="C37" s="36">
        <f>3.92*PI()/180</f>
        <v>6.8416906678177708E-2</v>
      </c>
      <c r="D37" s="14" t="s">
        <v>126</v>
      </c>
      <c r="E37" s="14" t="s">
        <v>408</v>
      </c>
      <c r="F37" s="14" t="s">
        <v>9</v>
      </c>
      <c r="G37" s="29" t="s">
        <v>138</v>
      </c>
      <c r="H37" s="119" t="s">
        <v>410</v>
      </c>
      <c r="I37" s="119"/>
      <c r="J37" s="119"/>
      <c r="K37" s="119"/>
      <c r="L37" s="119"/>
    </row>
    <row r="38" spans="1:12" s="46" customFormat="1" ht="18" customHeight="1" x14ac:dyDescent="0.2">
      <c r="A38" s="46" t="s">
        <v>481</v>
      </c>
      <c r="B38" s="47" t="s">
        <v>482</v>
      </c>
      <c r="C38" s="48">
        <f>C36/C40</f>
        <v>1.5466303717427446E-2</v>
      </c>
      <c r="D38" s="46" t="s">
        <v>126</v>
      </c>
      <c r="E38" s="46" t="s">
        <v>408</v>
      </c>
      <c r="F38" s="46" t="s">
        <v>21</v>
      </c>
      <c r="G38" s="29" t="s">
        <v>483</v>
      </c>
      <c r="H38" s="119" t="s">
        <v>484</v>
      </c>
      <c r="I38" s="119"/>
      <c r="J38" s="119"/>
      <c r="K38" s="119"/>
      <c r="L38" s="119"/>
    </row>
    <row r="39" spans="1:12" ht="18" customHeight="1" x14ac:dyDescent="0.2">
      <c r="A39" s="14" t="s">
        <v>420</v>
      </c>
      <c r="B39" s="14" t="s">
        <v>421</v>
      </c>
      <c r="C39" s="36">
        <f>C35/C37</f>
        <v>7.3081351419747866</v>
      </c>
      <c r="D39" s="14" t="s">
        <v>126</v>
      </c>
      <c r="E39" s="14" t="s">
        <v>422</v>
      </c>
      <c r="F39" s="14" t="s">
        <v>21</v>
      </c>
      <c r="G39" s="29" t="s">
        <v>423</v>
      </c>
      <c r="H39" s="99" t="s">
        <v>424</v>
      </c>
      <c r="I39" s="99"/>
      <c r="J39" s="99"/>
      <c r="K39" s="99"/>
      <c r="L39" s="99"/>
    </row>
    <row r="40" spans="1:12" ht="18" customHeight="1" x14ac:dyDescent="0.2">
      <c r="A40" s="14" t="s">
        <v>426</v>
      </c>
      <c r="B40" s="14" t="s">
        <v>427</v>
      </c>
      <c r="C40" s="36">
        <f>C39</f>
        <v>7.3081351419747866</v>
      </c>
      <c r="D40" s="14" t="s">
        <v>126</v>
      </c>
      <c r="E40" s="14" t="s">
        <v>422</v>
      </c>
      <c r="F40" s="14" t="s">
        <v>21</v>
      </c>
      <c r="G40" s="29" t="s">
        <v>428</v>
      </c>
      <c r="H40" s="99" t="s">
        <v>429</v>
      </c>
      <c r="I40" s="99"/>
      <c r="J40" s="99"/>
      <c r="K40" s="99"/>
      <c r="L40" s="99"/>
    </row>
    <row r="41" spans="1:12" ht="18" customHeight="1" x14ac:dyDescent="0.2">
      <c r="A41" s="34" t="s">
        <v>430</v>
      </c>
      <c r="B41" s="14" t="s">
        <v>431</v>
      </c>
      <c r="C41" s="36">
        <f>$C$7/C37</f>
        <v>3.103297418472597</v>
      </c>
      <c r="D41" s="14" t="s">
        <v>126</v>
      </c>
      <c r="E41" s="14" t="s">
        <v>432</v>
      </c>
      <c r="F41" s="14" t="s">
        <v>21</v>
      </c>
      <c r="G41" s="29" t="s">
        <v>433</v>
      </c>
      <c r="H41" s="99" t="s">
        <v>434</v>
      </c>
      <c r="I41" s="99"/>
      <c r="J41" s="99"/>
      <c r="K41" s="99"/>
      <c r="L41" s="99"/>
    </row>
    <row r="42" spans="1:12" ht="18" customHeight="1" x14ac:dyDescent="0.2">
      <c r="A42" s="14" t="s">
        <v>435</v>
      </c>
      <c r="B42" s="14" t="s">
        <v>436</v>
      </c>
      <c r="C42" s="36">
        <f>2*'Stability Constants'!$C$13*('Stability Constants'!$C$4-'Stability Constants'!$C$3)*'Stability Constants'!$C$14*'Subsonic Stability'!C37</f>
        <v>133995.22185160406</v>
      </c>
      <c r="D42" s="14" t="s">
        <v>126</v>
      </c>
      <c r="E42" s="14" t="s">
        <v>225</v>
      </c>
      <c r="F42" s="14" t="s">
        <v>21</v>
      </c>
      <c r="G42" s="29" t="s">
        <v>438</v>
      </c>
      <c r="H42" s="99" t="s">
        <v>439</v>
      </c>
      <c r="I42" s="99"/>
      <c r="J42" s="99"/>
      <c r="K42" s="99"/>
      <c r="L42" s="99"/>
    </row>
    <row r="43" spans="1:12" ht="18" customHeight="1" x14ac:dyDescent="0.2">
      <c r="A43" s="14" t="s">
        <v>440</v>
      </c>
      <c r="B43" s="14" t="s">
        <v>441</v>
      </c>
      <c r="C43" s="36">
        <f>2*'Stability Constants'!$C$13*('Stability Constants'!$C$6-'Stability Constants'!$C$5)*'Stability Constants'!$C$15*'Subsonic Stability'!C37</f>
        <v>83825.2717964451</v>
      </c>
      <c r="D43" s="14" t="s">
        <v>126</v>
      </c>
      <c r="E43" s="14" t="s">
        <v>225</v>
      </c>
      <c r="F43" s="14" t="s">
        <v>21</v>
      </c>
      <c r="G43" s="29" t="s">
        <v>443</v>
      </c>
      <c r="H43" s="99" t="s">
        <v>439</v>
      </c>
      <c r="I43" s="99"/>
      <c r="J43" s="99"/>
      <c r="K43" s="99"/>
      <c r="L43" s="99"/>
    </row>
    <row r="44" spans="1:12" ht="22" customHeight="1" x14ac:dyDescent="0.2">
      <c r="A44" s="112" t="s">
        <v>446</v>
      </c>
      <c r="B44" s="114"/>
      <c r="C44" s="114"/>
      <c r="D44" s="114"/>
      <c r="E44" s="114"/>
      <c r="F44" s="114"/>
      <c r="G44" s="114"/>
      <c r="H44" s="113"/>
      <c r="I44" s="113"/>
      <c r="J44" s="113"/>
      <c r="K44" s="113"/>
      <c r="L44" s="122"/>
    </row>
    <row r="45" spans="1:12" ht="18" customHeight="1" x14ac:dyDescent="0.2">
      <c r="A45" s="23" t="s">
        <v>5</v>
      </c>
      <c r="B45" s="23" t="s">
        <v>97</v>
      </c>
      <c r="C45" s="25" t="s">
        <v>7</v>
      </c>
      <c r="D45" s="25" t="s">
        <v>126</v>
      </c>
      <c r="E45" s="25" t="s">
        <v>8</v>
      </c>
      <c r="F45" s="25" t="s">
        <v>9</v>
      </c>
      <c r="G45" s="31" t="s">
        <v>460</v>
      </c>
      <c r="H45" s="116" t="s">
        <v>11</v>
      </c>
      <c r="I45" s="117"/>
      <c r="J45" s="117"/>
      <c r="K45" s="117"/>
      <c r="L45" s="118"/>
    </row>
    <row r="46" spans="1:12" ht="18" customHeight="1" x14ac:dyDescent="0.2">
      <c r="A46" s="14" t="s">
        <v>451</v>
      </c>
      <c r="B46" s="47" t="s">
        <v>447</v>
      </c>
      <c r="C46" s="48">
        <f>(C11 + C12* 'Stability Constants'!$C$16*'Subsonic Stability'!$C$4/'Initial Estimates'!$C$5)*'Stability Constants'!$C$8/'Initial Estimates'!$C$10 - 'Subsonic Stability'!C12*'Stability Constants'!$C$16*'Subsonic Stability'!$C$4/'Initial Estimates'!$C$5*'Stability Constants'!$C$10/'Initial Estimates'!$C$10+'Subsonic Stability'!$C$5+('Subsonic Stability'!C18+'Stability Constants'!$C$11*'Subsonic Stability'!C19)/('Stability Constants'!$C$13*'Initial Estimates'!$C$5*'Initial Estimates'!$C$10)</f>
        <v>3.0302562980954257E-2</v>
      </c>
      <c r="D46" s="14" t="s">
        <v>126</v>
      </c>
      <c r="E46" s="14" t="s">
        <v>138</v>
      </c>
      <c r="F46" s="14" t="s">
        <v>21</v>
      </c>
      <c r="G46" s="29" t="s">
        <v>461</v>
      </c>
      <c r="H46" s="99" t="s">
        <v>439</v>
      </c>
      <c r="I46" s="99"/>
      <c r="J46" s="99"/>
      <c r="K46" s="99"/>
      <c r="L46" s="99"/>
    </row>
    <row r="47" spans="1:12" ht="18" customHeight="1" x14ac:dyDescent="0.2">
      <c r="A47" s="14" t="s">
        <v>452</v>
      </c>
      <c r="B47" s="47" t="s">
        <v>447</v>
      </c>
      <c r="C47" s="48">
        <f>(C23 + C24* 'Stability Constants'!$C$16*'Subsonic Stability'!$C$4/'Initial Estimates'!$C$5)*'Stability Constants'!$C$8/'Initial Estimates'!$C$10 - 'Subsonic Stability'!C24*'Stability Constants'!$C$16*'Subsonic Stability'!$C$4/'Initial Estimates'!$C$5*'Stability Constants'!$C$10/'Initial Estimates'!$C$10+'Subsonic Stability'!$C$5+('Subsonic Stability'!C30+'Stability Constants'!$C$11*'Subsonic Stability'!C31)/('Stability Constants'!$C$13*'Initial Estimates'!$C$5*'Initial Estimates'!$C$10)</f>
        <v>4.4733599611903152E-2</v>
      </c>
      <c r="D47" s="14" t="s">
        <v>126</v>
      </c>
      <c r="E47" s="14" t="s">
        <v>138</v>
      </c>
      <c r="F47" s="14" t="s">
        <v>21</v>
      </c>
      <c r="G47" s="29" t="s">
        <v>461</v>
      </c>
      <c r="H47" s="99" t="s">
        <v>439</v>
      </c>
      <c r="I47" s="99"/>
      <c r="J47" s="99"/>
      <c r="K47" s="99"/>
      <c r="L47" s="99"/>
    </row>
    <row r="48" spans="1:12" ht="18" customHeight="1" x14ac:dyDescent="0.2">
      <c r="A48" s="14" t="s">
        <v>453</v>
      </c>
      <c r="B48" s="47" t="s">
        <v>447</v>
      </c>
      <c r="C48" s="48">
        <f>(C35 + C36* 'Stability Constants'!$C$16*'Subsonic Stability'!$C$4/'Initial Estimates'!$C$5)*'Stability Constants'!$C$8/'Initial Estimates'!$C$10 - 'Subsonic Stability'!C36*'Stability Constants'!$C$16*'Subsonic Stability'!$C$4/'Initial Estimates'!$C$5*'Stability Constants'!$C$10/'Initial Estimates'!$C$10+'Subsonic Stability'!$C$5+('Subsonic Stability'!C42+'Stability Constants'!$C$11*'Subsonic Stability'!C43)/('Stability Constants'!$C$13*'Initial Estimates'!$C$5*'Initial Estimates'!$C$10)</f>
        <v>5.7133740507836386E-2</v>
      </c>
      <c r="D48" s="14" t="s">
        <v>126</v>
      </c>
      <c r="E48" s="14" t="s">
        <v>138</v>
      </c>
      <c r="F48" s="14" t="s">
        <v>21</v>
      </c>
      <c r="G48" s="29" t="s">
        <v>461</v>
      </c>
      <c r="H48" s="99" t="s">
        <v>439</v>
      </c>
      <c r="I48" s="99"/>
      <c r="J48" s="99"/>
      <c r="K48" s="99"/>
      <c r="L48" s="99"/>
    </row>
    <row r="49" spans="1:12" ht="18" customHeight="1" x14ac:dyDescent="0.2">
      <c r="A49" s="14" t="s">
        <v>455</v>
      </c>
      <c r="B49" s="47" t="s">
        <v>454</v>
      </c>
      <c r="C49" s="48">
        <f xml:space="preserve"> ( C15 + C16*(1 - C17)*'Stability Constants'!$C$16*('Subsonic Stability'!$C$4/'Initial Estimates'!$C$5))*('Stability Constants'!$C$8/'Initial Estimates'!$C$10) - C16*(1 - C17)*'Stability Constants'!$C$16*'Subsonic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8.3336893461263681</v>
      </c>
      <c r="D49" s="14" t="s">
        <v>126</v>
      </c>
      <c r="E49" s="14" t="s">
        <v>422</v>
      </c>
      <c r="F49" s="14" t="s">
        <v>21</v>
      </c>
      <c r="G49" s="29" t="s">
        <v>459</v>
      </c>
      <c r="H49" s="99" t="s">
        <v>439</v>
      </c>
      <c r="I49" s="99"/>
      <c r="J49" s="99"/>
      <c r="K49" s="99"/>
      <c r="L49" s="99"/>
    </row>
    <row r="50" spans="1:12" s="37" customFormat="1" ht="18" customHeight="1" x14ac:dyDescent="0.2">
      <c r="A50" s="37" t="s">
        <v>458</v>
      </c>
      <c r="B50" s="47" t="s">
        <v>454</v>
      </c>
      <c r="C50" s="48">
        <f xml:space="preserve"> ( C27 + C28*(1 - C29)*'Stability Constants'!$C$16*('Subsonic Stability'!$C$4/'Initial Estimates'!$C$5))*('Stability Constants'!$C$8/'Initial Estimates'!$C$10) - C28*(1 - C29)*'Stability Constants'!$C$16*'Subsonic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6.9616099799567941</v>
      </c>
      <c r="D50" s="37" t="s">
        <v>126</v>
      </c>
      <c r="E50" s="37" t="s">
        <v>422</v>
      </c>
      <c r="F50" s="37" t="s">
        <v>21</v>
      </c>
      <c r="G50" s="29" t="s">
        <v>459</v>
      </c>
      <c r="H50" s="99" t="s">
        <v>439</v>
      </c>
      <c r="I50" s="99"/>
      <c r="J50" s="99"/>
      <c r="K50" s="99"/>
      <c r="L50" s="99"/>
    </row>
    <row r="51" spans="1:12" s="37" customFormat="1" ht="18" customHeight="1" x14ac:dyDescent="0.2">
      <c r="A51" s="37" t="s">
        <v>458</v>
      </c>
      <c r="B51" s="47" t="s">
        <v>454</v>
      </c>
      <c r="C51" s="48">
        <f xml:space="preserve"> ( C39 + C40*(1 - C41)*'Stability Constants'!$C$16*('Subsonic Stability'!$C$4/'Initial Estimates'!$C$5))*('Stability Constants'!$C$8/'Initial Estimates'!$C$10) - C40*(1 - C41)*'Stability Constants'!$C$16*'Subsonic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5.9447866291068632</v>
      </c>
      <c r="D51" s="37" t="s">
        <v>126</v>
      </c>
      <c r="E51" s="37" t="s">
        <v>422</v>
      </c>
      <c r="F51" s="37" t="s">
        <v>21</v>
      </c>
      <c r="G51" s="29" t="s">
        <v>459</v>
      </c>
      <c r="H51" s="99" t="s">
        <v>439</v>
      </c>
      <c r="I51" s="99"/>
      <c r="J51" s="99"/>
      <c r="K51" s="99"/>
      <c r="L51" s="99"/>
    </row>
    <row r="52" spans="1:12" ht="18" customHeight="1" x14ac:dyDescent="0.2">
      <c r="H52" s="99"/>
      <c r="I52" s="99"/>
      <c r="J52" s="99"/>
      <c r="K52" s="99"/>
      <c r="L52" s="99"/>
    </row>
    <row r="55" spans="1:12" ht="18" customHeight="1" x14ac:dyDescent="0.25">
      <c r="F55" s="42"/>
    </row>
  </sheetData>
  <mergeCells count="52">
    <mergeCell ref="H49:L49"/>
    <mergeCell ref="H50:L50"/>
    <mergeCell ref="H51:L51"/>
    <mergeCell ref="H52:L52"/>
    <mergeCell ref="H46:L46"/>
    <mergeCell ref="H47:L47"/>
    <mergeCell ref="H48:L48"/>
    <mergeCell ref="H30:L30"/>
    <mergeCell ref="H31:L31"/>
    <mergeCell ref="A32:L32"/>
    <mergeCell ref="H34:L34"/>
    <mergeCell ref="H35:L35"/>
    <mergeCell ref="H33:L33"/>
    <mergeCell ref="H45:L45"/>
    <mergeCell ref="H39:L39"/>
    <mergeCell ref="H40:L40"/>
    <mergeCell ref="H41:L41"/>
    <mergeCell ref="H42:L42"/>
    <mergeCell ref="H43:L43"/>
    <mergeCell ref="A44:L44"/>
    <mergeCell ref="H37:L37"/>
    <mergeCell ref="H36:L36"/>
    <mergeCell ref="H3:L3"/>
    <mergeCell ref="A8:L8"/>
    <mergeCell ref="H6:L6"/>
    <mergeCell ref="A20:L20"/>
    <mergeCell ref="H12:L12"/>
    <mergeCell ref="H25:L25"/>
    <mergeCell ref="H27:L27"/>
    <mergeCell ref="H28:L28"/>
    <mergeCell ref="H29:L29"/>
    <mergeCell ref="H4:L4"/>
    <mergeCell ref="H5:L5"/>
    <mergeCell ref="H7:L7"/>
    <mergeCell ref="H15:L15"/>
    <mergeCell ref="H16:L16"/>
    <mergeCell ref="H14:L14"/>
    <mergeCell ref="H26:L26"/>
    <mergeCell ref="H38:L38"/>
    <mergeCell ref="A1:L1"/>
    <mergeCell ref="H2:L2"/>
    <mergeCell ref="H10:L10"/>
    <mergeCell ref="H11:L11"/>
    <mergeCell ref="H13:L13"/>
    <mergeCell ref="H9:L9"/>
    <mergeCell ref="H24:L24"/>
    <mergeCell ref="H17:L17"/>
    <mergeCell ref="H18:L18"/>
    <mergeCell ref="H19:L19"/>
    <mergeCell ref="H22:L22"/>
    <mergeCell ref="H23:L23"/>
    <mergeCell ref="H21:L21"/>
  </mergeCell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CC304"/>
  <sheetViews>
    <sheetView tabSelected="1" topLeftCell="A141" zoomScale="70" zoomScaleNormal="70" zoomScalePageLayoutView="70" workbookViewId="0">
      <selection activeCell="F147" sqref="F147"/>
    </sheetView>
  </sheetViews>
  <sheetFormatPr baseColWidth="10" defaultColWidth="15.1640625" defaultRowHeight="18" customHeight="1" x14ac:dyDescent="0.2"/>
  <cols>
    <col min="1" max="1" width="51" style="49" customWidth="1"/>
    <col min="2" max="2" width="19.33203125" style="49" customWidth="1"/>
    <col min="3" max="3" width="15.1640625" style="49"/>
    <col min="4" max="4" width="2" style="49" customWidth="1"/>
    <col min="5" max="5" width="15.1640625" style="49"/>
    <col min="6" max="6" width="30.33203125" style="49" customWidth="1"/>
    <col min="7" max="7" width="52.83203125" style="29" customWidth="1"/>
    <col min="8" max="12" width="15.1640625" style="49"/>
    <col min="13" max="13" width="5.1640625" style="49" customWidth="1"/>
    <col min="14" max="14" width="4" style="49" customWidth="1"/>
    <col min="15" max="15" width="3.5" style="49" customWidth="1"/>
    <col min="16" max="17" width="15.1640625" style="49" customWidth="1"/>
    <col min="18" max="16384" width="15.1640625" style="49"/>
  </cols>
  <sheetData>
    <row r="1" spans="1:23" ht="22" customHeight="1" x14ac:dyDescent="0.2">
      <c r="A1" s="112" t="s">
        <v>503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5"/>
    </row>
    <row r="2" spans="1:23" ht="18" customHeight="1" x14ac:dyDescent="0.2">
      <c r="A2" s="23" t="s">
        <v>5</v>
      </c>
      <c r="B2" s="23" t="s">
        <v>97</v>
      </c>
      <c r="C2" s="50" t="s">
        <v>7</v>
      </c>
      <c r="D2" s="50" t="s">
        <v>126</v>
      </c>
      <c r="E2" s="50" t="s">
        <v>8</v>
      </c>
      <c r="F2" s="50" t="s">
        <v>9</v>
      </c>
      <c r="G2" s="31" t="s">
        <v>10</v>
      </c>
      <c r="H2" s="116" t="s">
        <v>11</v>
      </c>
      <c r="I2" s="117"/>
      <c r="J2" s="117"/>
      <c r="K2" s="117"/>
      <c r="L2" s="118"/>
    </row>
    <row r="3" spans="1:23" ht="18" customHeight="1" x14ac:dyDescent="0.2">
      <c r="A3" s="52" t="s">
        <v>411</v>
      </c>
      <c r="B3" s="49" t="s">
        <v>412</v>
      </c>
      <c r="C3" s="13">
        <v>0.5</v>
      </c>
      <c r="D3" s="49" t="s">
        <v>126</v>
      </c>
      <c r="E3" s="49" t="s">
        <v>138</v>
      </c>
      <c r="F3" s="49" t="s">
        <v>14</v>
      </c>
      <c r="G3" s="29" t="s">
        <v>138</v>
      </c>
      <c r="H3" s="121" t="s">
        <v>413</v>
      </c>
      <c r="I3" s="121"/>
      <c r="J3" s="121"/>
      <c r="K3" s="121"/>
      <c r="L3" s="121"/>
    </row>
    <row r="4" spans="1:23" ht="18" customHeight="1" x14ac:dyDescent="0.2">
      <c r="A4" s="52" t="s">
        <v>376</v>
      </c>
      <c r="B4" s="49" t="s">
        <v>377</v>
      </c>
      <c r="C4" s="13">
        <f>'Initial Estimates'!$C$5*'Initial Estimates'!$C$10/'Stability Constants'!$C$9</f>
        <v>1074.4710193268068</v>
      </c>
      <c r="D4" s="49" t="s">
        <v>126</v>
      </c>
      <c r="E4" s="49" t="s">
        <v>223</v>
      </c>
      <c r="F4" s="49" t="s">
        <v>21</v>
      </c>
      <c r="G4" s="29" t="s">
        <v>457</v>
      </c>
      <c r="H4" s="121" t="s">
        <v>383</v>
      </c>
      <c r="I4" s="121"/>
      <c r="J4" s="121"/>
      <c r="K4" s="121"/>
      <c r="L4" s="121"/>
    </row>
    <row r="5" spans="1:23" ht="18" customHeight="1" x14ac:dyDescent="0.2">
      <c r="A5" s="52" t="s">
        <v>354</v>
      </c>
      <c r="B5" s="49" t="s">
        <v>355</v>
      </c>
      <c r="C5" s="13">
        <v>0</v>
      </c>
      <c r="D5" s="49" t="s">
        <v>126</v>
      </c>
      <c r="E5" s="49" t="s">
        <v>138</v>
      </c>
      <c r="F5" s="49" t="s">
        <v>14</v>
      </c>
      <c r="G5" s="29" t="s">
        <v>356</v>
      </c>
      <c r="H5" s="99" t="s">
        <v>414</v>
      </c>
      <c r="I5" s="99"/>
      <c r="J5" s="99"/>
      <c r="K5" s="99"/>
      <c r="L5" s="99"/>
    </row>
    <row r="6" spans="1:23" ht="18" customHeight="1" x14ac:dyDescent="0.2">
      <c r="A6" s="52" t="s">
        <v>340</v>
      </c>
      <c r="B6" s="49" t="s">
        <v>341</v>
      </c>
      <c r="C6" s="13">
        <v>0</v>
      </c>
      <c r="D6" s="13" t="s">
        <v>126</v>
      </c>
      <c r="E6" s="49" t="s">
        <v>138</v>
      </c>
      <c r="F6" s="49" t="s">
        <v>14</v>
      </c>
      <c r="G6" s="29" t="s">
        <v>419</v>
      </c>
      <c r="H6" s="119" t="s">
        <v>342</v>
      </c>
      <c r="I6" s="119"/>
      <c r="J6" s="119"/>
      <c r="K6" s="119"/>
      <c r="L6" s="119"/>
    </row>
    <row r="7" spans="1:23" ht="18" customHeight="1" x14ac:dyDescent="0.2">
      <c r="A7" s="52" t="s">
        <v>415</v>
      </c>
      <c r="B7" s="49" t="s">
        <v>416</v>
      </c>
      <c r="C7" s="13">
        <f>2*C11/(PI()*'Initial Estimates'!C6)*(1+C6)</f>
        <v>7.5957442916327056E-2</v>
      </c>
      <c r="D7" s="49" t="s">
        <v>126</v>
      </c>
      <c r="E7" s="49" t="s">
        <v>138</v>
      </c>
      <c r="F7" s="49" t="s">
        <v>14</v>
      </c>
      <c r="G7" s="29" t="s">
        <v>417</v>
      </c>
      <c r="H7" s="99" t="s">
        <v>418</v>
      </c>
      <c r="I7" s="99"/>
      <c r="J7" s="99"/>
      <c r="K7" s="99"/>
      <c r="L7" s="99"/>
    </row>
    <row r="8" spans="1:23" ht="22" customHeight="1" x14ac:dyDescent="0.2">
      <c r="A8" s="112" t="s">
        <v>504</v>
      </c>
      <c r="B8" s="114"/>
      <c r="C8" s="114"/>
      <c r="D8" s="114"/>
      <c r="E8" s="114"/>
      <c r="F8" s="114"/>
      <c r="G8" s="114"/>
      <c r="H8" s="113"/>
      <c r="I8" s="113"/>
      <c r="J8" s="113"/>
      <c r="K8" s="113"/>
      <c r="L8" s="122"/>
    </row>
    <row r="9" spans="1:23" ht="18" customHeight="1" x14ac:dyDescent="0.2">
      <c r="A9" s="23" t="s">
        <v>5</v>
      </c>
      <c r="B9" s="23" t="s">
        <v>97</v>
      </c>
      <c r="C9" s="50" t="s">
        <v>7</v>
      </c>
      <c r="D9" s="50" t="s">
        <v>126</v>
      </c>
      <c r="E9" s="50" t="s">
        <v>8</v>
      </c>
      <c r="F9" s="50" t="s">
        <v>9</v>
      </c>
      <c r="G9" s="31" t="s">
        <v>10</v>
      </c>
      <c r="H9" s="116" t="s">
        <v>11</v>
      </c>
      <c r="I9" s="117"/>
      <c r="J9" s="117"/>
      <c r="K9" s="117"/>
      <c r="L9" s="118"/>
      <c r="Q9"/>
      <c r="R9"/>
      <c r="S9"/>
      <c r="T9"/>
      <c r="U9"/>
      <c r="V9"/>
      <c r="W9"/>
    </row>
    <row r="10" spans="1:23" ht="18" customHeight="1" x14ac:dyDescent="0.2">
      <c r="A10" s="49" t="s">
        <v>380</v>
      </c>
      <c r="B10" s="49" t="s">
        <v>381</v>
      </c>
      <c r="C10" s="36">
        <v>1.6</v>
      </c>
      <c r="D10" s="49" t="s">
        <v>126</v>
      </c>
      <c r="E10" s="49" t="s">
        <v>138</v>
      </c>
      <c r="F10" s="49" t="s">
        <v>488</v>
      </c>
      <c r="G10" s="29" t="s">
        <v>138</v>
      </c>
      <c r="H10" s="120" t="s">
        <v>310</v>
      </c>
      <c r="I10" s="120"/>
      <c r="J10" s="120"/>
      <c r="K10" s="120"/>
      <c r="L10" s="120"/>
      <c r="Q10"/>
      <c r="R10"/>
      <c r="S10"/>
      <c r="T10"/>
      <c r="U10"/>
      <c r="V10"/>
      <c r="W10"/>
    </row>
    <row r="11" spans="1:23" ht="18" customHeight="1" x14ac:dyDescent="0.2">
      <c r="A11" s="49" t="s">
        <v>559</v>
      </c>
      <c r="B11" s="49" t="s">
        <v>407</v>
      </c>
      <c r="C11" s="36">
        <f>'Final Aircraft Checkouts'!C4</f>
        <v>0.10374842180735959</v>
      </c>
      <c r="D11" s="49" t="s">
        <v>126</v>
      </c>
      <c r="E11" s="49" t="s">
        <v>138</v>
      </c>
      <c r="F11" s="49" t="s">
        <v>21</v>
      </c>
      <c r="G11" s="29" t="s">
        <v>552</v>
      </c>
      <c r="H11" s="119" t="s">
        <v>528</v>
      </c>
      <c r="I11" s="119"/>
      <c r="J11" s="119"/>
      <c r="K11" s="119"/>
      <c r="L11" s="119"/>
      <c r="Q11"/>
      <c r="R11"/>
      <c r="S11"/>
      <c r="T11"/>
      <c r="U11"/>
      <c r="V11"/>
      <c r="W11"/>
    </row>
    <row r="12" spans="1:23" s="63" customFormat="1" ht="18" customHeight="1" x14ac:dyDescent="0.2">
      <c r="A12" s="90">
        <v>42000</v>
      </c>
      <c r="B12" s="63" t="s">
        <v>407</v>
      </c>
      <c r="C12" s="36">
        <f>'Final Aircraft Checkouts'!C5</f>
        <v>0.10884251598155902</v>
      </c>
      <c r="D12" s="63" t="s">
        <v>126</v>
      </c>
      <c r="E12" s="63" t="s">
        <v>138</v>
      </c>
      <c r="F12" s="63" t="s">
        <v>21</v>
      </c>
      <c r="G12" s="29" t="s">
        <v>552</v>
      </c>
      <c r="H12" s="119" t="s">
        <v>528</v>
      </c>
      <c r="I12" s="119"/>
      <c r="J12" s="119"/>
      <c r="K12" s="119"/>
      <c r="L12" s="119"/>
      <c r="Q12" s="62"/>
      <c r="R12" s="62"/>
      <c r="S12" s="62"/>
      <c r="T12" s="62"/>
      <c r="U12" s="62"/>
      <c r="V12" s="62"/>
      <c r="W12" s="62"/>
    </row>
    <row r="13" spans="1:23" s="63" customFormat="1" ht="18" customHeight="1" x14ac:dyDescent="0.2">
      <c r="A13" s="90">
        <v>43000</v>
      </c>
      <c r="B13" s="63" t="s">
        <v>407</v>
      </c>
      <c r="C13" s="36">
        <f>'Final Aircraft Checkouts'!C6</f>
        <v>0.11417017206164713</v>
      </c>
      <c r="D13" s="63" t="s">
        <v>126</v>
      </c>
      <c r="E13" s="63" t="s">
        <v>138</v>
      </c>
      <c r="F13" s="63" t="s">
        <v>21</v>
      </c>
      <c r="G13" s="29" t="s">
        <v>552</v>
      </c>
      <c r="H13" s="119" t="s">
        <v>528</v>
      </c>
      <c r="I13" s="119"/>
      <c r="J13" s="119"/>
      <c r="K13" s="119"/>
      <c r="L13" s="119"/>
      <c r="Q13" s="62"/>
      <c r="R13" s="62"/>
      <c r="S13" s="62"/>
      <c r="T13" s="62"/>
      <c r="U13" s="62"/>
      <c r="V13" s="62"/>
      <c r="W13" s="62"/>
    </row>
    <row r="14" spans="1:23" s="63" customFormat="1" ht="18" customHeight="1" x14ac:dyDescent="0.2">
      <c r="A14" s="90">
        <v>44000</v>
      </c>
      <c r="B14" s="63" t="s">
        <v>407</v>
      </c>
      <c r="C14" s="36">
        <f>'Final Aircraft Checkouts'!C7</f>
        <v>0.11977390498609999</v>
      </c>
      <c r="D14" s="63" t="s">
        <v>126</v>
      </c>
      <c r="E14" s="63" t="s">
        <v>138</v>
      </c>
      <c r="F14" s="63" t="s">
        <v>21</v>
      </c>
      <c r="G14" s="29" t="s">
        <v>552</v>
      </c>
      <c r="H14" s="119" t="s">
        <v>528</v>
      </c>
      <c r="I14" s="119"/>
      <c r="J14" s="119"/>
      <c r="K14" s="119"/>
      <c r="L14" s="119"/>
      <c r="Q14" s="62"/>
      <c r="R14" s="62"/>
      <c r="S14" s="62"/>
      <c r="T14" s="62"/>
      <c r="U14" s="62"/>
      <c r="V14" s="62"/>
      <c r="W14" s="62"/>
    </row>
    <row r="15" spans="1:23" s="63" customFormat="1" ht="18" customHeight="1" x14ac:dyDescent="0.2">
      <c r="A15" s="90">
        <v>45000</v>
      </c>
      <c r="B15" s="63" t="s">
        <v>407</v>
      </c>
      <c r="C15" s="36">
        <f>'Final Aircraft Checkouts'!C8</f>
        <v>0.1256291726752323</v>
      </c>
      <c r="D15" s="63" t="s">
        <v>126</v>
      </c>
      <c r="E15" s="63" t="s">
        <v>138</v>
      </c>
      <c r="F15" s="63" t="s">
        <v>21</v>
      </c>
      <c r="G15" s="29" t="s">
        <v>552</v>
      </c>
      <c r="H15" s="119" t="s">
        <v>528</v>
      </c>
      <c r="I15" s="119"/>
      <c r="J15" s="119"/>
      <c r="K15" s="119"/>
      <c r="L15" s="119"/>
      <c r="Q15" s="62"/>
      <c r="R15" s="62"/>
      <c r="S15" s="62"/>
      <c r="T15" s="62"/>
      <c r="U15" s="62"/>
      <c r="V15" s="62"/>
      <c r="W15" s="62"/>
    </row>
    <row r="16" spans="1:23" s="63" customFormat="1" ht="18" customHeight="1" x14ac:dyDescent="0.2">
      <c r="A16" s="90">
        <v>46000</v>
      </c>
      <c r="B16" s="63" t="s">
        <v>407</v>
      </c>
      <c r="C16" s="36">
        <f>'Final Aircraft Checkouts'!C9</f>
        <v>0.13178662702010416</v>
      </c>
      <c r="D16" s="63" t="s">
        <v>126</v>
      </c>
      <c r="E16" s="63" t="s">
        <v>138</v>
      </c>
      <c r="F16" s="63" t="s">
        <v>21</v>
      </c>
      <c r="G16" s="29" t="s">
        <v>552</v>
      </c>
      <c r="H16" s="119" t="s">
        <v>528</v>
      </c>
      <c r="I16" s="119"/>
      <c r="J16" s="119"/>
      <c r="K16" s="119"/>
      <c r="L16" s="119"/>
      <c r="Q16" s="62"/>
      <c r="R16" s="62"/>
      <c r="S16" s="62"/>
      <c r="T16" s="62"/>
      <c r="U16" s="62"/>
      <c r="V16" s="62"/>
      <c r="W16" s="62"/>
    </row>
    <row r="17" spans="1:23" s="63" customFormat="1" ht="18" customHeight="1" x14ac:dyDescent="0.2">
      <c r="A17" s="90">
        <v>47000</v>
      </c>
      <c r="B17" s="63" t="s">
        <v>407</v>
      </c>
      <c r="C17" s="36">
        <f>'Final Aircraft Checkouts'!C10</f>
        <v>0.13824890865927134</v>
      </c>
      <c r="D17" s="63" t="s">
        <v>126</v>
      </c>
      <c r="E17" s="63" t="s">
        <v>138</v>
      </c>
      <c r="F17" s="63" t="s">
        <v>21</v>
      </c>
      <c r="G17" s="29" t="s">
        <v>552</v>
      </c>
      <c r="H17" s="119" t="s">
        <v>528</v>
      </c>
      <c r="I17" s="119"/>
      <c r="J17" s="119"/>
      <c r="K17" s="119"/>
      <c r="L17" s="119"/>
      <c r="Q17" s="62"/>
      <c r="R17" s="62"/>
      <c r="S17" s="62"/>
      <c r="T17" s="62"/>
      <c r="U17" s="62"/>
      <c r="V17" s="62"/>
      <c r="W17" s="62"/>
    </row>
    <row r="18" spans="1:23" s="63" customFormat="1" ht="18" customHeight="1" x14ac:dyDescent="0.2">
      <c r="A18" s="90">
        <v>48000</v>
      </c>
      <c r="B18" s="63" t="s">
        <v>407</v>
      </c>
      <c r="C18" s="36">
        <f>'Final Aircraft Checkouts'!C11</f>
        <v>0.14501464800938801</v>
      </c>
      <c r="D18" s="63" t="s">
        <v>126</v>
      </c>
      <c r="E18" s="63" t="s">
        <v>138</v>
      </c>
      <c r="F18" s="63" t="s">
        <v>21</v>
      </c>
      <c r="G18" s="29" t="s">
        <v>552</v>
      </c>
      <c r="H18" s="119" t="s">
        <v>528</v>
      </c>
      <c r="I18" s="119"/>
      <c r="J18" s="119"/>
      <c r="K18" s="119"/>
      <c r="L18" s="119"/>
      <c r="Q18" s="62"/>
      <c r="R18" s="62"/>
      <c r="S18" s="62"/>
      <c r="T18" s="62"/>
      <c r="U18" s="62"/>
      <c r="V18" s="62"/>
      <c r="W18" s="62"/>
    </row>
    <row r="19" spans="1:23" s="63" customFormat="1" ht="18" customHeight="1" x14ac:dyDescent="0.2">
      <c r="A19" s="90">
        <v>49000</v>
      </c>
      <c r="B19" s="63" t="s">
        <v>407</v>
      </c>
      <c r="C19" s="36">
        <f>'Final Aircraft Checkouts'!C12</f>
        <v>0.15215710381912467</v>
      </c>
      <c r="D19" s="63" t="s">
        <v>126</v>
      </c>
      <c r="E19" s="63" t="s">
        <v>138</v>
      </c>
      <c r="F19" s="63" t="s">
        <v>21</v>
      </c>
      <c r="G19" s="29" t="s">
        <v>552</v>
      </c>
      <c r="H19" s="119" t="s">
        <v>528</v>
      </c>
      <c r="I19" s="119"/>
      <c r="J19" s="119"/>
      <c r="K19" s="119"/>
      <c r="L19" s="119"/>
      <c r="Q19" s="62"/>
      <c r="R19" s="62"/>
      <c r="S19" s="62"/>
      <c r="T19" s="62"/>
      <c r="U19" s="62"/>
      <c r="V19" s="62"/>
      <c r="W19" s="62"/>
    </row>
    <row r="20" spans="1:23" ht="18" customHeight="1" x14ac:dyDescent="0.2">
      <c r="A20" s="49" t="s">
        <v>448</v>
      </c>
      <c r="B20" s="47" t="s">
        <v>449</v>
      </c>
      <c r="C20" s="48">
        <v>0.10158298411673315</v>
      </c>
      <c r="D20" s="49" t="s">
        <v>126</v>
      </c>
      <c r="E20" s="49" t="s">
        <v>138</v>
      </c>
      <c r="F20" s="49" t="s">
        <v>400</v>
      </c>
      <c r="G20" s="29" t="s">
        <v>138</v>
      </c>
      <c r="H20" s="119" t="s">
        <v>450</v>
      </c>
      <c r="I20" s="119"/>
      <c r="J20" s="119"/>
      <c r="K20" s="119"/>
      <c r="L20" s="119"/>
      <c r="Q20"/>
      <c r="R20"/>
      <c r="S20"/>
      <c r="T20"/>
      <c r="U20"/>
      <c r="V20"/>
      <c r="W20"/>
    </row>
    <row r="21" spans="1:23" s="63" customFormat="1" ht="18" customHeight="1" x14ac:dyDescent="0.2">
      <c r="A21" s="63" t="s">
        <v>448</v>
      </c>
      <c r="B21" s="47" t="s">
        <v>449</v>
      </c>
      <c r="C21" s="48">
        <v>1.1015829841167299</v>
      </c>
      <c r="D21" s="63" t="s">
        <v>126</v>
      </c>
      <c r="E21" s="63" t="s">
        <v>138</v>
      </c>
      <c r="F21" s="63" t="s">
        <v>400</v>
      </c>
      <c r="G21" s="29" t="s">
        <v>138</v>
      </c>
      <c r="H21" s="119" t="s">
        <v>450</v>
      </c>
      <c r="I21" s="119"/>
      <c r="J21" s="119"/>
      <c r="K21" s="119"/>
      <c r="L21" s="119"/>
      <c r="Q21" s="62"/>
      <c r="R21" s="62"/>
      <c r="S21" s="62"/>
      <c r="T21" s="62"/>
      <c r="U21" s="62"/>
      <c r="V21" s="62"/>
      <c r="W21" s="62"/>
    </row>
    <row r="22" spans="1:23" s="63" customFormat="1" ht="18" customHeight="1" x14ac:dyDescent="0.2">
      <c r="A22" s="63" t="s">
        <v>448</v>
      </c>
      <c r="B22" s="47" t="s">
        <v>449</v>
      </c>
      <c r="C22" s="48">
        <v>2.1015829841167299</v>
      </c>
      <c r="D22" s="63" t="s">
        <v>126</v>
      </c>
      <c r="E22" s="63" t="s">
        <v>138</v>
      </c>
      <c r="F22" s="63" t="s">
        <v>400</v>
      </c>
      <c r="G22" s="29" t="s">
        <v>138</v>
      </c>
      <c r="H22" s="119" t="s">
        <v>450</v>
      </c>
      <c r="I22" s="119"/>
      <c r="J22" s="119"/>
      <c r="K22" s="119"/>
      <c r="L22" s="119"/>
      <c r="Q22" s="62"/>
      <c r="R22" s="62"/>
      <c r="S22" s="62"/>
      <c r="T22" s="62"/>
      <c r="U22" s="62"/>
      <c r="V22" s="62"/>
      <c r="W22" s="62"/>
    </row>
    <row r="23" spans="1:23" s="63" customFormat="1" ht="18" customHeight="1" x14ac:dyDescent="0.2">
      <c r="A23" s="63" t="s">
        <v>448</v>
      </c>
      <c r="B23" s="47" t="s">
        <v>449</v>
      </c>
      <c r="C23" s="48">
        <v>3.1015829841167299</v>
      </c>
      <c r="D23" s="63" t="s">
        <v>126</v>
      </c>
      <c r="E23" s="63" t="s">
        <v>138</v>
      </c>
      <c r="F23" s="63" t="s">
        <v>400</v>
      </c>
      <c r="G23" s="29" t="s">
        <v>138</v>
      </c>
      <c r="H23" s="119" t="s">
        <v>450</v>
      </c>
      <c r="I23" s="119"/>
      <c r="J23" s="119"/>
      <c r="K23" s="119"/>
      <c r="L23" s="119"/>
      <c r="Q23" s="62"/>
      <c r="R23" s="62"/>
      <c r="S23" s="62"/>
      <c r="T23" s="62"/>
      <c r="U23" s="62"/>
      <c r="V23" s="62"/>
      <c r="W23" s="62"/>
    </row>
    <row r="24" spans="1:23" s="63" customFormat="1" ht="18" customHeight="1" x14ac:dyDescent="0.2">
      <c r="A24" s="63" t="s">
        <v>448</v>
      </c>
      <c r="B24" s="47" t="s">
        <v>449</v>
      </c>
      <c r="C24" s="48">
        <v>4.1015829841167299</v>
      </c>
      <c r="D24" s="63" t="s">
        <v>126</v>
      </c>
      <c r="E24" s="63" t="s">
        <v>138</v>
      </c>
      <c r="F24" s="63" t="s">
        <v>400</v>
      </c>
      <c r="G24" s="29" t="s">
        <v>138</v>
      </c>
      <c r="H24" s="119" t="s">
        <v>450</v>
      </c>
      <c r="I24" s="119"/>
      <c r="J24" s="119"/>
      <c r="K24" s="119"/>
      <c r="L24" s="119"/>
      <c r="Q24" s="62"/>
      <c r="R24" s="62"/>
      <c r="S24" s="62"/>
      <c r="T24" s="62"/>
      <c r="U24" s="62"/>
      <c r="V24" s="62"/>
      <c r="W24" s="62"/>
    </row>
    <row r="25" spans="1:23" s="63" customFormat="1" ht="18" customHeight="1" x14ac:dyDescent="0.2">
      <c r="A25" s="63" t="s">
        <v>448</v>
      </c>
      <c r="B25" s="47" t="s">
        <v>449</v>
      </c>
      <c r="C25" s="48">
        <v>5.1015829841167299</v>
      </c>
      <c r="D25" s="63" t="s">
        <v>126</v>
      </c>
      <c r="E25" s="63" t="s">
        <v>138</v>
      </c>
      <c r="F25" s="63" t="s">
        <v>400</v>
      </c>
      <c r="G25" s="29" t="s">
        <v>138</v>
      </c>
      <c r="H25" s="119" t="s">
        <v>450</v>
      </c>
      <c r="I25" s="119"/>
      <c r="J25" s="119"/>
      <c r="K25" s="119"/>
      <c r="L25" s="119"/>
      <c r="Q25" s="62"/>
      <c r="R25" s="62"/>
      <c r="S25" s="62"/>
      <c r="T25" s="62"/>
      <c r="U25" s="62"/>
      <c r="V25" s="62"/>
      <c r="W25" s="62"/>
    </row>
    <row r="26" spans="1:23" s="63" customFormat="1" ht="18" customHeight="1" x14ac:dyDescent="0.2">
      <c r="A26" s="63" t="s">
        <v>448</v>
      </c>
      <c r="B26" s="47" t="s">
        <v>449</v>
      </c>
      <c r="C26" s="48">
        <v>6.1015829841167299</v>
      </c>
      <c r="D26" s="63" t="s">
        <v>126</v>
      </c>
      <c r="E26" s="63" t="s">
        <v>138</v>
      </c>
      <c r="F26" s="63" t="s">
        <v>400</v>
      </c>
      <c r="G26" s="29" t="s">
        <v>138</v>
      </c>
      <c r="H26" s="119" t="s">
        <v>450</v>
      </c>
      <c r="I26" s="119"/>
      <c r="J26" s="119"/>
      <c r="K26" s="119"/>
      <c r="L26" s="119"/>
      <c r="Q26" s="62"/>
      <c r="R26" s="62"/>
      <c r="S26" s="62"/>
      <c r="T26" s="62"/>
      <c r="U26" s="62"/>
      <c r="V26" s="62"/>
      <c r="W26" s="62"/>
    </row>
    <row r="27" spans="1:23" s="63" customFormat="1" ht="18" customHeight="1" x14ac:dyDescent="0.2">
      <c r="A27" s="63" t="s">
        <v>448</v>
      </c>
      <c r="B27" s="47" t="s">
        <v>449</v>
      </c>
      <c r="C27" s="48">
        <v>7.1015829841167299</v>
      </c>
      <c r="D27" s="63" t="s">
        <v>126</v>
      </c>
      <c r="E27" s="63" t="s">
        <v>138</v>
      </c>
      <c r="F27" s="63" t="s">
        <v>400</v>
      </c>
      <c r="G27" s="29" t="s">
        <v>138</v>
      </c>
      <c r="H27" s="119" t="s">
        <v>450</v>
      </c>
      <c r="I27" s="119"/>
      <c r="J27" s="119"/>
      <c r="K27" s="119"/>
      <c r="L27" s="119"/>
      <c r="Q27" s="62"/>
      <c r="R27" s="62"/>
      <c r="S27" s="62"/>
      <c r="T27" s="62"/>
      <c r="U27" s="62"/>
      <c r="V27" s="62"/>
      <c r="W27" s="62"/>
    </row>
    <row r="28" spans="1:23" s="63" customFormat="1" ht="18" customHeight="1" x14ac:dyDescent="0.2">
      <c r="A28" s="63" t="s">
        <v>448</v>
      </c>
      <c r="B28" s="47" t="s">
        <v>449</v>
      </c>
      <c r="C28" s="48">
        <v>8.1015829841167299</v>
      </c>
      <c r="D28" s="63" t="s">
        <v>126</v>
      </c>
      <c r="E28" s="63" t="s">
        <v>138</v>
      </c>
      <c r="F28" s="63" t="s">
        <v>400</v>
      </c>
      <c r="G28" s="29" t="s">
        <v>138</v>
      </c>
      <c r="H28" s="119" t="s">
        <v>450</v>
      </c>
      <c r="I28" s="119"/>
      <c r="J28" s="119"/>
      <c r="K28" s="119"/>
      <c r="L28" s="119"/>
      <c r="Q28" s="62"/>
      <c r="R28" s="62"/>
      <c r="S28" s="62"/>
      <c r="T28" s="62"/>
      <c r="U28" s="62"/>
      <c r="V28" s="62"/>
      <c r="W28" s="62"/>
    </row>
    <row r="29" spans="1:23" ht="18" customHeight="1" x14ac:dyDescent="0.2">
      <c r="A29" s="49" t="s">
        <v>560</v>
      </c>
      <c r="B29" s="49" t="s">
        <v>437</v>
      </c>
      <c r="C29" s="36">
        <f xml:space="preserve"> ABS((C11-CFD!$B$19)/(CFD!$B$20-CFD!$B$19)*(CFD!$A$20-CFD!$A$19) + CFD!$A$19)*PI()/180</f>
        <v>3.627935318323261E-2</v>
      </c>
      <c r="D29" s="49" t="s">
        <v>126</v>
      </c>
      <c r="E29" s="49" t="s">
        <v>408</v>
      </c>
      <c r="F29" s="49" t="s">
        <v>21</v>
      </c>
      <c r="G29" s="29" t="s">
        <v>552</v>
      </c>
      <c r="H29" s="119" t="s">
        <v>528</v>
      </c>
      <c r="I29" s="119"/>
      <c r="J29" s="119"/>
      <c r="K29" s="119"/>
      <c r="L29" s="119"/>
      <c r="Q29"/>
      <c r="R29"/>
      <c r="S29"/>
      <c r="T29"/>
      <c r="U29"/>
      <c r="V29"/>
      <c r="W29"/>
    </row>
    <row r="30" spans="1:23" s="63" customFormat="1" ht="18" customHeight="1" x14ac:dyDescent="0.2">
      <c r="A30" s="90">
        <v>42000</v>
      </c>
      <c r="B30" s="63" t="s">
        <v>437</v>
      </c>
      <c r="C30" s="36">
        <f xml:space="preserve"> ABS((C12-CFD!$B$19)/(CFD!$B$20-CFD!$B$19)*(CFD!$A$20-CFD!$A$19) + CFD!$A$19)*PI()/180</f>
        <v>3.8050443138341002E-2</v>
      </c>
      <c r="E30" s="63" t="s">
        <v>408</v>
      </c>
      <c r="F30" s="63" t="s">
        <v>21</v>
      </c>
      <c r="G30" s="29" t="s">
        <v>552</v>
      </c>
      <c r="H30" s="119" t="s">
        <v>528</v>
      </c>
      <c r="I30" s="119"/>
      <c r="J30" s="119"/>
      <c r="K30" s="119"/>
      <c r="L30" s="119"/>
      <c r="Q30" s="62"/>
      <c r="R30" s="62"/>
      <c r="S30" s="62"/>
      <c r="T30" s="62"/>
      <c r="U30" s="62"/>
      <c r="V30" s="62"/>
      <c r="W30" s="62"/>
    </row>
    <row r="31" spans="1:23" s="63" customFormat="1" ht="18" customHeight="1" x14ac:dyDescent="0.2">
      <c r="A31" s="90">
        <v>43000</v>
      </c>
      <c r="B31" s="63" t="s">
        <v>437</v>
      </c>
      <c r="C31" s="36">
        <f xml:space="preserve"> ABS((C13-CFD!$B$19)/(CFD!$B$20-CFD!$B$19)*(CFD!$A$20-CFD!$A$19) + CFD!$A$19)*PI()/180</f>
        <v>3.9902736764066755E-2</v>
      </c>
      <c r="E31" s="63" t="s">
        <v>408</v>
      </c>
      <c r="F31" s="63" t="s">
        <v>21</v>
      </c>
      <c r="G31" s="29" t="s">
        <v>552</v>
      </c>
      <c r="H31" s="119" t="s">
        <v>528</v>
      </c>
      <c r="I31" s="119"/>
      <c r="J31" s="119"/>
      <c r="K31" s="119"/>
      <c r="L31" s="119"/>
      <c r="Q31" s="62"/>
      <c r="R31" s="62"/>
      <c r="S31" s="62"/>
      <c r="T31" s="62"/>
      <c r="U31" s="62"/>
      <c r="V31" s="62"/>
      <c r="W31" s="62"/>
    </row>
    <row r="32" spans="1:23" s="63" customFormat="1" ht="18" customHeight="1" x14ac:dyDescent="0.2">
      <c r="A32" s="90">
        <v>44000</v>
      </c>
      <c r="B32" s="63" t="s">
        <v>437</v>
      </c>
      <c r="C32" s="36">
        <f xml:space="preserve"> ABS((C14-CFD!$B$19)/(CFD!$B$20-CFD!$B$19)*(CFD!$A$20-CFD!$A$19) + CFD!$A$19)*PI()/180</f>
        <v>4.1851015448013229E-2</v>
      </c>
      <c r="E32" s="63" t="s">
        <v>408</v>
      </c>
      <c r="F32" s="63" t="s">
        <v>21</v>
      </c>
      <c r="G32" s="29" t="s">
        <v>552</v>
      </c>
      <c r="H32" s="119" t="s">
        <v>528</v>
      </c>
      <c r="I32" s="119"/>
      <c r="J32" s="119"/>
      <c r="K32" s="119"/>
      <c r="L32" s="119"/>
      <c r="Q32" s="62"/>
      <c r="R32" s="62"/>
      <c r="S32" s="62"/>
      <c r="T32" s="62"/>
      <c r="U32" s="62"/>
      <c r="V32" s="62"/>
      <c r="W32" s="62"/>
    </row>
    <row r="33" spans="1:23" s="63" customFormat="1" ht="18" customHeight="1" x14ac:dyDescent="0.2">
      <c r="A33" s="90">
        <v>45000</v>
      </c>
      <c r="B33" s="63" t="s">
        <v>437</v>
      </c>
      <c r="C33" s="36">
        <f xml:space="preserve"> ABS((C15-CFD!$B$19)/(CFD!$B$20-CFD!$B$19)*(CFD!$A$20-CFD!$A$19) + CFD!$A$19)*PI()/180</f>
        <v>4.388674651894945E-2</v>
      </c>
      <c r="E33" s="63" t="s">
        <v>408</v>
      </c>
      <c r="F33" s="63" t="s">
        <v>21</v>
      </c>
      <c r="G33" s="29" t="s">
        <v>552</v>
      </c>
      <c r="H33" s="119" t="s">
        <v>528</v>
      </c>
      <c r="I33" s="119"/>
      <c r="J33" s="119"/>
      <c r="K33" s="119"/>
      <c r="L33" s="119"/>
      <c r="Q33" s="62"/>
      <c r="R33" s="62"/>
      <c r="S33" s="62"/>
      <c r="T33" s="62"/>
      <c r="U33" s="62"/>
      <c r="V33" s="62"/>
      <c r="W33" s="62"/>
    </row>
    <row r="34" spans="1:23" s="63" customFormat="1" ht="18" customHeight="1" x14ac:dyDescent="0.2">
      <c r="A34" s="90">
        <v>46000</v>
      </c>
      <c r="B34" s="63" t="s">
        <v>437</v>
      </c>
      <c r="C34" s="36">
        <f xml:space="preserve"> ABS((C16-CFD!$B$19)/(CFD!$B$20-CFD!$B$19)*(CFD!$A$20-CFD!$A$19) + CFD!$A$19)*PI()/180</f>
        <v>4.602754038068739E-2</v>
      </c>
      <c r="E34" s="63" t="s">
        <v>408</v>
      </c>
      <c r="F34" s="63" t="s">
        <v>21</v>
      </c>
      <c r="G34" s="29" t="s">
        <v>552</v>
      </c>
      <c r="H34" s="119" t="s">
        <v>528</v>
      </c>
      <c r="I34" s="119"/>
      <c r="J34" s="119"/>
      <c r="K34" s="119"/>
      <c r="L34" s="119"/>
      <c r="Q34" s="62"/>
      <c r="R34" s="62"/>
      <c r="S34" s="62"/>
      <c r="T34" s="62"/>
      <c r="U34" s="62"/>
      <c r="V34" s="62"/>
      <c r="W34" s="62"/>
    </row>
    <row r="35" spans="1:23" s="63" customFormat="1" ht="18" customHeight="1" x14ac:dyDescent="0.2">
      <c r="A35" s="90">
        <v>47000</v>
      </c>
      <c r="B35" s="63" t="s">
        <v>437</v>
      </c>
      <c r="C35" s="36">
        <f xml:space="preserve"> ABS((C17-CFD!$B$19)/(CFD!$B$20-CFD!$B$19)*(CFD!$A$20-CFD!$A$19) + CFD!$A$19)*PI()/180</f>
        <v>4.8274315117632471E-2</v>
      </c>
      <c r="E35" s="63" t="s">
        <v>408</v>
      </c>
      <c r="F35" s="63" t="s">
        <v>21</v>
      </c>
      <c r="G35" s="29" t="s">
        <v>552</v>
      </c>
      <c r="H35" s="119" t="s">
        <v>528</v>
      </c>
      <c r="I35" s="119"/>
      <c r="J35" s="119"/>
      <c r="K35" s="119"/>
      <c r="L35" s="119"/>
      <c r="Q35" s="62"/>
      <c r="R35" s="62"/>
      <c r="S35" s="62"/>
      <c r="T35" s="62"/>
      <c r="U35" s="62"/>
      <c r="V35" s="62"/>
      <c r="W35" s="62"/>
    </row>
    <row r="36" spans="1:23" s="63" customFormat="1" ht="18" customHeight="1" x14ac:dyDescent="0.2">
      <c r="A36" s="90">
        <v>48000</v>
      </c>
      <c r="B36" s="63" t="s">
        <v>437</v>
      </c>
      <c r="C36" s="36">
        <f xml:space="preserve"> ABS((C18-CFD!$B$19)/(CFD!$B$20-CFD!$B$19)*(CFD!$A$20-CFD!$A$19) + CFD!$A$19)*PI()/180</f>
        <v>5.0626594559689791E-2</v>
      </c>
      <c r="E36" s="63" t="s">
        <v>408</v>
      </c>
      <c r="F36" s="63" t="s">
        <v>21</v>
      </c>
      <c r="G36" s="29" t="s">
        <v>552</v>
      </c>
      <c r="H36" s="119" t="s">
        <v>528</v>
      </c>
      <c r="I36" s="119"/>
      <c r="J36" s="119"/>
      <c r="K36" s="119"/>
      <c r="L36" s="119"/>
      <c r="Q36" s="62"/>
      <c r="R36" s="62"/>
      <c r="S36" s="62"/>
      <c r="T36" s="62"/>
      <c r="U36" s="62"/>
      <c r="V36" s="62"/>
      <c r="W36" s="62"/>
    </row>
    <row r="37" spans="1:23" s="63" customFormat="1" ht="18" customHeight="1" x14ac:dyDescent="0.2">
      <c r="A37" s="90">
        <v>49000</v>
      </c>
      <c r="B37" s="63" t="s">
        <v>437</v>
      </c>
      <c r="C37" s="36">
        <f xml:space="preserve"> ABS((C19-CFD!$B$19)/(CFD!$B$20-CFD!$B$19)*(CFD!$A$20-CFD!$A$19) + CFD!$A$19)*PI()/180</f>
        <v>5.3109848953277486E-2</v>
      </c>
      <c r="E37" s="63" t="s">
        <v>408</v>
      </c>
      <c r="F37" s="63" t="s">
        <v>21</v>
      </c>
      <c r="G37" s="29" t="s">
        <v>552</v>
      </c>
      <c r="H37" s="119" t="s">
        <v>528</v>
      </c>
      <c r="I37" s="119"/>
      <c r="J37" s="119"/>
      <c r="K37" s="119"/>
      <c r="L37" s="119"/>
      <c r="Q37" s="62"/>
      <c r="R37" s="62"/>
      <c r="S37" s="62"/>
      <c r="T37" s="62"/>
      <c r="U37" s="62"/>
      <c r="V37" s="62"/>
      <c r="W37" s="62"/>
    </row>
    <row r="38" spans="1:23" ht="18" customHeight="1" x14ac:dyDescent="0.2">
      <c r="A38" s="49" t="s">
        <v>562</v>
      </c>
      <c r="B38" s="47" t="s">
        <v>482</v>
      </c>
      <c r="C38" s="48">
        <f>C20/C56</f>
        <v>3.5522130303058182E-2</v>
      </c>
      <c r="D38" s="49" t="s">
        <v>126</v>
      </c>
      <c r="E38" s="49" t="s">
        <v>408</v>
      </c>
      <c r="F38" s="49" t="s">
        <v>21</v>
      </c>
      <c r="G38" s="29" t="s">
        <v>483</v>
      </c>
      <c r="H38" s="119" t="s">
        <v>484</v>
      </c>
      <c r="I38" s="119"/>
      <c r="J38" s="119"/>
      <c r="K38" s="119"/>
      <c r="L38" s="119"/>
      <c r="Q38"/>
      <c r="R38"/>
      <c r="S38"/>
      <c r="T38"/>
      <c r="U38"/>
      <c r="V38"/>
      <c r="W38"/>
    </row>
    <row r="39" spans="1:23" s="63" customFormat="1" ht="18" customHeight="1" x14ac:dyDescent="0.2">
      <c r="A39" s="90">
        <v>42000</v>
      </c>
      <c r="B39" s="47" t="s">
        <v>482</v>
      </c>
      <c r="C39" s="48">
        <f t="shared" ref="C39:C46" si="0">C21/C57</f>
        <v>0.38510429790505152</v>
      </c>
      <c r="D39" s="63" t="s">
        <v>126</v>
      </c>
      <c r="E39" s="63" t="s">
        <v>408</v>
      </c>
      <c r="F39" s="63" t="s">
        <v>21</v>
      </c>
      <c r="G39" s="29" t="s">
        <v>483</v>
      </c>
      <c r="H39" s="119" t="s">
        <v>484</v>
      </c>
      <c r="I39" s="119"/>
      <c r="J39" s="119"/>
      <c r="K39" s="119"/>
      <c r="L39" s="119"/>
      <c r="Q39" s="62"/>
      <c r="R39" s="62"/>
      <c r="S39" s="62"/>
      <c r="T39" s="62"/>
      <c r="U39" s="62"/>
      <c r="V39" s="62"/>
      <c r="W39" s="62"/>
    </row>
    <row r="40" spans="1:23" s="63" customFormat="1" ht="18" customHeight="1" x14ac:dyDescent="0.2">
      <c r="A40" s="90">
        <v>43000</v>
      </c>
      <c r="B40" s="47" t="s">
        <v>482</v>
      </c>
      <c r="C40" s="48">
        <f t="shared" si="0"/>
        <v>0.73450806886558284</v>
      </c>
      <c r="D40" s="63" t="s">
        <v>126</v>
      </c>
      <c r="E40" s="63" t="s">
        <v>408</v>
      </c>
      <c r="F40" s="63" t="s">
        <v>21</v>
      </c>
      <c r="G40" s="29" t="s">
        <v>483</v>
      </c>
      <c r="H40" s="119" t="s">
        <v>484</v>
      </c>
      <c r="I40" s="119"/>
      <c r="J40" s="119"/>
      <c r="K40" s="119"/>
      <c r="L40" s="119"/>
      <c r="Q40" s="62"/>
      <c r="R40" s="62"/>
      <c r="S40" s="62"/>
      <c r="T40" s="62"/>
      <c r="U40" s="62"/>
      <c r="V40" s="62"/>
      <c r="W40" s="62"/>
    </row>
    <row r="41" spans="1:23" s="63" customFormat="1" ht="18" customHeight="1" x14ac:dyDescent="0.2">
      <c r="A41" s="90">
        <v>44000</v>
      </c>
      <c r="B41" s="47" t="s">
        <v>482</v>
      </c>
      <c r="C41" s="48">
        <f t="shared" si="0"/>
        <v>1.0837452231070557</v>
      </c>
      <c r="D41" s="63" t="s">
        <v>126</v>
      </c>
      <c r="E41" s="63" t="s">
        <v>408</v>
      </c>
      <c r="F41" s="63" t="s">
        <v>21</v>
      </c>
      <c r="G41" s="29" t="s">
        <v>483</v>
      </c>
      <c r="H41" s="119" t="s">
        <v>484</v>
      </c>
      <c r="I41" s="119"/>
      <c r="J41" s="119"/>
      <c r="K41" s="119"/>
      <c r="L41" s="119"/>
      <c r="Q41" s="62"/>
      <c r="R41" s="62"/>
      <c r="S41" s="62"/>
      <c r="T41" s="62"/>
      <c r="U41" s="62"/>
      <c r="V41" s="62"/>
      <c r="W41" s="62"/>
    </row>
    <row r="42" spans="1:23" s="63" customFormat="1" ht="18" customHeight="1" x14ac:dyDescent="0.2">
      <c r="A42" s="90">
        <v>45000</v>
      </c>
      <c r="B42" s="47" t="s">
        <v>482</v>
      </c>
      <c r="C42" s="48">
        <f t="shared" si="0"/>
        <v>1.4328290867257705</v>
      </c>
      <c r="D42" s="63" t="s">
        <v>126</v>
      </c>
      <c r="E42" s="63" t="s">
        <v>408</v>
      </c>
      <c r="F42" s="63" t="s">
        <v>21</v>
      </c>
      <c r="G42" s="29" t="s">
        <v>483</v>
      </c>
      <c r="H42" s="119" t="s">
        <v>484</v>
      </c>
      <c r="I42" s="119"/>
      <c r="J42" s="119"/>
      <c r="K42" s="119"/>
      <c r="L42" s="119"/>
      <c r="Q42" s="62"/>
      <c r="R42" s="62"/>
      <c r="S42" s="62"/>
      <c r="T42" s="62"/>
      <c r="U42" s="62"/>
      <c r="V42" s="62"/>
      <c r="W42" s="62"/>
    </row>
    <row r="43" spans="1:23" s="63" customFormat="1" ht="18" customHeight="1" x14ac:dyDescent="0.2">
      <c r="A43" s="90">
        <v>46000</v>
      </c>
      <c r="B43" s="47" t="s">
        <v>482</v>
      </c>
      <c r="C43" s="48">
        <f t="shared" si="0"/>
        <v>1.7817689253936175</v>
      </c>
      <c r="D43" s="63" t="s">
        <v>126</v>
      </c>
      <c r="E43" s="63" t="s">
        <v>408</v>
      </c>
      <c r="F43" s="63" t="s">
        <v>21</v>
      </c>
      <c r="G43" s="29" t="s">
        <v>483</v>
      </c>
      <c r="H43" s="119" t="s">
        <v>484</v>
      </c>
      <c r="I43" s="119"/>
      <c r="J43" s="119"/>
      <c r="K43" s="119"/>
      <c r="L43" s="119"/>
      <c r="Q43" s="62"/>
      <c r="R43" s="62"/>
      <c r="S43" s="62"/>
      <c r="T43" s="62"/>
      <c r="U43" s="62"/>
      <c r="V43" s="62"/>
      <c r="W43" s="62"/>
    </row>
    <row r="44" spans="1:23" s="63" customFormat="1" ht="18" customHeight="1" x14ac:dyDescent="0.2">
      <c r="A44" s="90">
        <v>47000</v>
      </c>
      <c r="B44" s="47" t="s">
        <v>482</v>
      </c>
      <c r="C44" s="48">
        <f t="shared" si="0"/>
        <v>2.1305755144699439</v>
      </c>
      <c r="D44" s="63" t="s">
        <v>126</v>
      </c>
      <c r="E44" s="63" t="s">
        <v>408</v>
      </c>
      <c r="F44" s="63" t="s">
        <v>21</v>
      </c>
      <c r="G44" s="29" t="s">
        <v>483</v>
      </c>
      <c r="H44" s="119" t="s">
        <v>484</v>
      </c>
      <c r="I44" s="119"/>
      <c r="J44" s="119"/>
      <c r="K44" s="119"/>
      <c r="L44" s="119"/>
      <c r="Q44" s="62"/>
      <c r="R44" s="62"/>
      <c r="S44" s="62"/>
      <c r="T44" s="62"/>
      <c r="U44" s="62"/>
      <c r="V44" s="62"/>
      <c r="W44" s="62"/>
    </row>
    <row r="45" spans="1:23" s="63" customFormat="1" ht="18" customHeight="1" x14ac:dyDescent="0.2">
      <c r="A45" s="90">
        <v>48000</v>
      </c>
      <c r="B45" s="47" t="s">
        <v>482</v>
      </c>
      <c r="C45" s="48">
        <f t="shared" si="0"/>
        <v>2.4792596293140972</v>
      </c>
      <c r="D45" s="63" t="s">
        <v>126</v>
      </c>
      <c r="E45" s="63" t="s">
        <v>408</v>
      </c>
      <c r="F45" s="63" t="s">
        <v>21</v>
      </c>
      <c r="G45" s="29" t="s">
        <v>483</v>
      </c>
      <c r="H45" s="119" t="s">
        <v>484</v>
      </c>
      <c r="I45" s="119"/>
      <c r="J45" s="119"/>
      <c r="K45" s="119"/>
      <c r="L45" s="119"/>
      <c r="Q45" s="62"/>
      <c r="R45" s="62"/>
      <c r="S45" s="62"/>
      <c r="T45" s="62"/>
      <c r="U45" s="62"/>
      <c r="V45" s="62"/>
      <c r="W45" s="62"/>
    </row>
    <row r="46" spans="1:23" s="63" customFormat="1" ht="18" customHeight="1" x14ac:dyDescent="0.2">
      <c r="A46" s="90">
        <v>49000</v>
      </c>
      <c r="B46" s="47" t="s">
        <v>482</v>
      </c>
      <c r="C46" s="48">
        <f t="shared" si="0"/>
        <v>2.827826225454229</v>
      </c>
      <c r="D46" s="63" t="s">
        <v>126</v>
      </c>
      <c r="E46" s="63" t="s">
        <v>408</v>
      </c>
      <c r="F46" s="63" t="s">
        <v>21</v>
      </c>
      <c r="G46" s="29" t="s">
        <v>483</v>
      </c>
      <c r="H46" s="119" t="s">
        <v>484</v>
      </c>
      <c r="I46" s="119"/>
      <c r="J46" s="119"/>
      <c r="K46" s="119"/>
      <c r="L46" s="119"/>
      <c r="Q46" s="62"/>
      <c r="R46" s="62"/>
      <c r="S46" s="62"/>
      <c r="T46" s="62"/>
      <c r="U46" s="62"/>
      <c r="V46" s="62"/>
      <c r="W46" s="62"/>
    </row>
    <row r="47" spans="1:23" ht="18" customHeight="1" x14ac:dyDescent="0.2">
      <c r="A47" s="49" t="s">
        <v>561</v>
      </c>
      <c r="B47" s="49" t="s">
        <v>421</v>
      </c>
      <c r="C47" s="36">
        <f t="shared" ref="C47:C55" si="1">C11/C29</f>
        <v>2.8597097992174088</v>
      </c>
      <c r="D47" s="49" t="s">
        <v>126</v>
      </c>
      <c r="E47" s="49" t="s">
        <v>422</v>
      </c>
      <c r="F47" s="49" t="s">
        <v>21</v>
      </c>
      <c r="G47" s="29" t="s">
        <v>423</v>
      </c>
      <c r="H47" s="99" t="s">
        <v>424</v>
      </c>
      <c r="I47" s="99"/>
      <c r="J47" s="99"/>
      <c r="K47" s="99"/>
      <c r="L47" s="99"/>
      <c r="Q47"/>
      <c r="R47"/>
      <c r="S47"/>
      <c r="T47"/>
      <c r="U47"/>
      <c r="V47"/>
      <c r="W47"/>
    </row>
    <row r="48" spans="1:23" s="63" customFormat="1" ht="18" customHeight="1" x14ac:dyDescent="0.2">
      <c r="A48" s="90">
        <v>42000</v>
      </c>
      <c r="B48" s="63" t="s">
        <v>421</v>
      </c>
      <c r="C48" s="36">
        <f t="shared" si="1"/>
        <v>2.8604795898391355</v>
      </c>
      <c r="D48" s="63" t="s">
        <v>126</v>
      </c>
      <c r="E48" s="63" t="s">
        <v>422</v>
      </c>
      <c r="F48" s="63" t="s">
        <v>21</v>
      </c>
      <c r="G48" s="29" t="s">
        <v>423</v>
      </c>
      <c r="H48" s="99" t="s">
        <v>424</v>
      </c>
      <c r="I48" s="99"/>
      <c r="J48" s="99"/>
      <c r="K48" s="99"/>
      <c r="L48" s="99"/>
      <c r="Q48" s="62"/>
      <c r="R48" s="62"/>
      <c r="S48" s="62"/>
      <c r="T48" s="62"/>
      <c r="U48" s="62"/>
      <c r="V48" s="62"/>
      <c r="W48" s="62"/>
    </row>
    <row r="49" spans="1:23" s="63" customFormat="1" ht="18" customHeight="1" x14ac:dyDescent="0.2">
      <c r="A49" s="90">
        <v>43000</v>
      </c>
      <c r="B49" s="63" t="s">
        <v>421</v>
      </c>
      <c r="C49" s="36">
        <f t="shared" si="1"/>
        <v>2.8612115689382929</v>
      </c>
      <c r="D49" s="63" t="s">
        <v>126</v>
      </c>
      <c r="E49" s="63" t="s">
        <v>422</v>
      </c>
      <c r="F49" s="63" t="s">
        <v>21</v>
      </c>
      <c r="G49" s="29" t="s">
        <v>423</v>
      </c>
      <c r="H49" s="99" t="s">
        <v>424</v>
      </c>
      <c r="I49" s="99"/>
      <c r="J49" s="99"/>
      <c r="K49" s="99"/>
      <c r="L49" s="99"/>
      <c r="Q49" s="62"/>
      <c r="R49" s="62"/>
      <c r="S49" s="62"/>
      <c r="T49" s="62"/>
      <c r="U49" s="62"/>
      <c r="V49" s="62"/>
      <c r="W49" s="62"/>
    </row>
    <row r="50" spans="1:23" s="63" customFormat="1" ht="18" customHeight="1" x14ac:dyDescent="0.2">
      <c r="A50" s="90">
        <v>44000</v>
      </c>
      <c r="B50" s="63" t="s">
        <v>421</v>
      </c>
      <c r="C50" s="36">
        <f t="shared" si="1"/>
        <v>2.8619115618564033</v>
      </c>
      <c r="D50" s="63" t="s">
        <v>126</v>
      </c>
      <c r="E50" s="63" t="s">
        <v>422</v>
      </c>
      <c r="F50" s="63" t="s">
        <v>21</v>
      </c>
      <c r="G50" s="29" t="s">
        <v>423</v>
      </c>
      <c r="H50" s="99" t="s">
        <v>424</v>
      </c>
      <c r="I50" s="99"/>
      <c r="J50" s="99"/>
      <c r="K50" s="99"/>
      <c r="L50" s="99"/>
      <c r="Q50" s="62"/>
      <c r="R50" s="62"/>
      <c r="S50" s="62"/>
      <c r="T50" s="62"/>
      <c r="U50" s="62"/>
      <c r="V50" s="62"/>
      <c r="W50" s="62"/>
    </row>
    <row r="51" spans="1:23" s="63" customFormat="1" ht="18" customHeight="1" x14ac:dyDescent="0.2">
      <c r="A51" s="90">
        <v>45000</v>
      </c>
      <c r="B51" s="63" t="s">
        <v>421</v>
      </c>
      <c r="C51" s="36">
        <f t="shared" si="1"/>
        <v>2.8625765781245152</v>
      </c>
      <c r="D51" s="63" t="s">
        <v>126</v>
      </c>
      <c r="E51" s="63" t="s">
        <v>422</v>
      </c>
      <c r="F51" s="63" t="s">
        <v>21</v>
      </c>
      <c r="G51" s="29" t="s">
        <v>423</v>
      </c>
      <c r="H51" s="99" t="s">
        <v>424</v>
      </c>
      <c r="I51" s="99"/>
      <c r="J51" s="99"/>
      <c r="K51" s="99"/>
      <c r="L51" s="99"/>
      <c r="Q51" s="62"/>
      <c r="R51" s="62"/>
      <c r="S51" s="62"/>
      <c r="T51" s="62"/>
      <c r="U51" s="62"/>
      <c r="V51" s="62"/>
      <c r="W51" s="62"/>
    </row>
    <row r="52" spans="1:23" s="63" customFormat="1" ht="18" customHeight="1" x14ac:dyDescent="0.2">
      <c r="A52" s="90">
        <v>46000</v>
      </c>
      <c r="B52" s="63" t="s">
        <v>421</v>
      </c>
      <c r="C52" s="36">
        <f t="shared" si="1"/>
        <v>2.8632124578049418</v>
      </c>
      <c r="D52" s="63" t="s">
        <v>126</v>
      </c>
      <c r="E52" s="63" t="s">
        <v>422</v>
      </c>
      <c r="F52" s="63" t="s">
        <v>21</v>
      </c>
      <c r="G52" s="29" t="s">
        <v>423</v>
      </c>
      <c r="H52" s="99" t="s">
        <v>424</v>
      </c>
      <c r="I52" s="99"/>
      <c r="J52" s="99"/>
      <c r="K52" s="99"/>
      <c r="L52" s="99"/>
      <c r="Q52" s="62"/>
      <c r="R52" s="62"/>
      <c r="S52" s="62"/>
      <c r="T52" s="62"/>
      <c r="U52" s="62"/>
      <c r="V52" s="62"/>
      <c r="W52" s="62"/>
    </row>
    <row r="53" spans="1:23" s="63" customFormat="1" ht="18" customHeight="1" x14ac:dyDescent="0.2">
      <c r="A53" s="90">
        <v>47000</v>
      </c>
      <c r="B53" s="63" t="s">
        <v>421</v>
      </c>
      <c r="C53" s="36">
        <f t="shared" si="1"/>
        <v>2.8638191618543569</v>
      </c>
      <c r="D53" s="63" t="s">
        <v>126</v>
      </c>
      <c r="E53" s="63" t="s">
        <v>422</v>
      </c>
      <c r="F53" s="63" t="s">
        <v>21</v>
      </c>
      <c r="G53" s="29" t="s">
        <v>423</v>
      </c>
      <c r="H53" s="99" t="s">
        <v>424</v>
      </c>
      <c r="I53" s="99"/>
      <c r="J53" s="99"/>
      <c r="K53" s="99"/>
      <c r="L53" s="99"/>
      <c r="Q53" s="62"/>
      <c r="R53" s="62"/>
      <c r="S53" s="62"/>
      <c r="T53" s="62"/>
      <c r="U53" s="62"/>
      <c r="V53" s="62"/>
      <c r="W53" s="62"/>
    </row>
    <row r="54" spans="1:23" s="63" customFormat="1" ht="18" customHeight="1" x14ac:dyDescent="0.2">
      <c r="A54" s="90">
        <v>48000</v>
      </c>
      <c r="B54" s="63" t="s">
        <v>421</v>
      </c>
      <c r="C54" s="36">
        <f t="shared" si="1"/>
        <v>2.8643966529965348</v>
      </c>
      <c r="D54" s="63" t="s">
        <v>126</v>
      </c>
      <c r="E54" s="63" t="s">
        <v>422</v>
      </c>
      <c r="F54" s="63" t="s">
        <v>21</v>
      </c>
      <c r="G54" s="29" t="s">
        <v>423</v>
      </c>
      <c r="H54" s="99" t="s">
        <v>424</v>
      </c>
      <c r="I54" s="99"/>
      <c r="J54" s="99"/>
      <c r="K54" s="99"/>
      <c r="L54" s="99"/>
      <c r="Q54" s="62"/>
      <c r="R54" s="62"/>
      <c r="S54" s="62"/>
      <c r="T54" s="62"/>
      <c r="U54" s="62"/>
      <c r="V54" s="62"/>
      <c r="W54" s="62"/>
    </row>
    <row r="55" spans="1:23" s="63" customFormat="1" ht="18" customHeight="1" x14ac:dyDescent="0.2">
      <c r="A55" s="90">
        <v>49000</v>
      </c>
      <c r="B55" s="63" t="s">
        <v>421</v>
      </c>
      <c r="C55" s="36">
        <f t="shared" si="1"/>
        <v>2.8649507919516468</v>
      </c>
      <c r="D55" s="63" t="s">
        <v>126</v>
      </c>
      <c r="E55" s="63" t="s">
        <v>422</v>
      </c>
      <c r="F55" s="63" t="s">
        <v>21</v>
      </c>
      <c r="G55" s="29" t="s">
        <v>423</v>
      </c>
      <c r="H55" s="99" t="s">
        <v>424</v>
      </c>
      <c r="I55" s="99"/>
      <c r="J55" s="99"/>
      <c r="K55" s="99"/>
      <c r="L55" s="99"/>
      <c r="Q55" s="62"/>
      <c r="R55" s="62"/>
      <c r="S55" s="62"/>
      <c r="T55" s="62"/>
      <c r="U55" s="62"/>
      <c r="V55" s="62"/>
      <c r="W55" s="62"/>
    </row>
    <row r="56" spans="1:23" ht="18" customHeight="1" x14ac:dyDescent="0.2">
      <c r="A56" s="49" t="s">
        <v>426</v>
      </c>
      <c r="B56" s="49" t="s">
        <v>427</v>
      </c>
      <c r="C56" s="36">
        <f>C47</f>
        <v>2.8597097992174088</v>
      </c>
      <c r="D56" s="49" t="s">
        <v>126</v>
      </c>
      <c r="E56" s="49" t="s">
        <v>422</v>
      </c>
      <c r="F56" s="49" t="s">
        <v>21</v>
      </c>
      <c r="G56" s="29" t="s">
        <v>428</v>
      </c>
      <c r="H56" s="99" t="s">
        <v>429</v>
      </c>
      <c r="I56" s="99"/>
      <c r="J56" s="99"/>
      <c r="K56" s="99"/>
      <c r="L56" s="99"/>
      <c r="Q56"/>
      <c r="R56"/>
      <c r="S56"/>
      <c r="T56"/>
      <c r="U56"/>
      <c r="V56"/>
      <c r="W56"/>
    </row>
    <row r="57" spans="1:23" s="63" customFormat="1" ht="18" customHeight="1" x14ac:dyDescent="0.2">
      <c r="A57" s="90">
        <v>42000</v>
      </c>
      <c r="B57" s="63" t="s">
        <v>427</v>
      </c>
      <c r="C57" s="36">
        <f t="shared" ref="C57:C64" si="2">C48</f>
        <v>2.8604795898391355</v>
      </c>
      <c r="D57" s="63" t="s">
        <v>126</v>
      </c>
      <c r="E57" s="63" t="s">
        <v>422</v>
      </c>
      <c r="F57" s="63" t="s">
        <v>21</v>
      </c>
      <c r="G57" s="29" t="s">
        <v>428</v>
      </c>
      <c r="H57" s="99" t="s">
        <v>429</v>
      </c>
      <c r="I57" s="99"/>
      <c r="J57" s="99"/>
      <c r="K57" s="99"/>
      <c r="L57" s="99"/>
      <c r="Q57" s="62"/>
      <c r="R57" s="62"/>
      <c r="S57" s="62"/>
      <c r="T57" s="62"/>
      <c r="U57" s="62"/>
      <c r="V57" s="62"/>
      <c r="W57" s="62"/>
    </row>
    <row r="58" spans="1:23" s="63" customFormat="1" ht="18" customHeight="1" x14ac:dyDescent="0.2">
      <c r="A58" s="90">
        <v>43000</v>
      </c>
      <c r="B58" s="63" t="s">
        <v>427</v>
      </c>
      <c r="C58" s="36">
        <f t="shared" si="2"/>
        <v>2.8612115689382929</v>
      </c>
      <c r="D58" s="63" t="s">
        <v>126</v>
      </c>
      <c r="E58" s="63" t="s">
        <v>422</v>
      </c>
      <c r="F58" s="63" t="s">
        <v>21</v>
      </c>
      <c r="G58" s="29" t="s">
        <v>428</v>
      </c>
      <c r="H58" s="99" t="s">
        <v>429</v>
      </c>
      <c r="I58" s="99"/>
      <c r="J58" s="99"/>
      <c r="K58" s="99"/>
      <c r="L58" s="99"/>
      <c r="Q58" s="62"/>
      <c r="R58" s="62"/>
      <c r="S58" s="62"/>
      <c r="T58" s="62"/>
      <c r="U58" s="62"/>
      <c r="V58" s="62"/>
      <c r="W58" s="62"/>
    </row>
    <row r="59" spans="1:23" s="63" customFormat="1" ht="18" customHeight="1" x14ac:dyDescent="0.2">
      <c r="A59" s="90">
        <v>44000</v>
      </c>
      <c r="B59" s="63" t="s">
        <v>427</v>
      </c>
      <c r="C59" s="36">
        <f t="shared" si="2"/>
        <v>2.8619115618564033</v>
      </c>
      <c r="D59" s="63" t="s">
        <v>126</v>
      </c>
      <c r="E59" s="63" t="s">
        <v>422</v>
      </c>
      <c r="F59" s="63" t="s">
        <v>21</v>
      </c>
      <c r="G59" s="29" t="s">
        <v>428</v>
      </c>
      <c r="H59" s="99" t="s">
        <v>429</v>
      </c>
      <c r="I59" s="99"/>
      <c r="J59" s="99"/>
      <c r="K59" s="99"/>
      <c r="L59" s="99"/>
      <c r="Q59" s="62"/>
      <c r="R59" s="62"/>
      <c r="S59" s="62"/>
      <c r="T59" s="62"/>
      <c r="U59" s="62"/>
      <c r="V59" s="62"/>
      <c r="W59" s="62"/>
    </row>
    <row r="60" spans="1:23" s="63" customFormat="1" ht="18" customHeight="1" x14ac:dyDescent="0.2">
      <c r="A60" s="90">
        <v>45000</v>
      </c>
      <c r="B60" s="63" t="s">
        <v>427</v>
      </c>
      <c r="C60" s="36">
        <f t="shared" si="2"/>
        <v>2.8625765781245152</v>
      </c>
      <c r="D60" s="63" t="s">
        <v>126</v>
      </c>
      <c r="E60" s="63" t="s">
        <v>422</v>
      </c>
      <c r="F60" s="63" t="s">
        <v>21</v>
      </c>
      <c r="G60" s="29" t="s">
        <v>428</v>
      </c>
      <c r="H60" s="99" t="s">
        <v>429</v>
      </c>
      <c r="I60" s="99"/>
      <c r="J60" s="99"/>
      <c r="K60" s="99"/>
      <c r="L60" s="99"/>
      <c r="Q60" s="62"/>
      <c r="R60" s="62"/>
      <c r="S60" s="62"/>
      <c r="T60" s="62"/>
      <c r="U60" s="62"/>
      <c r="V60" s="62"/>
      <c r="W60" s="62"/>
    </row>
    <row r="61" spans="1:23" s="63" customFormat="1" ht="18" customHeight="1" x14ac:dyDescent="0.2">
      <c r="A61" s="90">
        <v>46000</v>
      </c>
      <c r="B61" s="63" t="s">
        <v>427</v>
      </c>
      <c r="C61" s="36">
        <f t="shared" si="2"/>
        <v>2.8632124578049418</v>
      </c>
      <c r="D61" s="63" t="s">
        <v>126</v>
      </c>
      <c r="E61" s="63" t="s">
        <v>422</v>
      </c>
      <c r="F61" s="63" t="s">
        <v>21</v>
      </c>
      <c r="G61" s="29" t="s">
        <v>428</v>
      </c>
      <c r="H61" s="99" t="s">
        <v>429</v>
      </c>
      <c r="I61" s="99"/>
      <c r="J61" s="99"/>
      <c r="K61" s="99"/>
      <c r="L61" s="99"/>
      <c r="Q61" s="62"/>
      <c r="R61" s="62"/>
      <c r="S61" s="62"/>
      <c r="T61" s="62"/>
      <c r="U61" s="62"/>
      <c r="V61" s="62"/>
      <c r="W61" s="62"/>
    </row>
    <row r="62" spans="1:23" s="63" customFormat="1" ht="18" customHeight="1" x14ac:dyDescent="0.2">
      <c r="A62" s="90">
        <v>47000</v>
      </c>
      <c r="B62" s="63" t="s">
        <v>427</v>
      </c>
      <c r="C62" s="36">
        <f t="shared" si="2"/>
        <v>2.8638191618543569</v>
      </c>
      <c r="D62" s="63" t="s">
        <v>126</v>
      </c>
      <c r="E62" s="63" t="s">
        <v>422</v>
      </c>
      <c r="F62" s="63" t="s">
        <v>21</v>
      </c>
      <c r="G62" s="29" t="s">
        <v>428</v>
      </c>
      <c r="H62" s="99" t="s">
        <v>429</v>
      </c>
      <c r="I62" s="99"/>
      <c r="J62" s="99"/>
      <c r="K62" s="99"/>
      <c r="L62" s="99"/>
      <c r="Q62" s="62"/>
      <c r="R62" s="62"/>
      <c r="S62" s="62"/>
      <c r="T62" s="62"/>
      <c r="U62" s="62"/>
      <c r="V62" s="62"/>
      <c r="W62" s="62"/>
    </row>
    <row r="63" spans="1:23" s="63" customFormat="1" ht="18" customHeight="1" x14ac:dyDescent="0.2">
      <c r="A63" s="90">
        <v>48000</v>
      </c>
      <c r="B63" s="63" t="s">
        <v>427</v>
      </c>
      <c r="C63" s="36">
        <f t="shared" si="2"/>
        <v>2.8643966529965348</v>
      </c>
      <c r="D63" s="63" t="s">
        <v>126</v>
      </c>
      <c r="E63" s="63" t="s">
        <v>422</v>
      </c>
      <c r="F63" s="63" t="s">
        <v>21</v>
      </c>
      <c r="G63" s="29" t="s">
        <v>428</v>
      </c>
      <c r="H63" s="99" t="s">
        <v>429</v>
      </c>
      <c r="I63" s="99"/>
      <c r="J63" s="99"/>
      <c r="K63" s="99"/>
      <c r="L63" s="99"/>
      <c r="Q63" s="62"/>
      <c r="R63" s="62"/>
      <c r="S63" s="62"/>
      <c r="T63" s="62"/>
      <c r="U63" s="62"/>
      <c r="V63" s="62"/>
      <c r="W63" s="62"/>
    </row>
    <row r="64" spans="1:23" s="63" customFormat="1" ht="18" customHeight="1" x14ac:dyDescent="0.2">
      <c r="A64" s="90">
        <v>49000</v>
      </c>
      <c r="B64" s="63" t="s">
        <v>427</v>
      </c>
      <c r="C64" s="36">
        <f t="shared" si="2"/>
        <v>2.8649507919516468</v>
      </c>
      <c r="D64" s="63" t="s">
        <v>126</v>
      </c>
      <c r="E64" s="63" t="s">
        <v>422</v>
      </c>
      <c r="F64" s="63" t="s">
        <v>21</v>
      </c>
      <c r="G64" s="29" t="s">
        <v>428</v>
      </c>
      <c r="H64" s="99" t="s">
        <v>429</v>
      </c>
      <c r="I64" s="99"/>
      <c r="J64" s="99"/>
      <c r="K64" s="99"/>
      <c r="L64" s="99"/>
      <c r="Q64" s="62"/>
      <c r="R64" s="62"/>
      <c r="S64" s="62"/>
      <c r="T64" s="62"/>
      <c r="U64" s="62"/>
      <c r="V64" s="62"/>
      <c r="W64" s="62"/>
    </row>
    <row r="65" spans="1:23" ht="18" customHeight="1" x14ac:dyDescent="0.2">
      <c r="A65" s="52" t="s">
        <v>430</v>
      </c>
      <c r="B65" s="49" t="s">
        <v>431</v>
      </c>
      <c r="C65" s="36">
        <f>$C$7/C29</f>
        <v>2.093682390992369</v>
      </c>
      <c r="D65" s="49" t="s">
        <v>126</v>
      </c>
      <c r="E65" s="49" t="s">
        <v>432</v>
      </c>
      <c r="F65" s="49" t="s">
        <v>21</v>
      </c>
      <c r="G65" s="29" t="s">
        <v>433</v>
      </c>
      <c r="H65" s="99" t="s">
        <v>434</v>
      </c>
      <c r="I65" s="99"/>
      <c r="J65" s="99"/>
      <c r="K65" s="99"/>
      <c r="L65" s="99"/>
      <c r="Q65"/>
      <c r="R65"/>
      <c r="S65"/>
      <c r="T65"/>
      <c r="U65"/>
      <c r="V65"/>
      <c r="W65"/>
    </row>
    <row r="66" spans="1:23" s="63" customFormat="1" ht="18" customHeight="1" x14ac:dyDescent="0.2">
      <c r="A66" s="90">
        <v>42000</v>
      </c>
      <c r="B66" s="63" t="s">
        <v>431</v>
      </c>
      <c r="C66" s="36">
        <f t="shared" ref="C66:C73" si="3">$C$7/C30</f>
        <v>1.9962301789802177</v>
      </c>
      <c r="D66" s="63" t="s">
        <v>126</v>
      </c>
      <c r="E66" s="63" t="s">
        <v>432</v>
      </c>
      <c r="F66" s="63" t="s">
        <v>21</v>
      </c>
      <c r="G66" s="29" t="s">
        <v>433</v>
      </c>
      <c r="H66" s="99" t="s">
        <v>434</v>
      </c>
      <c r="I66" s="99"/>
      <c r="J66" s="99"/>
      <c r="K66" s="99"/>
      <c r="L66" s="99"/>
      <c r="Q66" s="62"/>
      <c r="R66" s="62"/>
      <c r="S66" s="62"/>
      <c r="T66" s="62"/>
      <c r="U66" s="62"/>
      <c r="V66" s="62"/>
      <c r="W66" s="62"/>
    </row>
    <row r="67" spans="1:23" s="63" customFormat="1" ht="18" customHeight="1" x14ac:dyDescent="0.2">
      <c r="A67" s="90">
        <v>43000</v>
      </c>
      <c r="B67" s="63" t="s">
        <v>431</v>
      </c>
      <c r="C67" s="36">
        <f t="shared" si="3"/>
        <v>1.9035647445798332</v>
      </c>
      <c r="D67" s="63" t="s">
        <v>126</v>
      </c>
      <c r="E67" s="63" t="s">
        <v>432</v>
      </c>
      <c r="F67" s="63" t="s">
        <v>21</v>
      </c>
      <c r="G67" s="29" t="s">
        <v>433</v>
      </c>
      <c r="H67" s="99" t="s">
        <v>434</v>
      </c>
      <c r="I67" s="99"/>
      <c r="J67" s="99"/>
      <c r="K67" s="99"/>
      <c r="L67" s="99"/>
      <c r="Q67" s="62"/>
      <c r="R67" s="62"/>
      <c r="S67" s="62"/>
      <c r="T67" s="62"/>
      <c r="U67" s="62"/>
      <c r="V67" s="62"/>
      <c r="W67" s="62"/>
    </row>
    <row r="68" spans="1:23" s="63" customFormat="1" ht="18" customHeight="1" x14ac:dyDescent="0.2">
      <c r="A68" s="90">
        <v>44000</v>
      </c>
      <c r="B68" s="63" t="s">
        <v>431</v>
      </c>
      <c r="C68" s="36">
        <f t="shared" si="3"/>
        <v>1.8149486243811783</v>
      </c>
      <c r="D68" s="63" t="s">
        <v>126</v>
      </c>
      <c r="E68" s="63" t="s">
        <v>432</v>
      </c>
      <c r="F68" s="63" t="s">
        <v>21</v>
      </c>
      <c r="G68" s="29" t="s">
        <v>433</v>
      </c>
      <c r="H68" s="99" t="s">
        <v>434</v>
      </c>
      <c r="I68" s="99"/>
      <c r="J68" s="99"/>
      <c r="K68" s="99"/>
      <c r="L68" s="99"/>
      <c r="Q68" s="62"/>
      <c r="R68" s="62"/>
      <c r="S68" s="62"/>
      <c r="T68" s="62"/>
      <c r="U68" s="62"/>
      <c r="V68" s="62"/>
      <c r="W68" s="62"/>
    </row>
    <row r="69" spans="1:23" s="63" customFormat="1" ht="18" customHeight="1" x14ac:dyDescent="0.2">
      <c r="A69" s="90">
        <v>45000</v>
      </c>
      <c r="B69" s="63" t="s">
        <v>431</v>
      </c>
      <c r="C69" s="36">
        <f t="shared" si="3"/>
        <v>1.7307603990086187</v>
      </c>
      <c r="D69" s="63" t="s">
        <v>126</v>
      </c>
      <c r="E69" s="63" t="s">
        <v>432</v>
      </c>
      <c r="F69" s="63" t="s">
        <v>21</v>
      </c>
      <c r="G69" s="29" t="s">
        <v>433</v>
      </c>
      <c r="H69" s="99" t="s">
        <v>434</v>
      </c>
      <c r="I69" s="99"/>
      <c r="J69" s="99"/>
      <c r="K69" s="99"/>
      <c r="L69" s="99"/>
      <c r="Q69" s="62"/>
      <c r="R69" s="62"/>
      <c r="S69" s="62"/>
      <c r="T69" s="62"/>
      <c r="U69" s="62"/>
      <c r="V69" s="62"/>
      <c r="W69" s="62"/>
    </row>
    <row r="70" spans="1:23" s="63" customFormat="1" ht="18" customHeight="1" x14ac:dyDescent="0.2">
      <c r="A70" s="90">
        <v>46000</v>
      </c>
      <c r="B70" s="63" t="s">
        <v>431</v>
      </c>
      <c r="C70" s="36">
        <f t="shared" si="3"/>
        <v>1.6502607414624724</v>
      </c>
      <c r="D70" s="63" t="s">
        <v>126</v>
      </c>
      <c r="E70" s="63" t="s">
        <v>432</v>
      </c>
      <c r="F70" s="63" t="s">
        <v>21</v>
      </c>
      <c r="G70" s="29" t="s">
        <v>433</v>
      </c>
      <c r="H70" s="99" t="s">
        <v>434</v>
      </c>
      <c r="I70" s="99"/>
      <c r="J70" s="99"/>
      <c r="K70" s="99"/>
      <c r="L70" s="99"/>
      <c r="Q70" s="62"/>
      <c r="R70" s="62"/>
      <c r="S70" s="62"/>
      <c r="T70" s="62"/>
      <c r="U70" s="62"/>
      <c r="V70" s="62"/>
      <c r="W70" s="62"/>
    </row>
    <row r="71" spans="1:23" s="63" customFormat="1" ht="18" customHeight="1" x14ac:dyDescent="0.2">
      <c r="A71" s="90">
        <v>47000</v>
      </c>
      <c r="B71" s="63" t="s">
        <v>431</v>
      </c>
      <c r="C71" s="36">
        <f t="shared" si="3"/>
        <v>1.5734545944616243</v>
      </c>
      <c r="D71" s="63" t="s">
        <v>126</v>
      </c>
      <c r="E71" s="63" t="s">
        <v>432</v>
      </c>
      <c r="F71" s="63" t="s">
        <v>21</v>
      </c>
      <c r="G71" s="29" t="s">
        <v>433</v>
      </c>
      <c r="H71" s="99" t="s">
        <v>434</v>
      </c>
      <c r="I71" s="99"/>
      <c r="J71" s="99"/>
      <c r="K71" s="99"/>
      <c r="L71" s="99"/>
      <c r="Q71" s="62"/>
      <c r="R71" s="62"/>
      <c r="S71" s="62"/>
      <c r="T71" s="62"/>
      <c r="U71" s="62"/>
      <c r="V71" s="62"/>
      <c r="W71" s="62"/>
    </row>
    <row r="72" spans="1:23" s="63" customFormat="1" ht="18" customHeight="1" x14ac:dyDescent="0.2">
      <c r="A72" s="90">
        <v>48000</v>
      </c>
      <c r="B72" s="63" t="s">
        <v>431</v>
      </c>
      <c r="C72" s="36">
        <f t="shared" si="3"/>
        <v>1.5003466770171885</v>
      </c>
      <c r="D72" s="63" t="s">
        <v>126</v>
      </c>
      <c r="E72" s="63" t="s">
        <v>432</v>
      </c>
      <c r="F72" s="63" t="s">
        <v>21</v>
      </c>
      <c r="G72" s="29" t="s">
        <v>433</v>
      </c>
      <c r="H72" s="99" t="s">
        <v>434</v>
      </c>
      <c r="I72" s="99"/>
      <c r="J72" s="99"/>
      <c r="K72" s="99"/>
      <c r="L72" s="99"/>
      <c r="Q72" s="62"/>
      <c r="R72" s="62"/>
      <c r="S72" s="62"/>
      <c r="T72" s="62"/>
      <c r="U72" s="62"/>
      <c r="V72" s="62"/>
      <c r="W72" s="62"/>
    </row>
    <row r="73" spans="1:23" s="63" customFormat="1" ht="18" customHeight="1" x14ac:dyDescent="0.2">
      <c r="A73" s="90">
        <v>49000</v>
      </c>
      <c r="B73" s="63" t="s">
        <v>431</v>
      </c>
      <c r="C73" s="36">
        <f t="shared" si="3"/>
        <v>1.4301950469328084</v>
      </c>
      <c r="D73" s="63" t="s">
        <v>126</v>
      </c>
      <c r="E73" s="63" t="s">
        <v>432</v>
      </c>
      <c r="F73" s="63" t="s">
        <v>21</v>
      </c>
      <c r="G73" s="29" t="s">
        <v>433</v>
      </c>
      <c r="H73" s="99" t="s">
        <v>434</v>
      </c>
      <c r="I73" s="99"/>
      <c r="J73" s="99"/>
      <c r="K73" s="99"/>
      <c r="L73" s="99"/>
      <c r="Q73" s="62"/>
      <c r="R73" s="62"/>
      <c r="S73" s="62"/>
      <c r="T73" s="62"/>
      <c r="U73" s="62"/>
      <c r="V73" s="62"/>
      <c r="W73" s="62"/>
    </row>
    <row r="74" spans="1:23" ht="18" customHeight="1" x14ac:dyDescent="0.2">
      <c r="A74" s="49" t="s">
        <v>435</v>
      </c>
      <c r="B74" s="49" t="s">
        <v>436</v>
      </c>
      <c r="C74" s="36">
        <f>2*'Stability Constants'!$C$13*('Stability Constants'!$C$4-'Stability Constants'!$C$3)*'Stability Constants'!$C$14*'Supersonic Stability'!C29</f>
        <v>71053.489765132894</v>
      </c>
      <c r="D74" s="49" t="s">
        <v>126</v>
      </c>
      <c r="E74" s="49" t="s">
        <v>225</v>
      </c>
      <c r="F74" s="49" t="s">
        <v>21</v>
      </c>
      <c r="G74" s="29" t="s">
        <v>438</v>
      </c>
      <c r="H74" s="99" t="s">
        <v>439</v>
      </c>
      <c r="I74" s="99"/>
      <c r="J74" s="99"/>
      <c r="K74" s="99"/>
      <c r="L74" s="99"/>
      <c r="Q74"/>
      <c r="R74"/>
      <c r="S74"/>
      <c r="T74"/>
      <c r="U74"/>
      <c r="V74"/>
      <c r="W74"/>
    </row>
    <row r="75" spans="1:23" s="63" customFormat="1" ht="18" customHeight="1" x14ac:dyDescent="0.2">
      <c r="A75" s="90">
        <v>42000</v>
      </c>
      <c r="B75" s="63" t="s">
        <v>436</v>
      </c>
      <c r="C75" s="36">
        <f>2*'Stability Constants'!$C$13*('Stability Constants'!$C$4-'Stability Constants'!$C$3)*'Stability Constants'!$C$14*'Supersonic Stability'!C30</f>
        <v>74522.187824958964</v>
      </c>
      <c r="D75" s="63" t="s">
        <v>126</v>
      </c>
      <c r="E75" s="63" t="s">
        <v>225</v>
      </c>
      <c r="F75" s="63" t="s">
        <v>21</v>
      </c>
      <c r="G75" s="29" t="s">
        <v>438</v>
      </c>
      <c r="H75" s="99" t="s">
        <v>439</v>
      </c>
      <c r="I75" s="99"/>
      <c r="J75" s="99"/>
      <c r="K75" s="99"/>
      <c r="L75" s="99"/>
      <c r="Q75" s="62"/>
      <c r="R75" s="62"/>
      <c r="S75" s="62"/>
      <c r="T75" s="62"/>
      <c r="U75" s="62"/>
      <c r="V75" s="62"/>
      <c r="W75" s="62"/>
    </row>
    <row r="76" spans="1:23" s="63" customFormat="1" ht="18" customHeight="1" x14ac:dyDescent="0.2">
      <c r="A76" s="90">
        <v>43000</v>
      </c>
      <c r="B76" s="63" t="s">
        <v>436</v>
      </c>
      <c r="C76" s="36">
        <f>2*'Stability Constants'!$C$13*('Stability Constants'!$C$4-'Stability Constants'!$C$3)*'Stability Constants'!$C$14*'Supersonic Stability'!C31</f>
        <v>78149.924116529714</v>
      </c>
      <c r="D76" s="63" t="s">
        <v>126</v>
      </c>
      <c r="E76" s="63" t="s">
        <v>225</v>
      </c>
      <c r="F76" s="63" t="s">
        <v>21</v>
      </c>
      <c r="G76" s="29" t="s">
        <v>438</v>
      </c>
      <c r="H76" s="99" t="s">
        <v>439</v>
      </c>
      <c r="I76" s="99"/>
      <c r="J76" s="99"/>
      <c r="K76" s="99"/>
      <c r="L76" s="99"/>
      <c r="Q76" s="62"/>
      <c r="R76" s="62"/>
      <c r="S76" s="62"/>
      <c r="T76" s="62"/>
      <c r="U76" s="62"/>
      <c r="V76" s="62"/>
      <c r="W76" s="62"/>
    </row>
    <row r="77" spans="1:23" s="63" customFormat="1" ht="18" customHeight="1" x14ac:dyDescent="0.2">
      <c r="A77" s="90">
        <v>44000</v>
      </c>
      <c r="B77" s="63" t="s">
        <v>436</v>
      </c>
      <c r="C77" s="36">
        <f>2*'Stability Constants'!$C$13*('Stability Constants'!$C$4-'Stability Constants'!$C$3)*'Stability Constants'!$C$14*'Supersonic Stability'!C32</f>
        <v>81965.648140887381</v>
      </c>
      <c r="D77" s="63" t="s">
        <v>126</v>
      </c>
      <c r="E77" s="63" t="s">
        <v>225</v>
      </c>
      <c r="F77" s="63" t="s">
        <v>21</v>
      </c>
      <c r="G77" s="29" t="s">
        <v>438</v>
      </c>
      <c r="H77" s="99" t="s">
        <v>439</v>
      </c>
      <c r="I77" s="99"/>
      <c r="J77" s="99"/>
      <c r="K77" s="99"/>
      <c r="L77" s="99"/>
      <c r="Q77" s="62"/>
      <c r="R77" s="62"/>
      <c r="S77" s="62"/>
      <c r="T77" s="62"/>
      <c r="U77" s="62"/>
      <c r="V77" s="62"/>
      <c r="W77" s="62"/>
    </row>
    <row r="78" spans="1:23" s="63" customFormat="1" ht="18" customHeight="1" x14ac:dyDescent="0.2">
      <c r="A78" s="90">
        <v>45000</v>
      </c>
      <c r="B78" s="63" t="s">
        <v>436</v>
      </c>
      <c r="C78" s="36">
        <f>2*'Stability Constants'!$C$13*('Stability Constants'!$C$4-'Stability Constants'!$C$3)*'Stability Constants'!$C$14*'Supersonic Stability'!C33</f>
        <v>85952.648572862585</v>
      </c>
      <c r="D78" s="63" t="s">
        <v>126</v>
      </c>
      <c r="E78" s="63" t="s">
        <v>225</v>
      </c>
      <c r="F78" s="63" t="s">
        <v>21</v>
      </c>
      <c r="G78" s="29" t="s">
        <v>438</v>
      </c>
      <c r="H78" s="99" t="s">
        <v>439</v>
      </c>
      <c r="I78" s="99"/>
      <c r="J78" s="99"/>
      <c r="K78" s="99"/>
      <c r="L78" s="99"/>
      <c r="Q78" s="62"/>
      <c r="R78" s="62"/>
      <c r="S78" s="62"/>
      <c r="T78" s="62"/>
      <c r="U78" s="62"/>
      <c r="V78" s="62"/>
      <c r="W78" s="62"/>
    </row>
    <row r="79" spans="1:23" s="63" customFormat="1" ht="18" customHeight="1" x14ac:dyDescent="0.2">
      <c r="A79" s="90">
        <v>46000</v>
      </c>
      <c r="B79" s="63" t="s">
        <v>436</v>
      </c>
      <c r="C79" s="36">
        <f>2*'Stability Constants'!$C$13*('Stability Constants'!$C$4-'Stability Constants'!$C$3)*'Stability Constants'!$C$14*'Supersonic Stability'!C34</f>
        <v>90145.415571105492</v>
      </c>
      <c r="D79" s="63" t="s">
        <v>126</v>
      </c>
      <c r="E79" s="63" t="s">
        <v>225</v>
      </c>
      <c r="F79" s="63" t="s">
        <v>21</v>
      </c>
      <c r="G79" s="29" t="s">
        <v>438</v>
      </c>
      <c r="H79" s="99" t="s">
        <v>439</v>
      </c>
      <c r="I79" s="99"/>
      <c r="J79" s="99"/>
      <c r="K79" s="99"/>
      <c r="L79" s="99"/>
      <c r="Q79" s="62"/>
      <c r="R79" s="62"/>
      <c r="S79" s="62"/>
      <c r="T79" s="62"/>
      <c r="U79" s="62"/>
      <c r="V79" s="62"/>
      <c r="W79" s="62"/>
    </row>
    <row r="80" spans="1:23" s="63" customFormat="1" ht="18" customHeight="1" x14ac:dyDescent="0.2">
      <c r="A80" s="90">
        <v>47000</v>
      </c>
      <c r="B80" s="63" t="s">
        <v>436</v>
      </c>
      <c r="C80" s="36">
        <f>2*'Stability Constants'!$C$13*('Stability Constants'!$C$4-'Stability Constants'!$C$3)*'Stability Constants'!$C$14*'Supersonic Stability'!C35</f>
        <v>94545.7472134532</v>
      </c>
      <c r="D80" s="63" t="s">
        <v>126</v>
      </c>
      <c r="E80" s="63" t="s">
        <v>225</v>
      </c>
      <c r="F80" s="63" t="s">
        <v>21</v>
      </c>
      <c r="G80" s="29" t="s">
        <v>438</v>
      </c>
      <c r="H80" s="99" t="s">
        <v>439</v>
      </c>
      <c r="I80" s="99"/>
      <c r="J80" s="99"/>
      <c r="K80" s="99"/>
      <c r="L80" s="99"/>
      <c r="Q80" s="62"/>
      <c r="R80" s="62"/>
      <c r="S80" s="62"/>
      <c r="T80" s="62"/>
      <c r="U80" s="62"/>
      <c r="V80" s="62"/>
      <c r="W80" s="62"/>
    </row>
    <row r="81" spans="1:23" s="63" customFormat="1" ht="18" customHeight="1" x14ac:dyDescent="0.2">
      <c r="A81" s="90">
        <v>48000</v>
      </c>
      <c r="B81" s="63" t="s">
        <v>436</v>
      </c>
      <c r="C81" s="36">
        <f>2*'Stability Constants'!$C$13*('Stability Constants'!$C$4-'Stability Constants'!$C$3)*'Stability Constants'!$C$14*'Supersonic Stability'!C36</f>
        <v>99152.710915832518</v>
      </c>
      <c r="D81" s="63" t="s">
        <v>126</v>
      </c>
      <c r="E81" s="63" t="s">
        <v>225</v>
      </c>
      <c r="F81" s="63" t="s">
        <v>21</v>
      </c>
      <c r="G81" s="29" t="s">
        <v>438</v>
      </c>
      <c r="H81" s="99" t="s">
        <v>439</v>
      </c>
      <c r="I81" s="99"/>
      <c r="J81" s="99"/>
      <c r="K81" s="99"/>
      <c r="L81" s="99"/>
      <c r="Q81" s="62"/>
      <c r="R81" s="62"/>
      <c r="S81" s="62"/>
      <c r="T81" s="62"/>
      <c r="U81" s="62"/>
      <c r="V81" s="62"/>
      <c r="W81" s="62"/>
    </row>
    <row r="82" spans="1:23" s="63" customFormat="1" ht="18" customHeight="1" x14ac:dyDescent="0.2">
      <c r="A82" s="90">
        <v>49000</v>
      </c>
      <c r="B82" s="63" t="s">
        <v>436</v>
      </c>
      <c r="C82" s="36">
        <f>2*'Stability Constants'!$C$13*('Stability Constants'!$C$4-'Stability Constants'!$C$3)*'Stability Constants'!$C$14*'Supersonic Stability'!C37</f>
        <v>104016.19042021774</v>
      </c>
      <c r="D82" s="63" t="s">
        <v>126</v>
      </c>
      <c r="E82" s="63" t="s">
        <v>225</v>
      </c>
      <c r="F82" s="63" t="s">
        <v>21</v>
      </c>
      <c r="G82" s="29" t="s">
        <v>438</v>
      </c>
      <c r="H82" s="99" t="s">
        <v>439</v>
      </c>
      <c r="I82" s="99"/>
      <c r="J82" s="99"/>
      <c r="K82" s="99"/>
      <c r="L82" s="99"/>
      <c r="Q82" s="62"/>
      <c r="R82" s="62"/>
      <c r="S82" s="62"/>
      <c r="T82" s="62"/>
      <c r="U82" s="62"/>
      <c r="V82" s="62"/>
      <c r="W82" s="62"/>
    </row>
    <row r="83" spans="1:23" ht="18" customHeight="1" x14ac:dyDescent="0.2">
      <c r="A83" s="49" t="s">
        <v>440</v>
      </c>
      <c r="B83" s="49" t="s">
        <v>441</v>
      </c>
      <c r="C83" s="36">
        <f>2*'Stability Constants'!$C$13*('Stability Constants'!$C$6-'Stability Constants'!$C$5)*'Stability Constants'!$C$15*'Supersonic Stability'!C29</f>
        <v>44449.928955260679</v>
      </c>
      <c r="D83" s="49" t="s">
        <v>126</v>
      </c>
      <c r="E83" s="49" t="s">
        <v>225</v>
      </c>
      <c r="F83" s="49" t="s">
        <v>21</v>
      </c>
      <c r="G83" s="29" t="s">
        <v>443</v>
      </c>
      <c r="H83" s="99" t="s">
        <v>439</v>
      </c>
      <c r="I83" s="99"/>
      <c r="J83" s="99"/>
      <c r="K83" s="99"/>
      <c r="L83" s="99"/>
      <c r="Q83"/>
      <c r="R83"/>
      <c r="S83"/>
      <c r="T83"/>
      <c r="U83"/>
      <c r="V83"/>
      <c r="W83"/>
    </row>
    <row r="84" spans="1:23" s="63" customFormat="1" ht="18" customHeight="1" x14ac:dyDescent="0.2">
      <c r="A84" s="90">
        <v>42000</v>
      </c>
      <c r="B84" s="63" t="s">
        <v>441</v>
      </c>
      <c r="C84" s="36">
        <f>2*'Stability Constants'!$C$13*('Stability Constants'!$C$6-'Stability Constants'!$C$5)*'Stability Constants'!$C$15*'Supersonic Stability'!C30</f>
        <v>46619.891089930941</v>
      </c>
      <c r="D84" s="63" t="s">
        <v>126</v>
      </c>
      <c r="E84" s="63" t="s">
        <v>225</v>
      </c>
      <c r="F84" s="63" t="s">
        <v>21</v>
      </c>
      <c r="G84" s="29" t="s">
        <v>443</v>
      </c>
      <c r="H84" s="99" t="s">
        <v>439</v>
      </c>
      <c r="I84" s="99"/>
      <c r="J84" s="99"/>
      <c r="K84" s="99"/>
      <c r="L84" s="99"/>
      <c r="Q84" s="62"/>
      <c r="R84" s="62"/>
      <c r="S84" s="62"/>
      <c r="T84" s="62"/>
      <c r="U84" s="62"/>
      <c r="V84" s="62"/>
      <c r="W84" s="62"/>
    </row>
    <row r="85" spans="1:23" s="63" customFormat="1" ht="18" customHeight="1" x14ac:dyDescent="0.2">
      <c r="A85" s="90">
        <v>43000</v>
      </c>
      <c r="B85" s="63" t="s">
        <v>441</v>
      </c>
      <c r="C85" s="36">
        <f>2*'Stability Constants'!$C$13*('Stability Constants'!$C$6-'Stability Constants'!$C$5)*'Stability Constants'!$C$15*'Supersonic Stability'!C31</f>
        <v>48889.345003619921</v>
      </c>
      <c r="D85" s="63" t="s">
        <v>126</v>
      </c>
      <c r="E85" s="63" t="s">
        <v>225</v>
      </c>
      <c r="F85" s="63" t="s">
        <v>21</v>
      </c>
      <c r="G85" s="29" t="s">
        <v>443</v>
      </c>
      <c r="H85" s="99" t="s">
        <v>439</v>
      </c>
      <c r="I85" s="99"/>
      <c r="J85" s="99"/>
      <c r="K85" s="99"/>
      <c r="L85" s="99"/>
      <c r="Q85" s="62"/>
      <c r="R85" s="62"/>
      <c r="S85" s="62"/>
      <c r="T85" s="62"/>
      <c r="U85" s="62"/>
      <c r="V85" s="62"/>
      <c r="W85" s="62"/>
    </row>
    <row r="86" spans="1:23" s="63" customFormat="1" ht="18" customHeight="1" x14ac:dyDescent="0.2">
      <c r="A86" s="90">
        <v>44000</v>
      </c>
      <c r="B86" s="63" t="s">
        <v>441</v>
      </c>
      <c r="C86" s="36">
        <f>2*'Stability Constants'!$C$13*('Stability Constants'!$C$6-'Stability Constants'!$C$5)*'Stability Constants'!$C$15*'Supersonic Stability'!C32</f>
        <v>51276.401042052661</v>
      </c>
      <c r="D86" s="63" t="s">
        <v>126</v>
      </c>
      <c r="E86" s="63" t="s">
        <v>225</v>
      </c>
      <c r="F86" s="63" t="s">
        <v>21</v>
      </c>
      <c r="G86" s="29" t="s">
        <v>443</v>
      </c>
      <c r="H86" s="99" t="s">
        <v>439</v>
      </c>
      <c r="I86" s="99"/>
      <c r="J86" s="99"/>
      <c r="K86" s="99"/>
      <c r="L86" s="99"/>
      <c r="Q86" s="62"/>
      <c r="R86" s="62"/>
      <c r="S86" s="62"/>
      <c r="T86" s="62"/>
      <c r="U86" s="62"/>
      <c r="V86" s="62"/>
      <c r="W86" s="62"/>
    </row>
    <row r="87" spans="1:23" s="63" customFormat="1" ht="18" customHeight="1" x14ac:dyDescent="0.2">
      <c r="A87" s="90">
        <v>45000</v>
      </c>
      <c r="B87" s="63" t="s">
        <v>441</v>
      </c>
      <c r="C87" s="36">
        <f>2*'Stability Constants'!$C$13*('Stability Constants'!$C$6-'Stability Constants'!$C$5)*'Stability Constants'!$C$15*'Supersonic Stability'!C33</f>
        <v>53770.604866969617</v>
      </c>
      <c r="D87" s="63" t="s">
        <v>126</v>
      </c>
      <c r="E87" s="63" t="s">
        <v>225</v>
      </c>
      <c r="F87" s="63" t="s">
        <v>21</v>
      </c>
      <c r="G87" s="29" t="s">
        <v>443</v>
      </c>
      <c r="H87" s="99" t="s">
        <v>439</v>
      </c>
      <c r="I87" s="99"/>
      <c r="J87" s="99"/>
      <c r="K87" s="99"/>
      <c r="L87" s="99"/>
      <c r="Q87" s="62"/>
      <c r="R87" s="62"/>
      <c r="S87" s="62"/>
      <c r="T87" s="62"/>
      <c r="U87" s="62"/>
      <c r="V87" s="62"/>
      <c r="W87" s="62"/>
    </row>
    <row r="88" spans="1:23" s="63" customFormat="1" ht="18" customHeight="1" x14ac:dyDescent="0.2">
      <c r="A88" s="90">
        <v>46000</v>
      </c>
      <c r="B88" s="63" t="s">
        <v>441</v>
      </c>
      <c r="C88" s="36">
        <f>2*'Stability Constants'!$C$13*('Stability Constants'!$C$6-'Stability Constants'!$C$5)*'Stability Constants'!$C$15*'Supersonic Stability'!C34</f>
        <v>56393.53297104864</v>
      </c>
      <c r="D88" s="63" t="s">
        <v>126</v>
      </c>
      <c r="E88" s="63" t="s">
        <v>225</v>
      </c>
      <c r="F88" s="63" t="s">
        <v>21</v>
      </c>
      <c r="G88" s="29" t="s">
        <v>443</v>
      </c>
      <c r="H88" s="99" t="s">
        <v>439</v>
      </c>
      <c r="I88" s="99"/>
      <c r="J88" s="99"/>
      <c r="K88" s="99"/>
      <c r="L88" s="99"/>
      <c r="Q88" s="62"/>
      <c r="R88" s="62"/>
      <c r="S88" s="62"/>
      <c r="T88" s="62"/>
      <c r="U88" s="62"/>
      <c r="V88" s="62"/>
      <c r="W88" s="62"/>
    </row>
    <row r="89" spans="1:23" s="63" customFormat="1" ht="18" customHeight="1" x14ac:dyDescent="0.2">
      <c r="A89" s="90">
        <v>47000</v>
      </c>
      <c r="B89" s="63" t="s">
        <v>441</v>
      </c>
      <c r="C89" s="36">
        <f>2*'Stability Constants'!$C$13*('Stability Constants'!$C$6-'Stability Constants'!$C$5)*'Stability Constants'!$C$15*'Supersonic Stability'!C35</f>
        <v>59146.31020308155</v>
      </c>
      <c r="D89" s="63" t="s">
        <v>126</v>
      </c>
      <c r="E89" s="63" t="s">
        <v>225</v>
      </c>
      <c r="F89" s="63" t="s">
        <v>21</v>
      </c>
      <c r="G89" s="29" t="s">
        <v>443</v>
      </c>
      <c r="H89" s="99" t="s">
        <v>439</v>
      </c>
      <c r="I89" s="99"/>
      <c r="J89" s="99"/>
      <c r="K89" s="99"/>
      <c r="L89" s="99"/>
      <c r="Q89" s="62"/>
      <c r="R89" s="62"/>
      <c r="S89" s="62"/>
      <c r="T89" s="62"/>
      <c r="U89" s="62"/>
      <c r="V89" s="62"/>
      <c r="W89" s="62"/>
    </row>
    <row r="90" spans="1:23" s="63" customFormat="1" ht="18" customHeight="1" x14ac:dyDescent="0.2">
      <c r="A90" s="90">
        <v>48000</v>
      </c>
      <c r="B90" s="63" t="s">
        <v>441</v>
      </c>
      <c r="C90" s="36">
        <f>2*'Stability Constants'!$C$13*('Stability Constants'!$C$6-'Stability Constants'!$C$5)*'Stability Constants'!$C$15*'Supersonic Stability'!C36</f>
        <v>62028.353153359189</v>
      </c>
      <c r="D90" s="63" t="s">
        <v>126</v>
      </c>
      <c r="E90" s="63" t="s">
        <v>225</v>
      </c>
      <c r="F90" s="63" t="s">
        <v>21</v>
      </c>
      <c r="G90" s="29" t="s">
        <v>443</v>
      </c>
      <c r="H90" s="99" t="s">
        <v>439</v>
      </c>
      <c r="I90" s="99"/>
      <c r="J90" s="99"/>
      <c r="K90" s="99"/>
      <c r="L90" s="99"/>
      <c r="Q90" s="62"/>
      <c r="R90" s="62"/>
      <c r="S90" s="62"/>
      <c r="T90" s="62"/>
      <c r="U90" s="62"/>
      <c r="V90" s="62"/>
      <c r="W90" s="62"/>
    </row>
    <row r="91" spans="1:23" s="63" customFormat="1" ht="18" customHeight="1" x14ac:dyDescent="0.2">
      <c r="A91" s="90">
        <v>49000</v>
      </c>
      <c r="B91" s="63" t="s">
        <v>441</v>
      </c>
      <c r="C91" s="36">
        <f>2*'Stability Constants'!$C$13*('Stability Constants'!$C$6-'Stability Constants'!$C$5)*'Stability Constants'!$C$15*'Supersonic Stability'!C37</f>
        <v>65070.868294555999</v>
      </c>
      <c r="D91" s="63" t="s">
        <v>126</v>
      </c>
      <c r="E91" s="63" t="s">
        <v>225</v>
      </c>
      <c r="F91" s="63" t="s">
        <v>21</v>
      </c>
      <c r="G91" s="29" t="s">
        <v>443</v>
      </c>
      <c r="H91" s="99" t="s">
        <v>439</v>
      </c>
      <c r="I91" s="99"/>
      <c r="J91" s="99"/>
      <c r="K91" s="99"/>
      <c r="L91" s="99"/>
      <c r="Q91" s="62"/>
      <c r="R91" s="62"/>
      <c r="S91" s="62"/>
      <c r="T91" s="62"/>
      <c r="U91" s="62"/>
      <c r="V91" s="62"/>
      <c r="W91" s="62"/>
    </row>
    <row r="92" spans="1:23" ht="22" customHeight="1" x14ac:dyDescent="0.2">
      <c r="A92" s="112" t="s">
        <v>506</v>
      </c>
      <c r="B92" s="114"/>
      <c r="C92" s="114"/>
      <c r="D92" s="114"/>
      <c r="E92" s="114"/>
      <c r="F92" s="114"/>
      <c r="G92" s="114"/>
      <c r="H92" s="113"/>
      <c r="I92" s="113"/>
      <c r="J92" s="113"/>
      <c r="K92" s="113"/>
      <c r="L92" s="122"/>
      <c r="Q92"/>
      <c r="R92"/>
      <c r="S92"/>
      <c r="T92"/>
      <c r="U92"/>
      <c r="V92"/>
      <c r="W92"/>
    </row>
    <row r="93" spans="1:23" ht="18" customHeight="1" x14ac:dyDescent="0.2">
      <c r="A93" s="23" t="s">
        <v>5</v>
      </c>
      <c r="B93" s="23" t="s">
        <v>97</v>
      </c>
      <c r="C93" s="50" t="s">
        <v>7</v>
      </c>
      <c r="D93" s="50" t="s">
        <v>126</v>
      </c>
      <c r="E93" s="50" t="s">
        <v>8</v>
      </c>
      <c r="F93" s="50" t="s">
        <v>9</v>
      </c>
      <c r="G93" s="31" t="s">
        <v>10</v>
      </c>
      <c r="H93" s="116" t="s">
        <v>11</v>
      </c>
      <c r="I93" s="117"/>
      <c r="J93" s="117"/>
      <c r="K93" s="117"/>
      <c r="L93" s="118"/>
      <c r="Q93"/>
      <c r="R93"/>
      <c r="S93"/>
      <c r="T93"/>
      <c r="U93"/>
      <c r="V93"/>
      <c r="W93"/>
    </row>
    <row r="94" spans="1:23" ht="18" customHeight="1" x14ac:dyDescent="0.2">
      <c r="A94" s="23" t="s">
        <v>5</v>
      </c>
      <c r="B94" s="23" t="s">
        <v>97</v>
      </c>
      <c r="C94" s="64" t="s">
        <v>7</v>
      </c>
      <c r="D94" s="64" t="s">
        <v>126</v>
      </c>
      <c r="E94" s="64" t="s">
        <v>8</v>
      </c>
      <c r="F94" s="64" t="s">
        <v>9</v>
      </c>
      <c r="G94" s="31" t="s">
        <v>10</v>
      </c>
      <c r="H94" s="116" t="s">
        <v>11</v>
      </c>
      <c r="I94" s="117"/>
      <c r="J94" s="117"/>
      <c r="K94" s="117"/>
      <c r="L94" s="118"/>
      <c r="Q94"/>
      <c r="R94"/>
      <c r="S94"/>
      <c r="T94"/>
      <c r="U94"/>
      <c r="V94"/>
      <c r="W94"/>
    </row>
    <row r="95" spans="1:23" ht="18" customHeight="1" x14ac:dyDescent="0.2">
      <c r="A95" s="63" t="s">
        <v>380</v>
      </c>
      <c r="B95" s="63" t="s">
        <v>381</v>
      </c>
      <c r="C95" s="36">
        <v>1.7</v>
      </c>
      <c r="D95" s="63" t="s">
        <v>126</v>
      </c>
      <c r="E95" s="63" t="s">
        <v>138</v>
      </c>
      <c r="F95" s="63" t="s">
        <v>488</v>
      </c>
      <c r="G95" s="29" t="s">
        <v>138</v>
      </c>
      <c r="H95" s="120" t="s">
        <v>310</v>
      </c>
      <c r="I95" s="120"/>
      <c r="J95" s="120"/>
      <c r="K95" s="120"/>
      <c r="L95" s="120"/>
      <c r="Q95"/>
      <c r="R95"/>
      <c r="S95"/>
      <c r="T95"/>
      <c r="U95"/>
      <c r="V95"/>
      <c r="W95"/>
    </row>
    <row r="96" spans="1:23" ht="18" customHeight="1" x14ac:dyDescent="0.2">
      <c r="A96" s="63" t="s">
        <v>559</v>
      </c>
      <c r="B96" s="63" t="s">
        <v>407</v>
      </c>
      <c r="C96" s="36">
        <f>'Final Aircraft Checkouts'!C34</f>
        <v>0.10884251598155902</v>
      </c>
      <c r="D96" s="63" t="s">
        <v>126</v>
      </c>
      <c r="E96" s="63" t="s">
        <v>138</v>
      </c>
      <c r="F96" s="63" t="s">
        <v>21</v>
      </c>
      <c r="G96" s="29" t="s">
        <v>552</v>
      </c>
      <c r="H96" s="119" t="s">
        <v>528</v>
      </c>
      <c r="I96" s="119"/>
      <c r="J96" s="119"/>
      <c r="K96" s="119"/>
      <c r="L96" s="119"/>
      <c r="Q96"/>
      <c r="R96"/>
      <c r="S96"/>
      <c r="T96"/>
      <c r="U96"/>
      <c r="V96"/>
      <c r="W96"/>
    </row>
    <row r="97" spans="1:23" ht="18" customHeight="1" x14ac:dyDescent="0.2">
      <c r="A97" s="90">
        <v>42000</v>
      </c>
      <c r="B97" s="63" t="s">
        <v>407</v>
      </c>
      <c r="C97" s="36">
        <f>'Final Aircraft Checkouts'!C35</f>
        <v>0.10884251598155902</v>
      </c>
      <c r="D97" s="63" t="s">
        <v>126</v>
      </c>
      <c r="E97" s="63" t="s">
        <v>138</v>
      </c>
      <c r="F97" s="63" t="s">
        <v>21</v>
      </c>
      <c r="G97" s="29" t="s">
        <v>552</v>
      </c>
      <c r="H97" s="119" t="s">
        <v>528</v>
      </c>
      <c r="I97" s="119"/>
      <c r="J97" s="119"/>
      <c r="K97" s="119"/>
      <c r="L97" s="119"/>
      <c r="Q97"/>
      <c r="R97"/>
      <c r="S97"/>
      <c r="T97"/>
      <c r="U97"/>
      <c r="V97"/>
      <c r="W97"/>
    </row>
    <row r="98" spans="1:23" ht="18" customHeight="1" x14ac:dyDescent="0.2">
      <c r="A98" s="90">
        <v>43000</v>
      </c>
      <c r="B98" s="63" t="s">
        <v>407</v>
      </c>
      <c r="C98" s="36">
        <f>'Final Aircraft Checkouts'!C36</f>
        <v>0.11417017206164713</v>
      </c>
      <c r="D98" s="63" t="s">
        <v>126</v>
      </c>
      <c r="E98" s="63" t="s">
        <v>138</v>
      </c>
      <c r="F98" s="63" t="s">
        <v>21</v>
      </c>
      <c r="G98" s="29" t="s">
        <v>552</v>
      </c>
      <c r="H98" s="119" t="s">
        <v>528</v>
      </c>
      <c r="I98" s="119"/>
      <c r="J98" s="119"/>
      <c r="K98" s="119"/>
      <c r="L98" s="119"/>
      <c r="Q98"/>
      <c r="R98"/>
      <c r="S98"/>
      <c r="T98"/>
      <c r="U98"/>
      <c r="V98"/>
      <c r="W98"/>
    </row>
    <row r="99" spans="1:23" ht="18" customHeight="1" x14ac:dyDescent="0.2">
      <c r="A99" s="90">
        <v>44000</v>
      </c>
      <c r="B99" s="63" t="s">
        <v>407</v>
      </c>
      <c r="C99" s="36">
        <f>'Final Aircraft Checkouts'!C37</f>
        <v>0.11977390498609999</v>
      </c>
      <c r="D99" s="63" t="s">
        <v>126</v>
      </c>
      <c r="E99" s="63" t="s">
        <v>138</v>
      </c>
      <c r="F99" s="63" t="s">
        <v>21</v>
      </c>
      <c r="G99" s="29" t="s">
        <v>552</v>
      </c>
      <c r="H99" s="119" t="s">
        <v>528</v>
      </c>
      <c r="I99" s="119"/>
      <c r="J99" s="119"/>
      <c r="K99" s="119"/>
      <c r="L99" s="119"/>
      <c r="Q99"/>
      <c r="R99"/>
      <c r="S99"/>
      <c r="T99"/>
      <c r="U99"/>
      <c r="V99"/>
      <c r="W99"/>
    </row>
    <row r="100" spans="1:23" ht="18" customHeight="1" x14ac:dyDescent="0.2">
      <c r="A100" s="90">
        <v>45000</v>
      </c>
      <c r="B100" s="63" t="s">
        <v>407</v>
      </c>
      <c r="C100" s="36">
        <f>'Final Aircraft Checkouts'!C38</f>
        <v>0.1256291726752323</v>
      </c>
      <c r="D100" s="63" t="s">
        <v>126</v>
      </c>
      <c r="E100" s="63" t="s">
        <v>138</v>
      </c>
      <c r="F100" s="63" t="s">
        <v>21</v>
      </c>
      <c r="G100" s="29" t="s">
        <v>552</v>
      </c>
      <c r="H100" s="119" t="s">
        <v>528</v>
      </c>
      <c r="I100" s="119"/>
      <c r="J100" s="119"/>
      <c r="K100" s="119"/>
      <c r="L100" s="119"/>
      <c r="Q100"/>
      <c r="R100"/>
      <c r="S100"/>
      <c r="T100"/>
      <c r="U100"/>
      <c r="V100"/>
      <c r="W100"/>
    </row>
    <row r="101" spans="1:23" ht="18" customHeight="1" x14ac:dyDescent="0.2">
      <c r="A101" s="90">
        <v>46000</v>
      </c>
      <c r="B101" s="63" t="s">
        <v>407</v>
      </c>
      <c r="C101" s="36">
        <f>'Final Aircraft Checkouts'!C39</f>
        <v>0.13178662702010416</v>
      </c>
      <c r="D101" s="63" t="s">
        <v>126</v>
      </c>
      <c r="E101" s="63" t="s">
        <v>138</v>
      </c>
      <c r="F101" s="63" t="s">
        <v>21</v>
      </c>
      <c r="G101" s="29" t="s">
        <v>552</v>
      </c>
      <c r="H101" s="119" t="s">
        <v>528</v>
      </c>
      <c r="I101" s="119"/>
      <c r="J101" s="119"/>
      <c r="K101" s="119"/>
      <c r="L101" s="119"/>
      <c r="Q101"/>
      <c r="R101"/>
      <c r="S101"/>
      <c r="T101"/>
      <c r="U101"/>
      <c r="V101"/>
      <c r="W101"/>
    </row>
    <row r="102" spans="1:23" ht="18" customHeight="1" x14ac:dyDescent="0.2">
      <c r="A102" s="90">
        <v>47000</v>
      </c>
      <c r="B102" s="63" t="s">
        <v>407</v>
      </c>
      <c r="C102" s="36">
        <f>'Final Aircraft Checkouts'!C40</f>
        <v>0.13824890865927134</v>
      </c>
      <c r="D102" s="63" t="s">
        <v>126</v>
      </c>
      <c r="E102" s="63" t="s">
        <v>138</v>
      </c>
      <c r="F102" s="63" t="s">
        <v>21</v>
      </c>
      <c r="G102" s="29" t="s">
        <v>552</v>
      </c>
      <c r="H102" s="119" t="s">
        <v>528</v>
      </c>
      <c r="I102" s="119"/>
      <c r="J102" s="119"/>
      <c r="K102" s="119"/>
      <c r="L102" s="119"/>
      <c r="Q102"/>
      <c r="R102"/>
      <c r="S102"/>
      <c r="T102"/>
      <c r="U102"/>
      <c r="V102"/>
      <c r="W102"/>
    </row>
    <row r="103" spans="1:23" ht="18" customHeight="1" x14ac:dyDescent="0.2">
      <c r="A103" s="90">
        <v>48000</v>
      </c>
      <c r="B103" s="63" t="s">
        <v>407</v>
      </c>
      <c r="C103" s="36">
        <f>'Final Aircraft Checkouts'!C41</f>
        <v>0.14501464800938801</v>
      </c>
      <c r="D103" s="63" t="s">
        <v>126</v>
      </c>
      <c r="E103" s="63" t="s">
        <v>138</v>
      </c>
      <c r="F103" s="63" t="s">
        <v>21</v>
      </c>
      <c r="G103" s="29" t="s">
        <v>552</v>
      </c>
      <c r="H103" s="119" t="s">
        <v>528</v>
      </c>
      <c r="I103" s="119"/>
      <c r="J103" s="119"/>
      <c r="K103" s="119"/>
      <c r="L103" s="119"/>
      <c r="Q103"/>
      <c r="R103"/>
      <c r="S103"/>
      <c r="T103"/>
      <c r="U103"/>
      <c r="V103"/>
      <c r="W103"/>
    </row>
    <row r="104" spans="1:23" ht="22" customHeight="1" x14ac:dyDescent="0.2">
      <c r="A104" s="90">
        <v>49000</v>
      </c>
      <c r="B104" s="63" t="s">
        <v>407</v>
      </c>
      <c r="C104" s="36">
        <f>'Final Aircraft Checkouts'!C42</f>
        <v>0.15215710381912467</v>
      </c>
      <c r="D104" s="63" t="s">
        <v>126</v>
      </c>
      <c r="E104" s="63" t="s">
        <v>138</v>
      </c>
      <c r="F104" s="63" t="s">
        <v>21</v>
      </c>
      <c r="G104" s="29" t="s">
        <v>552</v>
      </c>
      <c r="H104" s="119" t="s">
        <v>528</v>
      </c>
      <c r="I104" s="119"/>
      <c r="J104" s="119"/>
      <c r="K104" s="119"/>
      <c r="L104" s="119"/>
      <c r="Q104"/>
      <c r="R104"/>
      <c r="S104"/>
      <c r="T104"/>
      <c r="U104"/>
      <c r="V104"/>
      <c r="W104"/>
    </row>
    <row r="105" spans="1:23" ht="18" customHeight="1" x14ac:dyDescent="0.2">
      <c r="A105" s="63" t="s">
        <v>448</v>
      </c>
      <c r="B105" s="47" t="s">
        <v>449</v>
      </c>
      <c r="C105" s="48">
        <v>0.10158298411673315</v>
      </c>
      <c r="D105" s="63" t="s">
        <v>126</v>
      </c>
      <c r="E105" s="63" t="s">
        <v>138</v>
      </c>
      <c r="F105" s="63" t="s">
        <v>400</v>
      </c>
      <c r="G105" s="29" t="s">
        <v>138</v>
      </c>
      <c r="H105" s="119" t="s">
        <v>450</v>
      </c>
      <c r="I105" s="119"/>
      <c r="J105" s="119"/>
      <c r="K105" s="119"/>
      <c r="L105" s="119"/>
      <c r="Q105"/>
      <c r="R105"/>
      <c r="S105"/>
      <c r="T105"/>
      <c r="U105"/>
      <c r="V105"/>
      <c r="W105"/>
    </row>
    <row r="106" spans="1:23" ht="18" customHeight="1" x14ac:dyDescent="0.2">
      <c r="A106" s="63" t="s">
        <v>448</v>
      </c>
      <c r="B106" s="47" t="s">
        <v>449</v>
      </c>
      <c r="C106" s="48">
        <v>1.1015829841167299</v>
      </c>
      <c r="D106" s="63" t="s">
        <v>126</v>
      </c>
      <c r="E106" s="63" t="s">
        <v>138</v>
      </c>
      <c r="F106" s="63" t="s">
        <v>400</v>
      </c>
      <c r="G106" s="29" t="s">
        <v>138</v>
      </c>
      <c r="H106" s="119" t="s">
        <v>450</v>
      </c>
      <c r="I106" s="119"/>
      <c r="J106" s="119"/>
      <c r="K106" s="119"/>
      <c r="L106" s="119"/>
      <c r="Q106"/>
      <c r="R106"/>
      <c r="S106"/>
      <c r="T106"/>
      <c r="U106"/>
      <c r="V106"/>
      <c r="W106"/>
    </row>
    <row r="107" spans="1:23" ht="18" customHeight="1" x14ac:dyDescent="0.2">
      <c r="A107" s="63" t="s">
        <v>448</v>
      </c>
      <c r="B107" s="47" t="s">
        <v>449</v>
      </c>
      <c r="C107" s="48">
        <v>2.1015829841167299</v>
      </c>
      <c r="D107" s="63" t="s">
        <v>126</v>
      </c>
      <c r="E107" s="63" t="s">
        <v>138</v>
      </c>
      <c r="F107" s="63" t="s">
        <v>400</v>
      </c>
      <c r="G107" s="29" t="s">
        <v>138</v>
      </c>
      <c r="H107" s="119" t="s">
        <v>450</v>
      </c>
      <c r="I107" s="119"/>
      <c r="J107" s="119"/>
      <c r="K107" s="119"/>
      <c r="L107" s="119"/>
      <c r="Q107"/>
      <c r="R107"/>
      <c r="S107"/>
      <c r="T107"/>
      <c r="U107"/>
      <c r="V107"/>
      <c r="W107"/>
    </row>
    <row r="108" spans="1:23" ht="18" customHeight="1" x14ac:dyDescent="0.2">
      <c r="A108" s="63" t="s">
        <v>448</v>
      </c>
      <c r="B108" s="47" t="s">
        <v>449</v>
      </c>
      <c r="C108" s="48">
        <v>3.1015829841167299</v>
      </c>
      <c r="D108" s="63" t="s">
        <v>126</v>
      </c>
      <c r="E108" s="63" t="s">
        <v>138</v>
      </c>
      <c r="F108" s="63" t="s">
        <v>400</v>
      </c>
      <c r="G108" s="29" t="s">
        <v>138</v>
      </c>
      <c r="H108" s="119" t="s">
        <v>450</v>
      </c>
      <c r="I108" s="119"/>
      <c r="J108" s="119"/>
      <c r="K108" s="119"/>
      <c r="L108" s="119"/>
      <c r="Q108"/>
      <c r="R108"/>
      <c r="S108"/>
      <c r="T108"/>
      <c r="U108"/>
      <c r="V108"/>
      <c r="W108"/>
    </row>
    <row r="109" spans="1:23" ht="18" customHeight="1" x14ac:dyDescent="0.2">
      <c r="A109" s="63" t="s">
        <v>448</v>
      </c>
      <c r="B109" s="47" t="s">
        <v>449</v>
      </c>
      <c r="C109" s="48">
        <v>4.1015829841167299</v>
      </c>
      <c r="D109" s="63" t="s">
        <v>126</v>
      </c>
      <c r="E109" s="63" t="s">
        <v>138</v>
      </c>
      <c r="F109" s="63" t="s">
        <v>400</v>
      </c>
      <c r="G109" s="29" t="s">
        <v>138</v>
      </c>
      <c r="H109" s="119" t="s">
        <v>450</v>
      </c>
      <c r="I109" s="119"/>
      <c r="J109" s="119"/>
      <c r="K109" s="119"/>
      <c r="L109" s="119"/>
      <c r="Q109"/>
      <c r="R109"/>
      <c r="S109"/>
      <c r="T109"/>
      <c r="U109"/>
      <c r="V109"/>
      <c r="W109"/>
    </row>
    <row r="110" spans="1:23" ht="18" customHeight="1" x14ac:dyDescent="0.2">
      <c r="A110" s="63" t="s">
        <v>448</v>
      </c>
      <c r="B110" s="47" t="s">
        <v>449</v>
      </c>
      <c r="C110" s="48">
        <v>5.1015829841167299</v>
      </c>
      <c r="D110" s="63" t="s">
        <v>126</v>
      </c>
      <c r="E110" s="63" t="s">
        <v>138</v>
      </c>
      <c r="F110" s="63" t="s">
        <v>400</v>
      </c>
      <c r="G110" s="29" t="s">
        <v>138</v>
      </c>
      <c r="H110" s="119" t="s">
        <v>450</v>
      </c>
      <c r="I110" s="119"/>
      <c r="J110" s="119"/>
      <c r="K110" s="119"/>
      <c r="L110" s="119"/>
      <c r="Q110"/>
      <c r="R110"/>
      <c r="S110"/>
      <c r="T110"/>
      <c r="U110"/>
      <c r="V110"/>
      <c r="W110"/>
    </row>
    <row r="111" spans="1:23" ht="18" customHeight="1" x14ac:dyDescent="0.2">
      <c r="A111" s="63" t="s">
        <v>448</v>
      </c>
      <c r="B111" s="47" t="s">
        <v>449</v>
      </c>
      <c r="C111" s="48">
        <v>6.1015829841167299</v>
      </c>
      <c r="D111" s="63" t="s">
        <v>126</v>
      </c>
      <c r="E111" s="63" t="s">
        <v>138</v>
      </c>
      <c r="F111" s="63" t="s">
        <v>400</v>
      </c>
      <c r="G111" s="29" t="s">
        <v>138</v>
      </c>
      <c r="H111" s="119" t="s">
        <v>450</v>
      </c>
      <c r="I111" s="119"/>
      <c r="J111" s="119"/>
      <c r="K111" s="119"/>
      <c r="L111" s="119"/>
      <c r="Q111"/>
      <c r="R111"/>
      <c r="S111"/>
      <c r="T111"/>
      <c r="U111"/>
      <c r="V111"/>
      <c r="W111"/>
    </row>
    <row r="112" spans="1:23" ht="18" customHeight="1" x14ac:dyDescent="0.2">
      <c r="A112" s="63" t="s">
        <v>448</v>
      </c>
      <c r="B112" s="47" t="s">
        <v>449</v>
      </c>
      <c r="C112" s="48">
        <v>7.1015829841167299</v>
      </c>
      <c r="D112" s="63" t="s">
        <v>126</v>
      </c>
      <c r="E112" s="63" t="s">
        <v>138</v>
      </c>
      <c r="F112" s="63" t="s">
        <v>400</v>
      </c>
      <c r="G112" s="29" t="s">
        <v>138</v>
      </c>
      <c r="H112" s="119" t="s">
        <v>450</v>
      </c>
      <c r="I112" s="119"/>
      <c r="J112" s="119"/>
      <c r="K112" s="119"/>
      <c r="L112" s="119"/>
      <c r="Q112"/>
      <c r="R112"/>
      <c r="S112"/>
      <c r="T112"/>
      <c r="U112"/>
      <c r="V112"/>
      <c r="W112"/>
    </row>
    <row r="113" spans="1:23" ht="18" customHeight="1" x14ac:dyDescent="0.2">
      <c r="A113" s="63" t="s">
        <v>448</v>
      </c>
      <c r="B113" s="47" t="s">
        <v>449</v>
      </c>
      <c r="C113" s="48">
        <v>8.1015829841167299</v>
      </c>
      <c r="D113" s="63" t="s">
        <v>126</v>
      </c>
      <c r="E113" s="63" t="s">
        <v>138</v>
      </c>
      <c r="F113" s="63" t="s">
        <v>400</v>
      </c>
      <c r="G113" s="29" t="s">
        <v>138</v>
      </c>
      <c r="H113" s="119" t="s">
        <v>450</v>
      </c>
      <c r="I113" s="119"/>
      <c r="J113" s="119"/>
      <c r="K113" s="119"/>
      <c r="L113" s="119"/>
      <c r="Q113"/>
      <c r="R113"/>
      <c r="S113"/>
      <c r="T113"/>
      <c r="U113"/>
      <c r="V113"/>
      <c r="W113"/>
    </row>
    <row r="114" spans="1:23" ht="18" customHeight="1" x14ac:dyDescent="0.2">
      <c r="A114" s="63" t="s">
        <v>560</v>
      </c>
      <c r="B114" s="63" t="s">
        <v>437</v>
      </c>
      <c r="C114" s="36">
        <f xml:space="preserve"> ABS((C96-CFD!$B$25)/(CFD!$B$26-CFD!$B$25)*(CFD!$A$26-CFD!$A$25) + CFD!$A$25)*PI()/180</f>
        <v>4.0727788428771637E-2</v>
      </c>
      <c r="D114" s="63" t="s">
        <v>126</v>
      </c>
      <c r="E114" s="63" t="s">
        <v>408</v>
      </c>
      <c r="F114" s="63" t="s">
        <v>21</v>
      </c>
      <c r="G114" s="29" t="s">
        <v>552</v>
      </c>
      <c r="H114" s="119" t="s">
        <v>528</v>
      </c>
      <c r="I114" s="119"/>
      <c r="J114" s="119"/>
      <c r="K114" s="119"/>
      <c r="L114" s="119"/>
      <c r="Q114"/>
      <c r="R114"/>
      <c r="S114"/>
      <c r="T114"/>
      <c r="U114"/>
      <c r="V114"/>
      <c r="W114"/>
    </row>
    <row r="115" spans="1:23" ht="18" customHeight="1" x14ac:dyDescent="0.2">
      <c r="A115" s="90">
        <v>42000</v>
      </c>
      <c r="B115" s="63" t="s">
        <v>437</v>
      </c>
      <c r="C115" s="36">
        <f xml:space="preserve"> ABS((C97-CFD!$B$25)/(CFD!$B$26-CFD!$B$25)*(CFD!$A$26-CFD!$A$25) + CFD!$A$25)*PI()/180</f>
        <v>4.0727788428771637E-2</v>
      </c>
      <c r="D115" s="63"/>
      <c r="E115" s="63" t="s">
        <v>408</v>
      </c>
      <c r="F115" s="63" t="s">
        <v>21</v>
      </c>
      <c r="G115" s="29" t="s">
        <v>552</v>
      </c>
      <c r="H115" s="119" t="s">
        <v>528</v>
      </c>
      <c r="I115" s="119"/>
      <c r="J115" s="119"/>
      <c r="K115" s="119"/>
      <c r="L115" s="119"/>
      <c r="Q115"/>
      <c r="R115"/>
      <c r="S115"/>
      <c r="T115"/>
      <c r="U115"/>
      <c r="V115"/>
      <c r="W115"/>
    </row>
    <row r="116" spans="1:23" ht="22" customHeight="1" x14ac:dyDescent="0.2">
      <c r="A116" s="90">
        <v>43000</v>
      </c>
      <c r="B116" s="63" t="s">
        <v>437</v>
      </c>
      <c r="C116" s="36">
        <f xml:space="preserve"> ABS((C98-CFD!$B$25)/(CFD!$B$26-CFD!$B$25)*(CFD!$A$26-CFD!$A$25) + CFD!$A$25)*PI()/180</f>
        <v>4.2723177699403231E-2</v>
      </c>
      <c r="D116" s="63"/>
      <c r="E116" s="63" t="s">
        <v>408</v>
      </c>
      <c r="F116" s="63" t="s">
        <v>21</v>
      </c>
      <c r="G116" s="29" t="s">
        <v>552</v>
      </c>
      <c r="H116" s="119" t="s">
        <v>528</v>
      </c>
      <c r="I116" s="119"/>
      <c r="J116" s="119"/>
      <c r="K116" s="119"/>
      <c r="L116" s="119"/>
      <c r="Q116"/>
      <c r="R116"/>
      <c r="S116"/>
      <c r="T116"/>
      <c r="U116"/>
      <c r="V116"/>
      <c r="W116"/>
    </row>
    <row r="117" spans="1:23" ht="18" customHeight="1" x14ac:dyDescent="0.2">
      <c r="A117" s="90">
        <v>44000</v>
      </c>
      <c r="B117" s="63" t="s">
        <v>437</v>
      </c>
      <c r="C117" s="36">
        <f xml:space="preserve"> ABS((C99-CFD!$B$25)/(CFD!$B$26-CFD!$B$25)*(CFD!$A$26-CFD!$A$25) + CFD!$A$25)*PI()/180</f>
        <v>4.4821967182967895E-2</v>
      </c>
      <c r="D117" s="63"/>
      <c r="E117" s="63" t="s">
        <v>408</v>
      </c>
      <c r="F117" s="63" t="s">
        <v>21</v>
      </c>
      <c r="G117" s="29" t="s">
        <v>552</v>
      </c>
      <c r="H117" s="119" t="s">
        <v>528</v>
      </c>
      <c r="I117" s="119"/>
      <c r="J117" s="119"/>
      <c r="K117" s="119"/>
      <c r="L117" s="119"/>
      <c r="Q117"/>
      <c r="R117"/>
      <c r="S117"/>
      <c r="T117"/>
      <c r="U117"/>
      <c r="V117"/>
      <c r="W117"/>
    </row>
    <row r="118" spans="1:23" ht="18" customHeight="1" x14ac:dyDescent="0.2">
      <c r="A118" s="90">
        <v>45000</v>
      </c>
      <c r="B118" s="63" t="s">
        <v>437</v>
      </c>
      <c r="C118" s="36">
        <f xml:space="preserve"> ABS((C100-CFD!$B$25)/(CFD!$B$26-CFD!$B$25)*(CFD!$A$26-CFD!$A$25) + CFD!$A$25)*PI()/180</f>
        <v>4.7014965031916371E-2</v>
      </c>
      <c r="D118" s="63"/>
      <c r="E118" s="63" t="s">
        <v>408</v>
      </c>
      <c r="F118" s="63" t="s">
        <v>21</v>
      </c>
      <c r="G118" s="29" t="s">
        <v>552</v>
      </c>
      <c r="H118" s="119" t="s">
        <v>528</v>
      </c>
      <c r="I118" s="119"/>
      <c r="J118" s="119"/>
      <c r="K118" s="119"/>
      <c r="L118" s="119"/>
      <c r="Q118"/>
      <c r="R118"/>
      <c r="S118"/>
      <c r="T118"/>
      <c r="U118"/>
      <c r="V118"/>
      <c r="W118"/>
    </row>
    <row r="119" spans="1:23" s="63" customFormat="1" ht="18" customHeight="1" x14ac:dyDescent="0.2">
      <c r="A119" s="90">
        <v>46000</v>
      </c>
      <c r="B119" s="63" t="s">
        <v>437</v>
      </c>
      <c r="C119" s="36">
        <f xml:space="preserve"> ABS((C101-CFD!$B$25)/(CFD!$B$26-CFD!$B$25)*(CFD!$A$26-CFD!$A$25) + CFD!$A$25)*PI()/180</f>
        <v>4.9321142110440912E-2</v>
      </c>
      <c r="E119" s="63" t="s">
        <v>408</v>
      </c>
      <c r="F119" s="63" t="s">
        <v>21</v>
      </c>
      <c r="G119" s="29" t="s">
        <v>552</v>
      </c>
      <c r="H119" s="119" t="s">
        <v>528</v>
      </c>
      <c r="I119" s="119"/>
      <c r="J119" s="119"/>
      <c r="K119" s="119"/>
      <c r="L119" s="119"/>
      <c r="Q119" s="62"/>
      <c r="R119" s="62"/>
      <c r="S119" s="62"/>
      <c r="T119" s="62"/>
      <c r="U119" s="62"/>
      <c r="V119" s="62"/>
      <c r="W119" s="62"/>
    </row>
    <row r="120" spans="1:23" s="63" customFormat="1" ht="18" customHeight="1" x14ac:dyDescent="0.2">
      <c r="A120" s="90">
        <v>47000</v>
      </c>
      <c r="B120" s="63" t="s">
        <v>437</v>
      </c>
      <c r="C120" s="36">
        <f xml:space="preserve"> ABS((C102-CFD!$B$25)/(CFD!$B$26-CFD!$B$25)*(CFD!$A$26-CFD!$A$25) + CFD!$A$25)*PI()/180</f>
        <v>5.174148742792254E-2</v>
      </c>
      <c r="E120" s="63" t="s">
        <v>408</v>
      </c>
      <c r="F120" s="63" t="s">
        <v>21</v>
      </c>
      <c r="G120" s="29" t="s">
        <v>552</v>
      </c>
      <c r="H120" s="119" t="s">
        <v>528</v>
      </c>
      <c r="I120" s="119"/>
      <c r="J120" s="119"/>
      <c r="K120" s="119"/>
      <c r="L120" s="119"/>
      <c r="Q120" s="62"/>
      <c r="R120" s="62"/>
      <c r="S120" s="62"/>
      <c r="T120" s="62"/>
      <c r="U120" s="62"/>
      <c r="V120" s="62"/>
      <c r="W120" s="62"/>
    </row>
    <row r="121" spans="1:23" s="63" customFormat="1" ht="18" customHeight="1" x14ac:dyDescent="0.2">
      <c r="A121" s="90">
        <v>48000</v>
      </c>
      <c r="B121" s="63" t="s">
        <v>437</v>
      </c>
      <c r="C121" s="36">
        <f xml:space="preserve"> ABS((C103-CFD!$B$25)/(CFD!$B$26-CFD!$B$25)*(CFD!$A$26-CFD!$A$25) + CFD!$A$25)*PI()/180</f>
        <v>5.4275488028593728E-2</v>
      </c>
      <c r="E121" s="63" t="s">
        <v>408</v>
      </c>
      <c r="F121" s="63" t="s">
        <v>21</v>
      </c>
      <c r="G121" s="29" t="s">
        <v>552</v>
      </c>
      <c r="H121" s="119" t="s">
        <v>528</v>
      </c>
      <c r="I121" s="119"/>
      <c r="J121" s="119"/>
      <c r="K121" s="119"/>
      <c r="L121" s="119"/>
      <c r="Q121" s="62"/>
      <c r="R121" s="62"/>
      <c r="S121" s="62"/>
      <c r="T121" s="62"/>
      <c r="U121" s="62"/>
      <c r="V121" s="62"/>
      <c r="W121" s="62"/>
    </row>
    <row r="122" spans="1:23" s="63" customFormat="1" ht="18" customHeight="1" x14ac:dyDescent="0.2">
      <c r="A122" s="90">
        <v>49000</v>
      </c>
      <c r="B122" s="63" t="s">
        <v>437</v>
      </c>
      <c r="C122" s="36">
        <f xml:space="preserve"> ABS((C104-CFD!$B$25)/(CFD!$B$26-CFD!$B$25)*(CFD!$A$26-CFD!$A$25) + CFD!$A$25)*PI()/180</f>
        <v>5.6950581817394208E-2</v>
      </c>
      <c r="E122" s="63" t="s">
        <v>408</v>
      </c>
      <c r="F122" s="63" t="s">
        <v>21</v>
      </c>
      <c r="G122" s="29" t="s">
        <v>552</v>
      </c>
      <c r="H122" s="119" t="s">
        <v>528</v>
      </c>
      <c r="I122" s="119"/>
      <c r="J122" s="119"/>
      <c r="K122" s="119"/>
      <c r="L122" s="119"/>
      <c r="Q122" s="62"/>
      <c r="R122" s="62"/>
      <c r="S122" s="62"/>
      <c r="T122" s="62"/>
      <c r="U122" s="62"/>
      <c r="V122" s="62"/>
      <c r="W122" s="62"/>
    </row>
    <row r="123" spans="1:23" s="63" customFormat="1" ht="18" customHeight="1" x14ac:dyDescent="0.2">
      <c r="A123" s="63" t="s">
        <v>562</v>
      </c>
      <c r="B123" s="47" t="s">
        <v>482</v>
      </c>
      <c r="C123" s="48">
        <f>C105/C141</f>
        <v>3.8011343708469064E-2</v>
      </c>
      <c r="D123" s="63" t="s">
        <v>126</v>
      </c>
      <c r="E123" s="63" t="s">
        <v>408</v>
      </c>
      <c r="F123" s="63" t="s">
        <v>21</v>
      </c>
      <c r="G123" s="29" t="s">
        <v>483</v>
      </c>
      <c r="H123" s="119" t="s">
        <v>484</v>
      </c>
      <c r="I123" s="119"/>
      <c r="J123" s="119"/>
      <c r="K123" s="119"/>
      <c r="L123" s="119"/>
      <c r="Q123" s="62"/>
      <c r="R123" s="62"/>
      <c r="S123" s="62"/>
      <c r="T123" s="62"/>
      <c r="U123" s="62"/>
      <c r="V123" s="62"/>
      <c r="W123" s="62"/>
    </row>
    <row r="124" spans="1:23" s="63" customFormat="1" ht="18" customHeight="1" x14ac:dyDescent="0.2">
      <c r="A124" s="90">
        <v>42000</v>
      </c>
      <c r="B124" s="47" t="s">
        <v>482</v>
      </c>
      <c r="C124" s="48">
        <f t="shared" ref="C124:C131" si="4">C106/C142</f>
        <v>0.41220141145434824</v>
      </c>
      <c r="D124" s="63" t="s">
        <v>126</v>
      </c>
      <c r="E124" s="63" t="s">
        <v>408</v>
      </c>
      <c r="F124" s="63" t="s">
        <v>21</v>
      </c>
      <c r="G124" s="29" t="s">
        <v>483</v>
      </c>
      <c r="H124" s="119" t="s">
        <v>484</v>
      </c>
      <c r="I124" s="119"/>
      <c r="J124" s="119"/>
      <c r="K124" s="119"/>
      <c r="L124" s="119"/>
      <c r="Q124" s="62"/>
      <c r="R124" s="62"/>
      <c r="S124" s="62"/>
      <c r="T124" s="62"/>
      <c r="U124" s="62"/>
      <c r="V124" s="62"/>
      <c r="W124" s="62"/>
    </row>
    <row r="125" spans="1:23" s="63" customFormat="1" ht="18" customHeight="1" x14ac:dyDescent="0.2">
      <c r="A125" s="90">
        <v>43000</v>
      </c>
      <c r="B125" s="47" t="s">
        <v>482</v>
      </c>
      <c r="C125" s="48">
        <f t="shared" si="4"/>
        <v>0.78642522525042979</v>
      </c>
      <c r="D125" s="63" t="s">
        <v>126</v>
      </c>
      <c r="E125" s="63" t="s">
        <v>408</v>
      </c>
      <c r="F125" s="63" t="s">
        <v>21</v>
      </c>
      <c r="G125" s="29" t="s">
        <v>483</v>
      </c>
      <c r="H125" s="119" t="s">
        <v>484</v>
      </c>
      <c r="I125" s="119"/>
      <c r="J125" s="119"/>
      <c r="K125" s="119"/>
      <c r="L125" s="119"/>
      <c r="Q125" s="62"/>
      <c r="R125" s="62"/>
      <c r="S125" s="62"/>
      <c r="T125" s="62"/>
      <c r="U125" s="62"/>
      <c r="V125" s="62"/>
      <c r="W125" s="62"/>
    </row>
    <row r="126" spans="1:23" s="63" customFormat="1" ht="18" customHeight="1" x14ac:dyDescent="0.2">
      <c r="A126" s="90">
        <v>44000</v>
      </c>
      <c r="B126" s="47" t="s">
        <v>482</v>
      </c>
      <c r="C126" s="48">
        <f t="shared" si="4"/>
        <v>1.1606789537793323</v>
      </c>
      <c r="D126" s="63" t="s">
        <v>126</v>
      </c>
      <c r="E126" s="63" t="s">
        <v>408</v>
      </c>
      <c r="F126" s="63" t="s">
        <v>21</v>
      </c>
      <c r="G126" s="29" t="s">
        <v>483</v>
      </c>
      <c r="H126" s="119" t="s">
        <v>484</v>
      </c>
      <c r="I126" s="119"/>
      <c r="J126" s="119"/>
      <c r="K126" s="119"/>
      <c r="L126" s="119"/>
      <c r="Q126" s="62"/>
      <c r="R126" s="62"/>
      <c r="S126" s="62"/>
      <c r="T126" s="62"/>
      <c r="U126" s="62"/>
      <c r="V126" s="62"/>
      <c r="W126" s="62"/>
    </row>
    <row r="127" spans="1:23" ht="18" customHeight="1" x14ac:dyDescent="0.2">
      <c r="A127" s="90">
        <v>45000</v>
      </c>
      <c r="B127" s="47" t="s">
        <v>482</v>
      </c>
      <c r="C127" s="48">
        <f t="shared" si="4"/>
        <v>1.5349602044443671</v>
      </c>
      <c r="D127" s="63" t="s">
        <v>126</v>
      </c>
      <c r="E127" s="63" t="s">
        <v>408</v>
      </c>
      <c r="F127" s="63" t="s">
        <v>21</v>
      </c>
      <c r="G127" s="29" t="s">
        <v>483</v>
      </c>
      <c r="H127" s="119" t="s">
        <v>484</v>
      </c>
      <c r="I127" s="119"/>
      <c r="J127" s="119"/>
      <c r="K127" s="119"/>
      <c r="L127" s="119"/>
      <c r="Q127"/>
      <c r="R127"/>
      <c r="S127"/>
      <c r="T127"/>
      <c r="U127"/>
      <c r="V127"/>
      <c r="W127"/>
    </row>
    <row r="128" spans="1:23" s="63" customFormat="1" ht="18" customHeight="1" x14ac:dyDescent="0.2">
      <c r="A128" s="90">
        <v>46000</v>
      </c>
      <c r="B128" s="47" t="s">
        <v>482</v>
      </c>
      <c r="C128" s="48">
        <f t="shared" si="4"/>
        <v>1.9092673136663878</v>
      </c>
      <c r="D128" s="63" t="s">
        <v>126</v>
      </c>
      <c r="E128" s="63" t="s">
        <v>408</v>
      </c>
      <c r="F128" s="63" t="s">
        <v>21</v>
      </c>
      <c r="G128" s="29" t="s">
        <v>483</v>
      </c>
      <c r="H128" s="119" t="s">
        <v>484</v>
      </c>
      <c r="I128" s="119"/>
      <c r="J128" s="119"/>
      <c r="K128" s="119"/>
      <c r="L128" s="119"/>
      <c r="Q128" s="62"/>
      <c r="R128" s="62"/>
      <c r="S128" s="62"/>
      <c r="T128" s="62"/>
      <c r="U128" s="62"/>
      <c r="V128" s="62"/>
      <c r="W128" s="62"/>
    </row>
    <row r="129" spans="1:23" s="63" customFormat="1" ht="18" customHeight="1" x14ac:dyDescent="0.2">
      <c r="A129" s="90">
        <v>47000</v>
      </c>
      <c r="B129" s="47" t="s">
        <v>482</v>
      </c>
      <c r="C129" s="48">
        <f t="shared" si="4"/>
        <v>2.2835983468136396</v>
      </c>
      <c r="D129" s="63" t="s">
        <v>126</v>
      </c>
      <c r="E129" s="63" t="s">
        <v>408</v>
      </c>
      <c r="F129" s="63" t="s">
        <v>21</v>
      </c>
      <c r="G129" s="29" t="s">
        <v>483</v>
      </c>
      <c r="H129" s="119" t="s">
        <v>484</v>
      </c>
      <c r="I129" s="119"/>
      <c r="J129" s="119"/>
      <c r="K129" s="119"/>
      <c r="L129" s="119"/>
      <c r="Q129" s="62"/>
      <c r="R129" s="62"/>
      <c r="S129" s="62"/>
      <c r="T129" s="62"/>
      <c r="U129" s="62"/>
      <c r="V129" s="62"/>
      <c r="W129" s="62"/>
    </row>
    <row r="130" spans="1:23" s="63" customFormat="1" ht="18" customHeight="1" x14ac:dyDescent="0.2">
      <c r="A130" s="90">
        <v>48000</v>
      </c>
      <c r="B130" s="47" t="s">
        <v>482</v>
      </c>
      <c r="C130" s="48">
        <f t="shared" si="4"/>
        <v>2.6579513692543637</v>
      </c>
      <c r="D130" s="63" t="s">
        <v>126</v>
      </c>
      <c r="E130" s="63" t="s">
        <v>408</v>
      </c>
      <c r="F130" s="63" t="s">
        <v>21</v>
      </c>
      <c r="G130" s="29" t="s">
        <v>483</v>
      </c>
      <c r="H130" s="119" t="s">
        <v>484</v>
      </c>
      <c r="I130" s="119"/>
      <c r="J130" s="119"/>
      <c r="K130" s="119"/>
      <c r="L130" s="119"/>
      <c r="Q130" s="62"/>
      <c r="R130" s="62"/>
      <c r="S130" s="62"/>
      <c r="T130" s="62"/>
      <c r="U130" s="62"/>
      <c r="V130" s="62"/>
      <c r="W130" s="62"/>
    </row>
    <row r="131" spans="1:23" s="63" customFormat="1" ht="18" customHeight="1" x14ac:dyDescent="0.2">
      <c r="A131" s="90">
        <v>49000</v>
      </c>
      <c r="B131" s="47" t="s">
        <v>482</v>
      </c>
      <c r="C131" s="48">
        <f t="shared" si="4"/>
        <v>3.0323254912621196</v>
      </c>
      <c r="D131" s="63" t="s">
        <v>126</v>
      </c>
      <c r="E131" s="63" t="s">
        <v>408</v>
      </c>
      <c r="F131" s="63" t="s">
        <v>21</v>
      </c>
      <c r="G131" s="29" t="s">
        <v>483</v>
      </c>
      <c r="H131" s="119" t="s">
        <v>484</v>
      </c>
      <c r="I131" s="119"/>
      <c r="J131" s="119"/>
      <c r="K131" s="119"/>
      <c r="L131" s="119"/>
      <c r="Q131" s="62"/>
      <c r="R131" s="62"/>
      <c r="S131" s="62"/>
      <c r="T131" s="62"/>
      <c r="U131" s="62"/>
      <c r="V131" s="62"/>
      <c r="W131" s="62"/>
    </row>
    <row r="132" spans="1:23" s="63" customFormat="1" ht="18" customHeight="1" x14ac:dyDescent="0.2">
      <c r="A132" s="63" t="s">
        <v>561</v>
      </c>
      <c r="B132" s="63" t="s">
        <v>421</v>
      </c>
      <c r="C132" s="36">
        <f t="shared" ref="C132:C140" si="5">C96/C114</f>
        <v>2.672438651362385</v>
      </c>
      <c r="D132" s="63" t="s">
        <v>126</v>
      </c>
      <c r="E132" s="63" t="s">
        <v>422</v>
      </c>
      <c r="F132" s="63" t="s">
        <v>21</v>
      </c>
      <c r="G132" s="29" t="s">
        <v>423</v>
      </c>
      <c r="H132" s="99" t="s">
        <v>424</v>
      </c>
      <c r="I132" s="99"/>
      <c r="J132" s="99"/>
      <c r="K132" s="99"/>
      <c r="L132" s="99"/>
      <c r="Q132" s="62"/>
      <c r="R132" s="62"/>
      <c r="S132" s="62"/>
      <c r="T132" s="62"/>
      <c r="U132" s="62"/>
      <c r="V132" s="62"/>
      <c r="W132" s="62"/>
    </row>
    <row r="133" spans="1:23" s="63" customFormat="1" ht="18" customHeight="1" x14ac:dyDescent="0.2">
      <c r="A133" s="90">
        <v>42000</v>
      </c>
      <c r="B133" s="63" t="s">
        <v>421</v>
      </c>
      <c r="C133" s="36">
        <f t="shared" si="5"/>
        <v>2.672438651362385</v>
      </c>
      <c r="D133" s="63" t="s">
        <v>126</v>
      </c>
      <c r="E133" s="63" t="s">
        <v>422</v>
      </c>
      <c r="F133" s="63" t="s">
        <v>21</v>
      </c>
      <c r="G133" s="29" t="s">
        <v>423</v>
      </c>
      <c r="H133" s="99" t="s">
        <v>424</v>
      </c>
      <c r="I133" s="99"/>
      <c r="J133" s="99"/>
      <c r="K133" s="99"/>
      <c r="L133" s="99"/>
      <c r="Q133" s="62"/>
      <c r="R133" s="62"/>
      <c r="S133" s="62"/>
      <c r="T133" s="62"/>
      <c r="U133" s="62"/>
      <c r="V133" s="62"/>
      <c r="W133" s="62"/>
    </row>
    <row r="134" spans="1:23" s="63" customFormat="1" ht="18" customHeight="1" x14ac:dyDescent="0.2">
      <c r="A134" s="90">
        <v>43000</v>
      </c>
      <c r="B134" s="63" t="s">
        <v>421</v>
      </c>
      <c r="C134" s="36">
        <f t="shared" si="5"/>
        <v>2.6723239751719565</v>
      </c>
      <c r="D134" s="63" t="s">
        <v>126</v>
      </c>
      <c r="E134" s="63" t="s">
        <v>422</v>
      </c>
      <c r="F134" s="63" t="s">
        <v>21</v>
      </c>
      <c r="G134" s="29" t="s">
        <v>423</v>
      </c>
      <c r="H134" s="99" t="s">
        <v>424</v>
      </c>
      <c r="I134" s="99"/>
      <c r="J134" s="99"/>
      <c r="K134" s="99"/>
      <c r="L134" s="99"/>
      <c r="Q134" s="62"/>
      <c r="R134" s="62"/>
      <c r="S134" s="62"/>
      <c r="T134" s="62"/>
      <c r="U134" s="62"/>
      <c r="V134" s="62"/>
      <c r="W134" s="62"/>
    </row>
    <row r="135" spans="1:23" s="63" customFormat="1" ht="18" customHeight="1" x14ac:dyDescent="0.2">
      <c r="A135" s="90">
        <v>44000</v>
      </c>
      <c r="B135" s="63" t="s">
        <v>421</v>
      </c>
      <c r="C135" s="36">
        <f t="shared" si="5"/>
        <v>2.6722143741967095</v>
      </c>
      <c r="D135" s="63" t="s">
        <v>126</v>
      </c>
      <c r="E135" s="63" t="s">
        <v>422</v>
      </c>
      <c r="F135" s="63" t="s">
        <v>21</v>
      </c>
      <c r="G135" s="29" t="s">
        <v>423</v>
      </c>
      <c r="H135" s="99" t="s">
        <v>424</v>
      </c>
      <c r="I135" s="99"/>
      <c r="J135" s="99"/>
      <c r="K135" s="99"/>
      <c r="L135" s="99"/>
      <c r="Q135" s="62"/>
      <c r="R135" s="62"/>
      <c r="S135" s="62"/>
      <c r="T135" s="62"/>
      <c r="U135" s="62"/>
      <c r="V135" s="62"/>
      <c r="W135" s="62"/>
    </row>
    <row r="136" spans="1:23" ht="18" customHeight="1" x14ac:dyDescent="0.2">
      <c r="A136" s="90">
        <v>45000</v>
      </c>
      <c r="B136" s="63" t="s">
        <v>421</v>
      </c>
      <c r="C136" s="36">
        <f t="shared" si="5"/>
        <v>2.6721103076424333</v>
      </c>
      <c r="D136" s="63" t="s">
        <v>126</v>
      </c>
      <c r="E136" s="63" t="s">
        <v>422</v>
      </c>
      <c r="F136" s="63" t="s">
        <v>21</v>
      </c>
      <c r="G136" s="29" t="s">
        <v>423</v>
      </c>
      <c r="H136" s="99" t="s">
        <v>424</v>
      </c>
      <c r="I136" s="99"/>
      <c r="J136" s="99"/>
      <c r="K136" s="99"/>
      <c r="L136" s="99"/>
      <c r="Q136"/>
      <c r="R136"/>
      <c r="S136"/>
      <c r="T136"/>
      <c r="U136"/>
      <c r="V136"/>
      <c r="W136"/>
    </row>
    <row r="137" spans="1:23" ht="18" customHeight="1" x14ac:dyDescent="0.2">
      <c r="A137" s="90">
        <v>46000</v>
      </c>
      <c r="B137" s="63" t="s">
        <v>421</v>
      </c>
      <c r="C137" s="36">
        <f t="shared" si="5"/>
        <v>2.6720108533781484</v>
      </c>
      <c r="D137" s="63" t="s">
        <v>126</v>
      </c>
      <c r="E137" s="63" t="s">
        <v>422</v>
      </c>
      <c r="F137" s="63" t="s">
        <v>21</v>
      </c>
      <c r="G137" s="29" t="s">
        <v>423</v>
      </c>
      <c r="H137" s="99" t="s">
        <v>424</v>
      </c>
      <c r="I137" s="99"/>
      <c r="J137" s="99"/>
      <c r="K137" s="99"/>
      <c r="L137" s="99"/>
      <c r="Q137"/>
      <c r="R137"/>
      <c r="S137"/>
      <c r="T137"/>
      <c r="U137"/>
      <c r="V137"/>
      <c r="W137"/>
    </row>
    <row r="138" spans="1:23" ht="18" customHeight="1" x14ac:dyDescent="0.2">
      <c r="A138" s="90">
        <v>47000</v>
      </c>
      <c r="B138" s="63" t="s">
        <v>421</v>
      </c>
      <c r="C138" s="36">
        <f t="shared" si="5"/>
        <v>2.6719160103747743</v>
      </c>
      <c r="D138" s="63" t="s">
        <v>126</v>
      </c>
      <c r="E138" s="63" t="s">
        <v>422</v>
      </c>
      <c r="F138" s="63" t="s">
        <v>21</v>
      </c>
      <c r="G138" s="29" t="s">
        <v>423</v>
      </c>
      <c r="H138" s="99" t="s">
        <v>424</v>
      </c>
      <c r="I138" s="99"/>
      <c r="J138" s="99"/>
      <c r="K138" s="99"/>
      <c r="L138" s="99"/>
      <c r="Q138"/>
      <c r="R138"/>
      <c r="S138"/>
      <c r="T138"/>
      <c r="U138"/>
      <c r="V138"/>
      <c r="W138"/>
    </row>
    <row r="139" spans="1:23" ht="18" customHeight="1" x14ac:dyDescent="0.2">
      <c r="A139" s="90">
        <v>48000</v>
      </c>
      <c r="B139" s="63" t="s">
        <v>421</v>
      </c>
      <c r="C139" s="36">
        <f t="shared" si="5"/>
        <v>2.6718257776510561</v>
      </c>
      <c r="D139" s="63" t="s">
        <v>126</v>
      </c>
      <c r="E139" s="63" t="s">
        <v>422</v>
      </c>
      <c r="F139" s="63" t="s">
        <v>21</v>
      </c>
      <c r="G139" s="29" t="s">
        <v>423</v>
      </c>
      <c r="H139" s="99" t="s">
        <v>424</v>
      </c>
      <c r="I139" s="99"/>
      <c r="J139" s="99"/>
      <c r="K139" s="99"/>
      <c r="L139" s="99"/>
      <c r="Q139"/>
      <c r="R139"/>
      <c r="S139"/>
      <c r="T139"/>
      <c r="U139"/>
      <c r="V139"/>
      <c r="W139"/>
    </row>
    <row r="140" spans="1:23" ht="18" customHeight="1" x14ac:dyDescent="0.2">
      <c r="A140" s="90">
        <v>49000</v>
      </c>
      <c r="B140" s="63" t="s">
        <v>421</v>
      </c>
      <c r="C140" s="36">
        <f t="shared" si="5"/>
        <v>2.6717392336218748</v>
      </c>
      <c r="D140" s="63" t="s">
        <v>126</v>
      </c>
      <c r="E140" s="63" t="s">
        <v>422</v>
      </c>
      <c r="F140" s="63" t="s">
        <v>21</v>
      </c>
      <c r="G140" s="29" t="s">
        <v>423</v>
      </c>
      <c r="H140" s="99" t="s">
        <v>424</v>
      </c>
      <c r="I140" s="99"/>
      <c r="J140" s="99"/>
      <c r="K140" s="99"/>
      <c r="L140" s="99"/>
      <c r="Q140"/>
      <c r="R140"/>
      <c r="S140"/>
      <c r="T140"/>
      <c r="U140"/>
      <c r="V140"/>
      <c r="W140"/>
    </row>
    <row r="141" spans="1:23" ht="18" customHeight="1" x14ac:dyDescent="0.2">
      <c r="A141" s="63" t="s">
        <v>426</v>
      </c>
      <c r="B141" s="63" t="s">
        <v>427</v>
      </c>
      <c r="C141" s="36">
        <f>C132</f>
        <v>2.672438651362385</v>
      </c>
      <c r="D141" s="63" t="s">
        <v>126</v>
      </c>
      <c r="E141" s="63" t="s">
        <v>422</v>
      </c>
      <c r="F141" s="63" t="s">
        <v>21</v>
      </c>
      <c r="G141" s="29" t="s">
        <v>428</v>
      </c>
      <c r="H141" s="99" t="s">
        <v>429</v>
      </c>
      <c r="I141" s="99"/>
      <c r="J141" s="99"/>
      <c r="K141" s="99"/>
      <c r="L141" s="99"/>
      <c r="Q141"/>
      <c r="R141"/>
      <c r="S141"/>
      <c r="T141"/>
      <c r="U141"/>
      <c r="V141"/>
      <c r="W141"/>
    </row>
    <row r="142" spans="1:23" ht="18" customHeight="1" x14ac:dyDescent="0.2">
      <c r="A142" s="90">
        <v>42000</v>
      </c>
      <c r="B142" s="63" t="s">
        <v>427</v>
      </c>
      <c r="C142" s="36">
        <f t="shared" ref="C142:C149" si="6">C133</f>
        <v>2.672438651362385</v>
      </c>
      <c r="D142" s="63" t="s">
        <v>126</v>
      </c>
      <c r="E142" s="63" t="s">
        <v>422</v>
      </c>
      <c r="F142" s="63" t="s">
        <v>21</v>
      </c>
      <c r="G142" s="29" t="s">
        <v>428</v>
      </c>
      <c r="H142" s="99" t="s">
        <v>429</v>
      </c>
      <c r="I142" s="99"/>
      <c r="J142" s="99"/>
      <c r="K142" s="99"/>
      <c r="L142" s="99"/>
      <c r="Q142"/>
      <c r="R142"/>
      <c r="S142"/>
      <c r="T142"/>
      <c r="U142"/>
      <c r="V142"/>
      <c r="W142"/>
    </row>
    <row r="143" spans="1:23" ht="18" customHeight="1" x14ac:dyDescent="0.2">
      <c r="A143" s="90">
        <v>43000</v>
      </c>
      <c r="B143" s="63" t="s">
        <v>427</v>
      </c>
      <c r="C143" s="36">
        <f t="shared" si="6"/>
        <v>2.6723239751719565</v>
      </c>
      <c r="D143" s="63" t="s">
        <v>126</v>
      </c>
      <c r="E143" s="63" t="s">
        <v>422</v>
      </c>
      <c r="F143" s="63" t="s">
        <v>21</v>
      </c>
      <c r="G143" s="29" t="s">
        <v>428</v>
      </c>
      <c r="H143" s="99" t="s">
        <v>429</v>
      </c>
      <c r="I143" s="99"/>
      <c r="J143" s="99"/>
      <c r="K143" s="99"/>
      <c r="L143" s="99"/>
      <c r="Q143"/>
      <c r="R143"/>
      <c r="S143"/>
      <c r="T143"/>
      <c r="U143"/>
      <c r="V143"/>
      <c r="W143"/>
    </row>
    <row r="144" spans="1:23" ht="18" customHeight="1" x14ac:dyDescent="0.2">
      <c r="A144" s="90">
        <v>44000</v>
      </c>
      <c r="B144" s="63" t="s">
        <v>427</v>
      </c>
      <c r="C144" s="36">
        <f t="shared" si="6"/>
        <v>2.6722143741967095</v>
      </c>
      <c r="D144" s="63" t="s">
        <v>126</v>
      </c>
      <c r="E144" s="63" t="s">
        <v>422</v>
      </c>
      <c r="F144" s="63" t="s">
        <v>21</v>
      </c>
      <c r="G144" s="29" t="s">
        <v>428</v>
      </c>
      <c r="H144" s="99" t="s">
        <v>429</v>
      </c>
      <c r="I144" s="99"/>
      <c r="J144" s="99"/>
      <c r="K144" s="99"/>
      <c r="L144" s="99"/>
      <c r="Q144"/>
      <c r="R144"/>
      <c r="S144"/>
      <c r="T144"/>
      <c r="U144"/>
      <c r="V144"/>
      <c r="W144"/>
    </row>
    <row r="145" spans="1:81" ht="18" customHeight="1" x14ac:dyDescent="0.2">
      <c r="A145" s="90">
        <v>45000</v>
      </c>
      <c r="B145" s="63" t="s">
        <v>427</v>
      </c>
      <c r="C145" s="36">
        <f t="shared" si="6"/>
        <v>2.6721103076424333</v>
      </c>
      <c r="D145" s="63" t="s">
        <v>126</v>
      </c>
      <c r="E145" s="63" t="s">
        <v>422</v>
      </c>
      <c r="F145" s="63" t="s">
        <v>21</v>
      </c>
      <c r="G145" s="29" t="s">
        <v>428</v>
      </c>
      <c r="H145" s="99" t="s">
        <v>429</v>
      </c>
      <c r="I145" s="99"/>
      <c r="J145" s="99"/>
      <c r="K145" s="99"/>
      <c r="L145" s="99"/>
      <c r="Q145"/>
      <c r="R145"/>
      <c r="S145"/>
      <c r="T145"/>
      <c r="U145"/>
      <c r="V145"/>
      <c r="W145"/>
    </row>
    <row r="146" spans="1:81" ht="18" customHeight="1" x14ac:dyDescent="0.2">
      <c r="A146" s="90">
        <v>46000</v>
      </c>
      <c r="B146" s="63" t="s">
        <v>427</v>
      </c>
      <c r="C146" s="36">
        <f t="shared" si="6"/>
        <v>2.6720108533781484</v>
      </c>
      <c r="D146" s="63" t="s">
        <v>126</v>
      </c>
      <c r="E146" s="63" t="s">
        <v>422</v>
      </c>
      <c r="F146" s="63" t="s">
        <v>21</v>
      </c>
      <c r="G146" s="29" t="s">
        <v>428</v>
      </c>
      <c r="H146" s="99" t="s">
        <v>429</v>
      </c>
      <c r="I146" s="99"/>
      <c r="J146" s="99"/>
      <c r="K146" s="99"/>
      <c r="L146" s="99"/>
      <c r="Q146"/>
      <c r="R146"/>
      <c r="S146"/>
      <c r="T146"/>
      <c r="U146"/>
      <c r="V146"/>
      <c r="W146"/>
    </row>
    <row r="147" spans="1:81" ht="18" customHeight="1" x14ac:dyDescent="0.2">
      <c r="A147" s="90">
        <v>47000</v>
      </c>
      <c r="B147" s="63" t="s">
        <v>427</v>
      </c>
      <c r="C147" s="36">
        <f t="shared" si="6"/>
        <v>2.6719160103747743</v>
      </c>
      <c r="D147" s="63" t="s">
        <v>126</v>
      </c>
      <c r="E147" s="63" t="s">
        <v>422</v>
      </c>
      <c r="F147" s="63" t="s">
        <v>21</v>
      </c>
      <c r="G147" s="29" t="s">
        <v>428</v>
      </c>
      <c r="H147" s="99" t="s">
        <v>429</v>
      </c>
      <c r="I147" s="99"/>
      <c r="J147" s="99"/>
      <c r="K147" s="99"/>
      <c r="L147" s="99"/>
      <c r="Q147"/>
      <c r="R147"/>
      <c r="S147"/>
      <c r="T147"/>
      <c r="U147"/>
      <c r="V147"/>
      <c r="W147"/>
    </row>
    <row r="148" spans="1:81" ht="18" customHeight="1" x14ac:dyDescent="0.2">
      <c r="A148" s="90">
        <v>48000</v>
      </c>
      <c r="B148" s="63" t="s">
        <v>427</v>
      </c>
      <c r="C148" s="36">
        <f t="shared" si="6"/>
        <v>2.6718257776510561</v>
      </c>
      <c r="D148" s="63" t="s">
        <v>126</v>
      </c>
      <c r="E148" s="63" t="s">
        <v>422</v>
      </c>
      <c r="F148" s="63" t="s">
        <v>21</v>
      </c>
      <c r="G148" s="29" t="s">
        <v>428</v>
      </c>
      <c r="H148" s="99" t="s">
        <v>429</v>
      </c>
      <c r="I148" s="99"/>
      <c r="J148" s="99"/>
      <c r="K148" s="99"/>
      <c r="L148" s="99"/>
      <c r="Q148"/>
      <c r="R148"/>
      <c r="S148"/>
      <c r="T148"/>
      <c r="U148"/>
      <c r="V148"/>
      <c r="W148"/>
    </row>
    <row r="149" spans="1:81" ht="18" customHeight="1" x14ac:dyDescent="0.2">
      <c r="A149" s="90">
        <v>49000</v>
      </c>
      <c r="B149" s="63" t="s">
        <v>427</v>
      </c>
      <c r="C149" s="36">
        <f t="shared" si="6"/>
        <v>2.6717392336218748</v>
      </c>
      <c r="D149" s="63" t="s">
        <v>126</v>
      </c>
      <c r="E149" s="63" t="s">
        <v>422</v>
      </c>
      <c r="F149" s="63" t="s">
        <v>21</v>
      </c>
      <c r="G149" s="29" t="s">
        <v>428</v>
      </c>
      <c r="H149" s="99" t="s">
        <v>429</v>
      </c>
      <c r="I149" s="99"/>
      <c r="J149" s="99"/>
      <c r="K149" s="99"/>
      <c r="L149" s="99"/>
      <c r="Q149"/>
      <c r="R149"/>
      <c r="S149"/>
      <c r="T149"/>
      <c r="U149"/>
      <c r="V149"/>
      <c r="W149"/>
    </row>
    <row r="150" spans="1:81" ht="18" customHeight="1" x14ac:dyDescent="0.2">
      <c r="A150" s="65" t="s">
        <v>430</v>
      </c>
      <c r="B150" s="63" t="s">
        <v>431</v>
      </c>
      <c r="C150" s="36">
        <f>$C$7/C114</f>
        <v>1.8650028849262994</v>
      </c>
      <c r="D150" s="63" t="s">
        <v>126</v>
      </c>
      <c r="E150" s="63" t="s">
        <v>432</v>
      </c>
      <c r="F150" s="63" t="s">
        <v>21</v>
      </c>
      <c r="G150" s="29" t="s">
        <v>433</v>
      </c>
      <c r="H150" s="99" t="s">
        <v>434</v>
      </c>
      <c r="I150" s="99"/>
      <c r="J150" s="99"/>
      <c r="K150" s="99"/>
      <c r="L150" s="99"/>
      <c r="Q150"/>
      <c r="R150"/>
      <c r="S150"/>
      <c r="T150"/>
      <c r="U150"/>
      <c r="V150"/>
      <c r="W150"/>
    </row>
    <row r="151" spans="1:81" ht="18" customHeight="1" x14ac:dyDescent="0.2">
      <c r="A151" s="63" t="s">
        <v>435</v>
      </c>
      <c r="B151" s="63" t="s">
        <v>436</v>
      </c>
      <c r="C151" s="36">
        <f>2*'Stability Constants'!$C$13*('Stability Constants'!$C$4-'Stability Constants'!$C$3)*'Stability Constants'!$C$14*'Supersonic Stability'!C114</f>
        <v>79765.796365346658</v>
      </c>
      <c r="D151" s="63" t="s">
        <v>126</v>
      </c>
      <c r="E151" s="63" t="s">
        <v>225</v>
      </c>
      <c r="F151" s="63" t="s">
        <v>21</v>
      </c>
      <c r="G151" s="29" t="s">
        <v>438</v>
      </c>
      <c r="H151" s="99" t="s">
        <v>439</v>
      </c>
      <c r="I151" s="99"/>
      <c r="J151" s="99"/>
      <c r="K151" s="99"/>
      <c r="L151" s="99"/>
      <c r="Q151"/>
      <c r="R151"/>
      <c r="S151"/>
      <c r="T151"/>
      <c r="U151"/>
      <c r="V151"/>
      <c r="W151"/>
      <c r="CC151" s="49">
        <v>-335544.32000000001</v>
      </c>
    </row>
    <row r="152" spans="1:81" ht="18" customHeight="1" x14ac:dyDescent="0.2">
      <c r="A152" s="90">
        <v>42000</v>
      </c>
      <c r="B152" s="63" t="s">
        <v>436</v>
      </c>
      <c r="C152" s="36">
        <f>2*'Stability Constants'!$C$13*('Stability Constants'!$C$4-'Stability Constants'!$C$3)*'Stability Constants'!$C$14*'Supersonic Stability'!C115</f>
        <v>79765.796365346658</v>
      </c>
      <c r="D152" s="63" t="s">
        <v>126</v>
      </c>
      <c r="E152" s="63" t="s">
        <v>225</v>
      </c>
      <c r="F152" s="63" t="s">
        <v>21</v>
      </c>
      <c r="G152" s="29" t="s">
        <v>438</v>
      </c>
      <c r="H152" s="99" t="s">
        <v>439</v>
      </c>
      <c r="I152" s="99"/>
      <c r="J152" s="99"/>
      <c r="K152" s="99"/>
      <c r="L152" s="99"/>
      <c r="Q152"/>
      <c r="R152"/>
      <c r="S152"/>
      <c r="T152"/>
      <c r="U152"/>
      <c r="V152"/>
      <c r="W152"/>
    </row>
    <row r="153" spans="1:81" ht="18" customHeight="1" x14ac:dyDescent="0.2">
      <c r="A153" s="90">
        <v>43000</v>
      </c>
      <c r="B153" s="63" t="s">
        <v>436</v>
      </c>
      <c r="C153" s="36">
        <f>2*'Stability Constants'!$C$13*('Stability Constants'!$C$4-'Stability Constants'!$C$3)*'Stability Constants'!$C$14*'Supersonic Stability'!C116</f>
        <v>83673.786962703962</v>
      </c>
      <c r="D153" s="63" t="s">
        <v>126</v>
      </c>
      <c r="E153" s="63" t="s">
        <v>225</v>
      </c>
      <c r="F153" s="63" t="s">
        <v>21</v>
      </c>
      <c r="G153" s="29" t="s">
        <v>438</v>
      </c>
      <c r="H153" s="99" t="s">
        <v>439</v>
      </c>
      <c r="I153" s="99"/>
      <c r="J153" s="99"/>
      <c r="K153" s="99"/>
      <c r="L153" s="99"/>
      <c r="Q153"/>
      <c r="R153"/>
      <c r="S153"/>
      <c r="T153"/>
      <c r="U153"/>
      <c r="V153"/>
      <c r="W153"/>
    </row>
    <row r="154" spans="1:81" ht="18" customHeight="1" x14ac:dyDescent="0.2">
      <c r="A154" s="90">
        <v>44000</v>
      </c>
      <c r="B154" s="63" t="s">
        <v>436</v>
      </c>
      <c r="C154" s="36">
        <f>2*'Stability Constants'!$C$13*('Stability Constants'!$C$4-'Stability Constants'!$C$3)*'Stability Constants'!$C$14*'Supersonic Stability'!C117</f>
        <v>87784.287950316735</v>
      </c>
      <c r="D154" s="63" t="s">
        <v>126</v>
      </c>
      <c r="E154" s="63" t="s">
        <v>225</v>
      </c>
      <c r="F154" s="63" t="s">
        <v>21</v>
      </c>
      <c r="G154" s="29" t="s">
        <v>438</v>
      </c>
      <c r="H154" s="99" t="s">
        <v>439</v>
      </c>
      <c r="I154" s="99"/>
      <c r="J154" s="99"/>
      <c r="K154" s="99"/>
      <c r="L154" s="99"/>
      <c r="Q154"/>
      <c r="R154"/>
      <c r="S154"/>
      <c r="T154"/>
      <c r="U154"/>
      <c r="V154"/>
      <c r="W154"/>
    </row>
    <row r="155" spans="1:81" ht="18" customHeight="1" x14ac:dyDescent="0.2">
      <c r="A155" s="90">
        <v>45000</v>
      </c>
      <c r="B155" s="63" t="s">
        <v>436</v>
      </c>
      <c r="C155" s="36">
        <f>2*'Stability Constants'!$C$13*('Stability Constants'!$C$4-'Stability Constants'!$C$3)*'Stability Constants'!$C$14*'Supersonic Stability'!C118</f>
        <v>92079.296999354439</v>
      </c>
      <c r="D155" s="63" t="s">
        <v>126</v>
      </c>
      <c r="E155" s="63" t="s">
        <v>225</v>
      </c>
      <c r="F155" s="63" t="s">
        <v>21</v>
      </c>
      <c r="G155" s="29" t="s">
        <v>438</v>
      </c>
      <c r="H155" s="99" t="s">
        <v>439</v>
      </c>
      <c r="I155" s="99"/>
      <c r="J155" s="99"/>
      <c r="K155" s="99"/>
      <c r="L155" s="99"/>
      <c r="Q155"/>
      <c r="R155"/>
      <c r="S155"/>
      <c r="T155"/>
      <c r="U155"/>
      <c r="V155"/>
      <c r="W155"/>
    </row>
    <row r="156" spans="1:81" ht="18" customHeight="1" x14ac:dyDescent="0.2">
      <c r="A156" s="90">
        <v>46000</v>
      </c>
      <c r="B156" s="63" t="s">
        <v>436</v>
      </c>
      <c r="C156" s="36">
        <f>2*'Stability Constants'!$C$13*('Stability Constants'!$C$4-'Stability Constants'!$C$3)*'Stability Constants'!$C$14*'Supersonic Stability'!C119</f>
        <v>96595.96874424268</v>
      </c>
      <c r="D156" s="63" t="s">
        <v>126</v>
      </c>
      <c r="E156" s="63" t="s">
        <v>225</v>
      </c>
      <c r="F156" s="63" t="s">
        <v>21</v>
      </c>
      <c r="G156" s="29" t="s">
        <v>438</v>
      </c>
      <c r="H156" s="99" t="s">
        <v>439</v>
      </c>
      <c r="I156" s="99"/>
      <c r="J156" s="99"/>
      <c r="K156" s="99"/>
      <c r="L156" s="99"/>
      <c r="Q156"/>
      <c r="R156"/>
      <c r="S156"/>
      <c r="T156"/>
      <c r="U156"/>
      <c r="V156"/>
      <c r="W156"/>
    </row>
    <row r="157" spans="1:81" ht="18" customHeight="1" x14ac:dyDescent="0.2">
      <c r="A157" s="90">
        <v>47000</v>
      </c>
      <c r="B157" s="63" t="s">
        <v>436</v>
      </c>
      <c r="C157" s="36">
        <f>2*'Stability Constants'!$C$13*('Stability Constants'!$C$4-'Stability Constants'!$C$3)*'Stability Constants'!$C$14*'Supersonic Stability'!C120</f>
        <v>101336.24017011942</v>
      </c>
      <c r="D157" s="63" t="s">
        <v>126</v>
      </c>
      <c r="E157" s="63" t="s">
        <v>225</v>
      </c>
      <c r="F157" s="63" t="s">
        <v>21</v>
      </c>
      <c r="G157" s="29" t="s">
        <v>438</v>
      </c>
      <c r="H157" s="99" t="s">
        <v>439</v>
      </c>
      <c r="I157" s="99"/>
      <c r="J157" s="99"/>
      <c r="K157" s="99"/>
      <c r="L157" s="99"/>
      <c r="Q157"/>
      <c r="R157"/>
      <c r="S157"/>
      <c r="T157"/>
      <c r="U157"/>
      <c r="V157"/>
      <c r="W157"/>
    </row>
    <row r="158" spans="1:81" ht="18" customHeight="1" x14ac:dyDescent="0.2">
      <c r="A158" s="90">
        <v>48000</v>
      </c>
      <c r="B158" s="63" t="s">
        <v>436</v>
      </c>
      <c r="C158" s="36">
        <f>2*'Stability Constants'!$C$13*('Stability Constants'!$C$4-'Stability Constants'!$C$3)*'Stability Constants'!$C$14*'Supersonic Stability'!C121</f>
        <v>106299.10664778984</v>
      </c>
      <c r="D158" s="63" t="s">
        <v>126</v>
      </c>
      <c r="E158" s="63" t="s">
        <v>225</v>
      </c>
      <c r="F158" s="63" t="s">
        <v>21</v>
      </c>
      <c r="G158" s="29" t="s">
        <v>438</v>
      </c>
      <c r="H158" s="99" t="s">
        <v>439</v>
      </c>
      <c r="I158" s="99"/>
      <c r="J158" s="99"/>
      <c r="K158" s="99"/>
      <c r="L158" s="99"/>
      <c r="Q158"/>
      <c r="R158"/>
      <c r="S158"/>
      <c r="T158"/>
      <c r="U158"/>
      <c r="V158"/>
      <c r="W158"/>
    </row>
    <row r="159" spans="1:81" ht="18" customHeight="1" x14ac:dyDescent="0.2">
      <c r="A159" s="90">
        <v>49000</v>
      </c>
      <c r="B159" s="63" t="s">
        <v>436</v>
      </c>
      <c r="C159" s="36">
        <f>2*'Stability Constants'!$C$13*('Stability Constants'!$C$4-'Stability Constants'!$C$3)*'Stability Constants'!$C$14*'Supersonic Stability'!C122</f>
        <v>111538.30559886577</v>
      </c>
      <c r="D159" s="63" t="s">
        <v>126</v>
      </c>
      <c r="E159" s="63" t="s">
        <v>225</v>
      </c>
      <c r="F159" s="63" t="s">
        <v>21</v>
      </c>
      <c r="G159" s="29" t="s">
        <v>438</v>
      </c>
      <c r="H159" s="99" t="s">
        <v>439</v>
      </c>
      <c r="I159" s="99"/>
      <c r="J159" s="99"/>
      <c r="K159" s="99"/>
      <c r="L159" s="99"/>
      <c r="Q159"/>
      <c r="R159"/>
      <c r="S159"/>
      <c r="T159"/>
      <c r="U159"/>
      <c r="V159"/>
      <c r="W159"/>
    </row>
    <row r="160" spans="1:81" ht="18" customHeight="1" x14ac:dyDescent="0.2">
      <c r="A160" s="63" t="s">
        <v>440</v>
      </c>
      <c r="B160" s="63" t="s">
        <v>441</v>
      </c>
      <c r="C160" s="36">
        <f>2*'Stability Constants'!$C$13*('Stability Constants'!$C$6-'Stability Constants'!$C$5)*'Stability Constants'!$C$15*'Supersonic Stability'!C114</f>
        <v>49900.208887971123</v>
      </c>
      <c r="D160" s="63" t="s">
        <v>126</v>
      </c>
      <c r="E160" s="63" t="s">
        <v>225</v>
      </c>
      <c r="F160" s="63" t="s">
        <v>21</v>
      </c>
      <c r="G160" s="29" t="s">
        <v>443</v>
      </c>
      <c r="H160" s="99" t="s">
        <v>439</v>
      </c>
      <c r="I160" s="99"/>
      <c r="J160" s="99"/>
      <c r="K160" s="99"/>
      <c r="L160" s="99"/>
      <c r="Q160"/>
      <c r="R160"/>
      <c r="S160"/>
      <c r="T160"/>
      <c r="U160"/>
      <c r="V160"/>
      <c r="W160"/>
    </row>
    <row r="161" spans="1:23" ht="18" customHeight="1" x14ac:dyDescent="0.2">
      <c r="A161" s="90">
        <v>42000</v>
      </c>
      <c r="B161" s="63" t="s">
        <v>441</v>
      </c>
      <c r="C161" s="36">
        <f>2*'Stability Constants'!$C$13*('Stability Constants'!$C$6-'Stability Constants'!$C$5)*'Stability Constants'!$C$15*'Supersonic Stability'!C115</f>
        <v>49900.208887971123</v>
      </c>
      <c r="D161" s="63" t="s">
        <v>126</v>
      </c>
      <c r="E161" s="63" t="s">
        <v>225</v>
      </c>
      <c r="F161" s="63" t="s">
        <v>21</v>
      </c>
      <c r="G161" s="29" t="s">
        <v>443</v>
      </c>
      <c r="H161" s="99" t="s">
        <v>439</v>
      </c>
      <c r="I161" s="99"/>
      <c r="J161" s="99"/>
      <c r="K161" s="99"/>
      <c r="L161" s="99"/>
      <c r="Q161"/>
      <c r="R161"/>
      <c r="S161"/>
      <c r="T161"/>
      <c r="U161"/>
      <c r="V161"/>
      <c r="W161"/>
    </row>
    <row r="162" spans="1:23" ht="18" customHeight="1" x14ac:dyDescent="0.2">
      <c r="A162" s="90">
        <v>43000</v>
      </c>
      <c r="B162" s="63" t="s">
        <v>441</v>
      </c>
      <c r="C162" s="36">
        <f>2*'Stability Constants'!$C$13*('Stability Constants'!$C$6-'Stability Constants'!$C$5)*'Stability Constants'!$C$15*'Supersonic Stability'!C116</f>
        <v>52344.985421601719</v>
      </c>
      <c r="D162" s="63" t="s">
        <v>126</v>
      </c>
      <c r="E162" s="63" t="s">
        <v>225</v>
      </c>
      <c r="F162" s="63" t="s">
        <v>21</v>
      </c>
      <c r="G162" s="29" t="s">
        <v>443</v>
      </c>
      <c r="H162" s="99" t="s">
        <v>439</v>
      </c>
      <c r="I162" s="99"/>
      <c r="J162" s="99"/>
      <c r="K162" s="99"/>
      <c r="L162" s="99"/>
      <c r="Q162"/>
      <c r="R162"/>
      <c r="S162"/>
      <c r="T162"/>
      <c r="U162"/>
      <c r="V162"/>
      <c r="W162"/>
    </row>
    <row r="163" spans="1:23" ht="18" customHeight="1" x14ac:dyDescent="0.2">
      <c r="A163" s="90">
        <v>44000</v>
      </c>
      <c r="B163" s="63" t="s">
        <v>441</v>
      </c>
      <c r="C163" s="36">
        <f>2*'Stability Constants'!$C$13*('Stability Constants'!$C$6-'Stability Constants'!$C$5)*'Stability Constants'!$C$15*'Supersonic Stability'!C117</f>
        <v>54916.44922266018</v>
      </c>
      <c r="D163" s="63" t="s">
        <v>126</v>
      </c>
      <c r="E163" s="63" t="s">
        <v>225</v>
      </c>
      <c r="F163" s="63" t="s">
        <v>21</v>
      </c>
      <c r="G163" s="29" t="s">
        <v>443</v>
      </c>
      <c r="H163" s="99" t="s">
        <v>439</v>
      </c>
      <c r="I163" s="99"/>
      <c r="J163" s="99"/>
      <c r="K163" s="99"/>
      <c r="L163" s="99"/>
      <c r="Q163"/>
      <c r="R163"/>
      <c r="S163"/>
      <c r="T163"/>
      <c r="U163"/>
      <c r="V163"/>
      <c r="W163"/>
    </row>
    <row r="164" spans="1:23" ht="18" customHeight="1" x14ac:dyDescent="0.2">
      <c r="A164" s="90">
        <v>45000</v>
      </c>
      <c r="B164" s="63" t="s">
        <v>441</v>
      </c>
      <c r="C164" s="36">
        <f>2*'Stability Constants'!$C$13*('Stability Constants'!$C$6-'Stability Constants'!$C$5)*'Stability Constants'!$C$15*'Supersonic Stability'!C118</f>
        <v>57603.338321605072</v>
      </c>
      <c r="D164" s="63" t="s">
        <v>126</v>
      </c>
      <c r="E164" s="63" t="s">
        <v>225</v>
      </c>
      <c r="F164" s="63" t="s">
        <v>21</v>
      </c>
      <c r="G164" s="29" t="s">
        <v>443</v>
      </c>
      <c r="H164" s="99" t="s">
        <v>439</v>
      </c>
      <c r="I164" s="99"/>
      <c r="J164" s="99"/>
      <c r="K164" s="99"/>
      <c r="L164" s="99"/>
      <c r="Q164"/>
      <c r="R164"/>
      <c r="S164"/>
      <c r="T164"/>
      <c r="U164"/>
      <c r="V164"/>
      <c r="W164"/>
    </row>
    <row r="165" spans="1:23" ht="18" customHeight="1" x14ac:dyDescent="0.2">
      <c r="A165" s="90">
        <v>46000</v>
      </c>
      <c r="B165" s="63" t="s">
        <v>441</v>
      </c>
      <c r="C165" s="36">
        <f>2*'Stability Constants'!$C$13*('Stability Constants'!$C$6-'Stability Constants'!$C$5)*'Stability Constants'!$C$15*'Supersonic Stability'!C119</f>
        <v>60428.896064625791</v>
      </c>
      <c r="D165" s="63" t="s">
        <v>126</v>
      </c>
      <c r="E165" s="63" t="s">
        <v>225</v>
      </c>
      <c r="F165" s="63" t="s">
        <v>21</v>
      </c>
      <c r="G165" s="29" t="s">
        <v>443</v>
      </c>
      <c r="H165" s="99" t="s">
        <v>439</v>
      </c>
      <c r="I165" s="99"/>
      <c r="J165" s="99"/>
      <c r="K165" s="99"/>
      <c r="L165" s="99"/>
      <c r="Q165"/>
      <c r="R165"/>
      <c r="S165"/>
      <c r="T165"/>
      <c r="U165"/>
      <c r="V165"/>
      <c r="W165"/>
    </row>
    <row r="166" spans="1:23" ht="18" customHeight="1" x14ac:dyDescent="0.2">
      <c r="A166" s="90">
        <v>47000</v>
      </c>
      <c r="B166" s="63" t="s">
        <v>441</v>
      </c>
      <c r="C166" s="36">
        <f>2*'Stability Constants'!$C$13*('Stability Constants'!$C$6-'Stability Constants'!$C$5)*'Stability Constants'!$C$15*'Supersonic Stability'!C120</f>
        <v>63394.334198704186</v>
      </c>
      <c r="D166" s="63" t="s">
        <v>126</v>
      </c>
      <c r="E166" s="63" t="s">
        <v>225</v>
      </c>
      <c r="F166" s="63" t="s">
        <v>21</v>
      </c>
      <c r="G166" s="29" t="s">
        <v>443</v>
      </c>
      <c r="H166" s="99" t="s">
        <v>439</v>
      </c>
      <c r="I166" s="99"/>
      <c r="J166" s="99"/>
      <c r="K166" s="99"/>
      <c r="L166" s="99"/>
      <c r="Q166"/>
      <c r="R166"/>
      <c r="S166"/>
      <c r="T166"/>
      <c r="U166"/>
      <c r="V166"/>
      <c r="W166"/>
    </row>
    <row r="167" spans="1:23" ht="18" customHeight="1" x14ac:dyDescent="0.2">
      <c r="A167" s="90">
        <v>48000</v>
      </c>
      <c r="B167" s="63" t="s">
        <v>441</v>
      </c>
      <c r="C167" s="36">
        <f>2*'Stability Constants'!$C$13*('Stability Constants'!$C$6-'Stability Constants'!$C$5)*'Stability Constants'!$C$15*'Supersonic Stability'!C121</f>
        <v>66499.024243853055</v>
      </c>
      <c r="D167" s="63" t="s">
        <v>126</v>
      </c>
      <c r="E167" s="63" t="s">
        <v>225</v>
      </c>
      <c r="F167" s="63" t="s">
        <v>21</v>
      </c>
      <c r="G167" s="29" t="s">
        <v>443</v>
      </c>
      <c r="H167" s="99" t="s">
        <v>439</v>
      </c>
      <c r="I167" s="99"/>
      <c r="J167" s="99"/>
      <c r="K167" s="99"/>
      <c r="L167" s="99"/>
      <c r="Q167"/>
      <c r="R167"/>
      <c r="S167"/>
      <c r="T167"/>
      <c r="U167"/>
      <c r="V167"/>
      <c r="W167"/>
    </row>
    <row r="168" spans="1:23" ht="18" customHeight="1" x14ac:dyDescent="0.2">
      <c r="A168" s="90">
        <v>49000</v>
      </c>
      <c r="B168" s="63" t="s">
        <v>441</v>
      </c>
      <c r="C168" s="36">
        <f>2*'Stability Constants'!$C$13*('Stability Constants'!$C$6-'Stability Constants'!$C$5)*'Stability Constants'!$C$15*'Supersonic Stability'!C122</f>
        <v>69776.583473210994</v>
      </c>
      <c r="D168" s="63" t="s">
        <v>126</v>
      </c>
      <c r="E168" s="63" t="s">
        <v>225</v>
      </c>
      <c r="F168" s="63" t="s">
        <v>21</v>
      </c>
      <c r="G168" s="29" t="s">
        <v>443</v>
      </c>
      <c r="H168" s="99" t="s">
        <v>439</v>
      </c>
      <c r="I168" s="99"/>
      <c r="J168" s="99"/>
      <c r="K168" s="99"/>
      <c r="L168" s="99"/>
      <c r="Q168"/>
      <c r="R168"/>
      <c r="S168"/>
      <c r="T168"/>
      <c r="U168"/>
      <c r="V168"/>
      <c r="W168"/>
    </row>
    <row r="169" spans="1:23" ht="18" customHeight="1" x14ac:dyDescent="0.2">
      <c r="A169" s="112" t="s">
        <v>505</v>
      </c>
      <c r="B169" s="114"/>
      <c r="C169" s="114"/>
      <c r="D169" s="114"/>
      <c r="E169" s="114"/>
      <c r="F169" s="114"/>
      <c r="G169" s="114"/>
      <c r="H169" s="113"/>
      <c r="I169" s="113"/>
      <c r="J169" s="113"/>
      <c r="K169" s="113"/>
      <c r="L169" s="122"/>
      <c r="Q169"/>
      <c r="R169"/>
      <c r="S169"/>
      <c r="T169"/>
      <c r="U169"/>
      <c r="V169"/>
      <c r="W169"/>
    </row>
    <row r="170" spans="1:23" ht="18" customHeight="1" x14ac:dyDescent="0.2">
      <c r="A170" s="23" t="s">
        <v>5</v>
      </c>
      <c r="B170" s="23" t="s">
        <v>97</v>
      </c>
      <c r="C170" s="50" t="s">
        <v>7</v>
      </c>
      <c r="D170" s="50" t="s">
        <v>126</v>
      </c>
      <c r="E170" s="50" t="s">
        <v>8</v>
      </c>
      <c r="F170" s="50" t="s">
        <v>9</v>
      </c>
      <c r="G170" s="31" t="s">
        <v>10</v>
      </c>
      <c r="H170" s="116" t="s">
        <v>11</v>
      </c>
      <c r="I170" s="117"/>
      <c r="J170" s="117"/>
      <c r="K170" s="117"/>
      <c r="L170" s="118"/>
      <c r="Q170"/>
      <c r="R170"/>
      <c r="S170"/>
      <c r="T170"/>
      <c r="U170"/>
      <c r="V170"/>
      <c r="W170"/>
    </row>
    <row r="171" spans="1:23" ht="18" customHeight="1" x14ac:dyDescent="0.2">
      <c r="A171" s="49" t="s">
        <v>380</v>
      </c>
      <c r="B171" s="49" t="s">
        <v>381</v>
      </c>
      <c r="C171" s="36">
        <v>1.8</v>
      </c>
      <c r="D171" s="49" t="s">
        <v>126</v>
      </c>
      <c r="E171" s="49" t="s">
        <v>138</v>
      </c>
      <c r="F171" s="49" t="s">
        <v>488</v>
      </c>
      <c r="G171" s="29" t="s">
        <v>138</v>
      </c>
      <c r="H171" s="120" t="s">
        <v>310</v>
      </c>
      <c r="I171" s="120"/>
      <c r="J171" s="120"/>
      <c r="K171" s="120"/>
      <c r="L171" s="120"/>
      <c r="Q171"/>
      <c r="R171"/>
      <c r="S171"/>
      <c r="T171"/>
      <c r="U171"/>
      <c r="V171"/>
      <c r="W171"/>
    </row>
    <row r="172" spans="1:23" ht="18" customHeight="1" x14ac:dyDescent="0.2">
      <c r="A172" s="49" t="s">
        <v>406</v>
      </c>
      <c r="B172" s="49" t="s">
        <v>407</v>
      </c>
      <c r="C172" s="36">
        <v>0.12130000000000001</v>
      </c>
      <c r="D172" s="49" t="s">
        <v>126</v>
      </c>
      <c r="E172" s="49" t="s">
        <v>138</v>
      </c>
      <c r="F172" s="49" t="s">
        <v>400</v>
      </c>
      <c r="G172" s="29" t="s">
        <v>489</v>
      </c>
      <c r="H172" s="119" t="s">
        <v>490</v>
      </c>
      <c r="I172" s="119"/>
      <c r="J172" s="119"/>
      <c r="K172" s="119"/>
      <c r="L172" s="119"/>
      <c r="Q172"/>
      <c r="R172"/>
      <c r="S172"/>
      <c r="T172"/>
      <c r="U172"/>
      <c r="V172"/>
      <c r="W172"/>
    </row>
    <row r="173" spans="1:23" ht="18" customHeight="1" x14ac:dyDescent="0.2">
      <c r="A173" s="49" t="s">
        <v>448</v>
      </c>
      <c r="B173" s="47" t="s">
        <v>449</v>
      </c>
      <c r="C173" s="48">
        <v>6.7099193143703231E-2</v>
      </c>
      <c r="D173" s="49" t="s">
        <v>126</v>
      </c>
      <c r="E173" s="49" t="s">
        <v>138</v>
      </c>
      <c r="F173" s="49" t="s">
        <v>400</v>
      </c>
      <c r="G173" s="29" t="s">
        <v>138</v>
      </c>
      <c r="H173" s="119" t="s">
        <v>450</v>
      </c>
      <c r="I173" s="119"/>
      <c r="J173" s="119"/>
      <c r="K173" s="119"/>
      <c r="L173" s="119"/>
      <c r="Q173"/>
      <c r="R173"/>
      <c r="S173"/>
      <c r="T173"/>
      <c r="U173"/>
      <c r="V173"/>
      <c r="W173"/>
    </row>
    <row r="174" spans="1:23" ht="18" customHeight="1" x14ac:dyDescent="0.2">
      <c r="A174" s="49" t="s">
        <v>404</v>
      </c>
      <c r="B174" s="49" t="s">
        <v>437</v>
      </c>
      <c r="C174" s="36">
        <f>2.56*PI()/180</f>
        <v>4.4680428851054839E-2</v>
      </c>
      <c r="D174" s="49" t="s">
        <v>126</v>
      </c>
      <c r="E174" s="49" t="s">
        <v>408</v>
      </c>
      <c r="F174" s="49" t="s">
        <v>9</v>
      </c>
      <c r="G174" s="29" t="s">
        <v>138</v>
      </c>
      <c r="H174" s="119" t="s">
        <v>410</v>
      </c>
      <c r="I174" s="119"/>
      <c r="J174" s="119"/>
      <c r="K174" s="119"/>
      <c r="L174" s="119"/>
      <c r="Q174"/>
      <c r="R174"/>
      <c r="S174"/>
      <c r="T174"/>
      <c r="U174"/>
      <c r="V174"/>
      <c r="W174"/>
    </row>
    <row r="175" spans="1:23" ht="18" customHeight="1" x14ac:dyDescent="0.2">
      <c r="A175" s="49" t="s">
        <v>481</v>
      </c>
      <c r="B175" s="47" t="s">
        <v>482</v>
      </c>
      <c r="C175" s="48">
        <f>C173/C177</f>
        <v>2.4715752062822907E-2</v>
      </c>
      <c r="D175" s="49" t="s">
        <v>126</v>
      </c>
      <c r="E175" s="49" t="s">
        <v>408</v>
      </c>
      <c r="F175" s="49" t="s">
        <v>21</v>
      </c>
      <c r="G175" s="29" t="s">
        <v>483</v>
      </c>
      <c r="H175" s="119" t="s">
        <v>484</v>
      </c>
      <c r="I175" s="119"/>
      <c r="J175" s="119"/>
      <c r="K175" s="119"/>
      <c r="L175" s="119"/>
      <c r="Q175"/>
      <c r="R175"/>
      <c r="S175"/>
      <c r="T175"/>
      <c r="U175"/>
      <c r="V175"/>
      <c r="W175"/>
    </row>
    <row r="176" spans="1:23" ht="18" customHeight="1" x14ac:dyDescent="0.2">
      <c r="A176" s="49" t="s">
        <v>420</v>
      </c>
      <c r="B176" s="49" t="s">
        <v>421</v>
      </c>
      <c r="C176" s="36">
        <f>C172/C174</f>
        <v>2.714835177709721</v>
      </c>
      <c r="D176" s="49" t="s">
        <v>126</v>
      </c>
      <c r="E176" s="49" t="s">
        <v>422</v>
      </c>
      <c r="F176" s="49" t="s">
        <v>21</v>
      </c>
      <c r="G176" s="29" t="s">
        <v>423</v>
      </c>
      <c r="H176" s="99" t="s">
        <v>424</v>
      </c>
      <c r="I176" s="99"/>
      <c r="J176" s="99"/>
      <c r="K176" s="99"/>
      <c r="L176" s="99"/>
      <c r="Q176"/>
      <c r="R176"/>
      <c r="S176"/>
      <c r="T176"/>
      <c r="U176"/>
      <c r="V176"/>
      <c r="W176"/>
    </row>
    <row r="177" spans="1:23" ht="18" customHeight="1" x14ac:dyDescent="0.2">
      <c r="A177" s="49" t="s">
        <v>426</v>
      </c>
      <c r="B177" s="49" t="s">
        <v>427</v>
      </c>
      <c r="C177" s="36">
        <f>C176</f>
        <v>2.714835177709721</v>
      </c>
      <c r="D177" s="49" t="s">
        <v>126</v>
      </c>
      <c r="E177" s="49" t="s">
        <v>422</v>
      </c>
      <c r="F177" s="49" t="s">
        <v>21</v>
      </c>
      <c r="G177" s="29" t="s">
        <v>428</v>
      </c>
      <c r="H177" s="99" t="s">
        <v>429</v>
      </c>
      <c r="I177" s="99"/>
      <c r="J177" s="99"/>
      <c r="K177" s="99"/>
      <c r="L177" s="99"/>
      <c r="Q177"/>
      <c r="R177"/>
      <c r="S177"/>
      <c r="T177"/>
      <c r="U177"/>
      <c r="V177"/>
      <c r="W177"/>
    </row>
    <row r="178" spans="1:23" ht="18" customHeight="1" x14ac:dyDescent="0.2">
      <c r="A178" s="52" t="s">
        <v>430</v>
      </c>
      <c r="B178" s="49" t="s">
        <v>431</v>
      </c>
      <c r="C178" s="36">
        <f>$C$7/C174</f>
        <v>1.7000159772310202</v>
      </c>
      <c r="D178" s="49" t="s">
        <v>126</v>
      </c>
      <c r="E178" s="49" t="s">
        <v>432</v>
      </c>
      <c r="F178" s="49" t="s">
        <v>21</v>
      </c>
      <c r="G178" s="29" t="s">
        <v>433</v>
      </c>
      <c r="H178" s="99" t="s">
        <v>434</v>
      </c>
      <c r="I178" s="99"/>
      <c r="J178" s="99"/>
      <c r="K178" s="99"/>
      <c r="L178" s="99"/>
      <c r="Q178"/>
      <c r="R178"/>
      <c r="S178"/>
      <c r="T178"/>
      <c r="U178"/>
      <c r="V178"/>
      <c r="W178"/>
    </row>
    <row r="179" spans="1:23" ht="18" customHeight="1" x14ac:dyDescent="0.2">
      <c r="A179" s="49" t="s">
        <v>435</v>
      </c>
      <c r="B179" s="49" t="s">
        <v>436</v>
      </c>
      <c r="C179" s="36">
        <f>2*'Stability Constants'!$C$13*('Stability Constants'!$C$4-'Stability Constants'!$C$3)*'Stability Constants'!$C$14*'Supersonic Stability'!C174</f>
        <v>87507.08365819043</v>
      </c>
      <c r="D179" s="49" t="s">
        <v>126</v>
      </c>
      <c r="E179" s="49" t="s">
        <v>225</v>
      </c>
      <c r="F179" s="49" t="s">
        <v>21</v>
      </c>
      <c r="G179" s="29" t="s">
        <v>438</v>
      </c>
      <c r="H179" s="99" t="s">
        <v>439</v>
      </c>
      <c r="I179" s="99"/>
      <c r="J179" s="99"/>
      <c r="K179" s="99"/>
      <c r="L179" s="99"/>
      <c r="Q179"/>
      <c r="R179"/>
      <c r="S179"/>
      <c r="T179"/>
      <c r="U179"/>
      <c r="V179"/>
      <c r="W179"/>
    </row>
    <row r="180" spans="1:23" ht="18" customHeight="1" x14ac:dyDescent="0.2">
      <c r="A180" s="49" t="s">
        <v>440</v>
      </c>
      <c r="B180" s="49" t="s">
        <v>441</v>
      </c>
      <c r="C180" s="36">
        <f>2*'Stability Constants'!$C$13*('Stability Constants'!$C$6-'Stability Constants'!$C$5)*'Stability Constants'!$C$15*'Supersonic Stability'!C174</f>
        <v>54743.0346425764</v>
      </c>
      <c r="D180" s="49" t="s">
        <v>126</v>
      </c>
      <c r="E180" s="49" t="s">
        <v>225</v>
      </c>
      <c r="F180" s="49" t="s">
        <v>21</v>
      </c>
      <c r="G180" s="29" t="s">
        <v>443</v>
      </c>
      <c r="H180" s="99" t="s">
        <v>439</v>
      </c>
      <c r="I180" s="99"/>
      <c r="J180" s="99"/>
      <c r="K180" s="99"/>
      <c r="L180" s="99"/>
      <c r="Q180"/>
      <c r="R180"/>
      <c r="S180"/>
      <c r="T180"/>
      <c r="U180"/>
      <c r="V180"/>
      <c r="W180"/>
    </row>
    <row r="181" spans="1:23" ht="18" customHeight="1" x14ac:dyDescent="0.2">
      <c r="A181" s="112" t="s">
        <v>511</v>
      </c>
      <c r="B181" s="114"/>
      <c r="C181" s="114"/>
      <c r="D181" s="114"/>
      <c r="E181" s="114"/>
      <c r="F181" s="114"/>
      <c r="G181" s="114"/>
      <c r="H181" s="113"/>
      <c r="I181" s="113"/>
      <c r="J181" s="113"/>
      <c r="K181" s="113"/>
      <c r="L181" s="122"/>
      <c r="Q181"/>
      <c r="R181"/>
      <c r="S181"/>
      <c r="T181"/>
      <c r="U181"/>
      <c r="V181"/>
      <c r="W181"/>
    </row>
    <row r="182" spans="1:23" ht="18" customHeight="1" x14ac:dyDescent="0.2">
      <c r="A182" s="23" t="s">
        <v>5</v>
      </c>
      <c r="B182" s="23" t="s">
        <v>97</v>
      </c>
      <c r="C182" s="50" t="s">
        <v>7</v>
      </c>
      <c r="D182" s="50" t="s">
        <v>126</v>
      </c>
      <c r="E182" s="50" t="s">
        <v>8</v>
      </c>
      <c r="F182" s="50" t="s">
        <v>9</v>
      </c>
      <c r="G182" s="31" t="s">
        <v>460</v>
      </c>
      <c r="H182" s="116" t="s">
        <v>11</v>
      </c>
      <c r="I182" s="117"/>
      <c r="J182" s="117"/>
      <c r="K182" s="117"/>
      <c r="L182" s="118"/>
      <c r="Q182"/>
      <c r="R182"/>
      <c r="S182"/>
      <c r="T182"/>
      <c r="U182"/>
      <c r="V182"/>
      <c r="W182"/>
    </row>
    <row r="183" spans="1:23" ht="18" customHeight="1" x14ac:dyDescent="0.2">
      <c r="A183" s="49" t="s">
        <v>451</v>
      </c>
      <c r="B183" s="47" t="s">
        <v>447</v>
      </c>
      <c r="C183" s="48">
        <f>(C150 + C151* 'Stability Constants'!$C$16*'Supersonic Stability'!$C$4/'Initial Estimates'!$C$5)*'Stability Constants'!$C$8/'Initial Estimates'!$C$10 - 'Supersonic Stability'!C151*'Stability Constants'!$C$16*'Supersonic Stability'!$C$4/'Initial Estimates'!$C$5*'Stability Constants'!$C$10/'Initial Estimates'!$C$10+'Supersonic Stability'!$C$5+('Supersonic Stability'!C157+'Stability Constants'!$C$11*'Supersonic Stability'!C158)/('Stability Constants'!$C$13*'Initial Estimates'!$C$5*'Initial Estimates'!$C$10)</f>
        <v>-79765.259451595819</v>
      </c>
      <c r="D183" s="49" t="s">
        <v>126</v>
      </c>
      <c r="E183" s="49" t="s">
        <v>138</v>
      </c>
      <c r="F183" s="49" t="s">
        <v>21</v>
      </c>
      <c r="G183" s="29" t="s">
        <v>461</v>
      </c>
      <c r="H183" s="99" t="s">
        <v>439</v>
      </c>
      <c r="I183" s="99"/>
      <c r="J183" s="99"/>
      <c r="K183" s="99"/>
      <c r="L183" s="99"/>
      <c r="Q183"/>
      <c r="R183"/>
      <c r="S183"/>
      <c r="T183"/>
      <c r="U183"/>
      <c r="V183"/>
      <c r="W183"/>
    </row>
    <row r="184" spans="1:23" ht="18" customHeight="1" x14ac:dyDescent="0.2">
      <c r="A184" s="49" t="s">
        <v>452</v>
      </c>
      <c r="B184" s="47" t="s">
        <v>447</v>
      </c>
      <c r="C184" s="48" t="e">
        <f>(C162 + C163* 'Stability Constants'!$C$16*'Supersonic Stability'!$C$4/'Initial Estimates'!$C$5)*'Stability Constants'!$C$8/'Initial Estimates'!$C$10 - 'Supersonic Stability'!C163*'Stability Constants'!$C$16*'Supersonic Stability'!$C$4/'Initial Estimates'!$C$5*'Stability Constants'!$C$10/'Initial Estimates'!$C$10+'Supersonic Stability'!$C$5+('Supersonic Stability'!#REF!+'Stability Constants'!$C$11*'Supersonic Stability'!#REF!)/('Stability Constants'!$C$13*'Initial Estimates'!$C$5*'Initial Estimates'!$C$10)</f>
        <v>#REF!</v>
      </c>
      <c r="D184" s="49" t="s">
        <v>126</v>
      </c>
      <c r="E184" s="49" t="s">
        <v>138</v>
      </c>
      <c r="F184" s="49" t="s">
        <v>21</v>
      </c>
      <c r="G184" s="29" t="s">
        <v>461</v>
      </c>
      <c r="H184" s="99" t="s">
        <v>439</v>
      </c>
      <c r="I184" s="99"/>
      <c r="J184" s="99"/>
      <c r="K184" s="99"/>
      <c r="L184" s="99"/>
      <c r="Q184"/>
      <c r="R184"/>
      <c r="S184"/>
      <c r="T184"/>
      <c r="U184"/>
      <c r="V184"/>
      <c r="W184"/>
    </row>
    <row r="185" spans="1:23" ht="18" customHeight="1" x14ac:dyDescent="0.2">
      <c r="A185" s="49" t="s">
        <v>453</v>
      </c>
      <c r="B185" s="47" t="s">
        <v>447</v>
      </c>
      <c r="C185" s="48">
        <f>(C172 + C173* 'Stability Constants'!$C$16*'Supersonic Stability'!$C$4/'Initial Estimates'!$C$5)*'Stability Constants'!$C$8/'Initial Estimates'!$C$10 - 'Supersonic Stability'!C173*'Stability Constants'!$C$16*'Supersonic Stability'!$C$4/'Initial Estimates'!$C$5*'Stability Constants'!$C$10/'Initial Estimates'!$C$10+'Supersonic Stability'!$C$5+('Supersonic Stability'!C179+'Stability Constants'!$C$11*'Supersonic Stability'!C180)/('Stability Constants'!$C$13*'Initial Estimates'!$C$5*'Initial Estimates'!$C$10)</f>
        <v>-1.0611179447754669E-2</v>
      </c>
      <c r="D185" s="49" t="s">
        <v>126</v>
      </c>
      <c r="E185" s="49" t="s">
        <v>138</v>
      </c>
      <c r="F185" s="49" t="s">
        <v>21</v>
      </c>
      <c r="G185" s="29" t="s">
        <v>461</v>
      </c>
      <c r="H185" s="99" t="s">
        <v>439</v>
      </c>
      <c r="I185" s="99"/>
      <c r="J185" s="99"/>
      <c r="K185" s="99"/>
      <c r="L185" s="99"/>
      <c r="Q185"/>
      <c r="R185"/>
      <c r="S185"/>
      <c r="T185"/>
      <c r="U185"/>
      <c r="V185"/>
      <c r="W185"/>
    </row>
    <row r="186" spans="1:23" ht="18" customHeight="1" x14ac:dyDescent="0.2">
      <c r="A186" s="49" t="s">
        <v>509</v>
      </c>
      <c r="B186" s="47" t="s">
        <v>454</v>
      </c>
      <c r="C186" s="48">
        <f xml:space="preserve"> ( C154 + C155*(1 - C156)*'Stability Constants'!$C$16*('Supersonic Stability'!$C$4/'Initial Estimates'!$C$5))*('Stability Constants'!$C$8/'Initial Estimates'!$C$10) - C155*(1 - C156)*'Stability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2000749908.1850307</v>
      </c>
      <c r="D186" s="49" t="s">
        <v>126</v>
      </c>
      <c r="E186" s="49" t="s">
        <v>422</v>
      </c>
      <c r="F186" s="49" t="s">
        <v>21</v>
      </c>
      <c r="G186" s="29" t="s">
        <v>459</v>
      </c>
      <c r="H186" s="99" t="s">
        <v>439</v>
      </c>
      <c r="I186" s="99"/>
      <c r="J186" s="99"/>
      <c r="K186" s="99"/>
      <c r="L186" s="99"/>
      <c r="Q186"/>
      <c r="R186"/>
      <c r="S186"/>
      <c r="T186"/>
      <c r="U186"/>
      <c r="V186"/>
      <c r="W186"/>
    </row>
    <row r="187" spans="1:23" ht="18" customHeight="1" x14ac:dyDescent="0.2">
      <c r="A187" s="49" t="s">
        <v>510</v>
      </c>
      <c r="B187" s="47" t="s">
        <v>454</v>
      </c>
      <c r="C187" s="48">
        <f xml:space="preserve"> ( C166 + C167*(1 - C168)*'Stability Constants'!$C$16*('Supersonic Stability'!$C$4/'Initial Estimates'!$C$5))*('Stability Constants'!$C$8/'Initial Estimates'!$C$10) - C167*(1 - C168)*'Stability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1043751238.4033469</v>
      </c>
      <c r="D187" s="49" t="s">
        <v>126</v>
      </c>
      <c r="E187" s="49" t="s">
        <v>422</v>
      </c>
      <c r="F187" s="49" t="s">
        <v>21</v>
      </c>
      <c r="G187" s="29" t="s">
        <v>459</v>
      </c>
      <c r="H187" s="99" t="s">
        <v>439</v>
      </c>
      <c r="I187" s="99"/>
      <c r="J187" s="99"/>
      <c r="K187" s="99"/>
      <c r="L187" s="99"/>
      <c r="Q187"/>
      <c r="R187"/>
      <c r="S187"/>
      <c r="T187"/>
      <c r="U187"/>
      <c r="V187"/>
      <c r="W187"/>
    </row>
    <row r="188" spans="1:23" ht="18" customHeight="1" x14ac:dyDescent="0.2">
      <c r="A188" s="49" t="s">
        <v>508</v>
      </c>
      <c r="B188" s="47" t="s">
        <v>454</v>
      </c>
      <c r="C188" s="48">
        <f xml:space="preserve"> ( C176 + C177*(1 - C178)*'Stability Constants'!$C$16*('Supersonic Stability'!$C$4/'Initial Estimates'!$C$5))*('Stability Constants'!$C$8/'Initial Estimates'!$C$10) - C177*(1 - C178)*'Stability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1.69175423486822</v>
      </c>
      <c r="D188" s="49" t="s">
        <v>126</v>
      </c>
      <c r="E188" s="49" t="s">
        <v>422</v>
      </c>
      <c r="F188" s="49" t="s">
        <v>21</v>
      </c>
      <c r="G188" s="29" t="s">
        <v>459</v>
      </c>
      <c r="H188" s="99" t="s">
        <v>439</v>
      </c>
      <c r="I188" s="99"/>
      <c r="J188" s="99"/>
      <c r="K188" s="99"/>
      <c r="L188" s="99"/>
      <c r="Q188"/>
      <c r="R188"/>
      <c r="S188"/>
      <c r="T188"/>
      <c r="U188"/>
      <c r="V188"/>
      <c r="W188"/>
    </row>
    <row r="189" spans="1:23" ht="18" customHeight="1" x14ac:dyDescent="0.2">
      <c r="Q189"/>
      <c r="R189"/>
      <c r="S189"/>
      <c r="T189"/>
      <c r="U189"/>
      <c r="V189"/>
      <c r="W189"/>
    </row>
    <row r="190" spans="1:23" ht="18" customHeight="1" x14ac:dyDescent="0.2">
      <c r="A190" s="123"/>
      <c r="B190" s="123"/>
      <c r="C190" s="123"/>
      <c r="D190" s="123"/>
      <c r="E190" s="123"/>
      <c r="F190" s="123"/>
      <c r="G190" s="123"/>
      <c r="H190" s="123"/>
      <c r="I190" s="123"/>
      <c r="J190" s="123"/>
      <c r="K190" s="123"/>
      <c r="L190" s="123"/>
      <c r="Q190"/>
      <c r="R190"/>
      <c r="S190"/>
      <c r="T190"/>
      <c r="U190"/>
      <c r="V190"/>
      <c r="W190"/>
    </row>
    <row r="191" spans="1:23" ht="18" customHeight="1" x14ac:dyDescent="0.2">
      <c r="A191" s="124"/>
      <c r="B191" s="124"/>
      <c r="C191" s="124"/>
      <c r="D191" s="124"/>
      <c r="E191" s="124"/>
      <c r="F191" s="124"/>
      <c r="G191" s="124"/>
      <c r="H191" s="124"/>
      <c r="I191" s="124"/>
      <c r="J191" s="124"/>
      <c r="K191" s="124"/>
      <c r="L191" s="124"/>
      <c r="Q191"/>
      <c r="R191"/>
      <c r="S191"/>
      <c r="T191"/>
      <c r="U191"/>
      <c r="V191"/>
      <c r="W191"/>
    </row>
    <row r="192" spans="1:23" ht="18" customHeight="1" x14ac:dyDescent="0.2">
      <c r="A192" s="112" t="s">
        <v>512</v>
      </c>
      <c r="B192" s="114"/>
      <c r="C192" s="114"/>
      <c r="D192" s="114"/>
      <c r="E192" s="114"/>
      <c r="F192" s="114"/>
      <c r="G192" s="114"/>
      <c r="H192" s="114"/>
      <c r="I192" s="114"/>
      <c r="J192" s="114"/>
      <c r="K192" s="114"/>
      <c r="L192" s="115"/>
      <c r="Q192"/>
      <c r="R192"/>
      <c r="S192"/>
      <c r="T192"/>
      <c r="U192"/>
      <c r="V192"/>
      <c r="W192"/>
    </row>
    <row r="193" spans="1:23" ht="18" customHeight="1" x14ac:dyDescent="0.2">
      <c r="A193" s="23" t="s">
        <v>5</v>
      </c>
      <c r="B193" s="23" t="s">
        <v>97</v>
      </c>
      <c r="C193" s="50" t="s">
        <v>7</v>
      </c>
      <c r="D193" s="50" t="s">
        <v>126</v>
      </c>
      <c r="E193" s="50" t="s">
        <v>8</v>
      </c>
      <c r="F193" s="50" t="s">
        <v>9</v>
      </c>
      <c r="G193" s="31" t="s">
        <v>10</v>
      </c>
      <c r="H193" s="116" t="s">
        <v>11</v>
      </c>
      <c r="I193" s="117"/>
      <c r="J193" s="117"/>
      <c r="K193" s="117"/>
      <c r="L193" s="118"/>
      <c r="Q193"/>
      <c r="R193"/>
      <c r="S193"/>
      <c r="T193"/>
      <c r="U193"/>
      <c r="V193"/>
      <c r="W193"/>
    </row>
    <row r="194" spans="1:23" ht="18" customHeight="1" x14ac:dyDescent="0.2">
      <c r="A194" s="52" t="s">
        <v>411</v>
      </c>
      <c r="B194" s="49" t="s">
        <v>412</v>
      </c>
      <c r="C194" s="13">
        <v>0.5</v>
      </c>
      <c r="D194" s="49" t="s">
        <v>126</v>
      </c>
      <c r="E194" s="49" t="s">
        <v>138</v>
      </c>
      <c r="F194" s="49" t="s">
        <v>14</v>
      </c>
      <c r="G194" s="29" t="s">
        <v>138</v>
      </c>
      <c r="H194" s="121" t="s">
        <v>413</v>
      </c>
      <c r="I194" s="121"/>
      <c r="J194" s="121"/>
      <c r="K194" s="121"/>
      <c r="L194" s="121"/>
      <c r="Q194"/>
      <c r="R194"/>
      <c r="S194"/>
      <c r="T194"/>
      <c r="U194"/>
      <c r="V194"/>
      <c r="W194"/>
    </row>
    <row r="195" spans="1:23" ht="18" customHeight="1" x14ac:dyDescent="0.2">
      <c r="A195" s="52" t="s">
        <v>376</v>
      </c>
      <c r="B195" s="49" t="s">
        <v>377</v>
      </c>
      <c r="C195" s="13">
        <f>'Initial Estimates'!$C$5*'Initial Estimates'!$C$10/'Stability Constants'!$C$9</f>
        <v>1074.4710193268068</v>
      </c>
      <c r="D195" s="49" t="s">
        <v>126</v>
      </c>
      <c r="E195" s="49" t="s">
        <v>223</v>
      </c>
      <c r="F195" s="49" t="s">
        <v>21</v>
      </c>
      <c r="G195" s="29" t="s">
        <v>457</v>
      </c>
      <c r="H195" s="121" t="s">
        <v>383</v>
      </c>
      <c r="I195" s="121"/>
      <c r="J195" s="121"/>
      <c r="K195" s="121"/>
      <c r="L195" s="121"/>
      <c r="Q195"/>
      <c r="R195"/>
      <c r="S195"/>
      <c r="T195"/>
      <c r="U195"/>
      <c r="V195"/>
      <c r="W195"/>
    </row>
    <row r="196" spans="1:23" ht="18" customHeight="1" x14ac:dyDescent="0.2">
      <c r="A196" s="52" t="s">
        <v>354</v>
      </c>
      <c r="B196" s="49" t="s">
        <v>355</v>
      </c>
      <c r="C196" s="13">
        <v>0</v>
      </c>
      <c r="D196" s="49" t="s">
        <v>126</v>
      </c>
      <c r="E196" s="49" t="s">
        <v>138</v>
      </c>
      <c r="F196" s="49" t="s">
        <v>14</v>
      </c>
      <c r="G196" s="29" t="s">
        <v>356</v>
      </c>
      <c r="H196" s="99" t="s">
        <v>414</v>
      </c>
      <c r="I196" s="99"/>
      <c r="J196" s="99"/>
      <c r="K196" s="99"/>
      <c r="L196" s="99"/>
      <c r="Q196"/>
      <c r="R196"/>
      <c r="S196"/>
      <c r="T196"/>
      <c r="U196"/>
      <c r="V196"/>
      <c r="W196"/>
    </row>
    <row r="197" spans="1:23" ht="18" customHeight="1" x14ac:dyDescent="0.2">
      <c r="A197" s="52" t="s">
        <v>340</v>
      </c>
      <c r="B197" s="49" t="s">
        <v>341</v>
      </c>
      <c r="C197" s="13">
        <v>0</v>
      </c>
      <c r="D197" s="13" t="s">
        <v>126</v>
      </c>
      <c r="E197" s="49" t="s">
        <v>138</v>
      </c>
      <c r="F197" s="49" t="s">
        <v>14</v>
      </c>
      <c r="G197" s="29" t="s">
        <v>419</v>
      </c>
      <c r="H197" s="119" t="s">
        <v>342</v>
      </c>
      <c r="I197" s="119"/>
      <c r="J197" s="119"/>
      <c r="K197" s="119"/>
      <c r="L197" s="119"/>
      <c r="Q197"/>
      <c r="R197"/>
      <c r="S197"/>
      <c r="T197"/>
      <c r="U197"/>
      <c r="V197"/>
      <c r="W197"/>
    </row>
    <row r="198" spans="1:23" ht="18" customHeight="1" x14ac:dyDescent="0.2">
      <c r="A198" s="52" t="s">
        <v>415</v>
      </c>
      <c r="B198" s="49" t="s">
        <v>416</v>
      </c>
      <c r="C198" s="13" t="e">
        <f>2*C202/(PI()*'Initial Estimates'!C113)*(1+C197)</f>
        <v>#DIV/0!</v>
      </c>
      <c r="D198" s="49" t="s">
        <v>126</v>
      </c>
      <c r="E198" s="49" t="s">
        <v>138</v>
      </c>
      <c r="F198" s="49" t="s">
        <v>14</v>
      </c>
      <c r="G198" s="29" t="s">
        <v>417</v>
      </c>
      <c r="H198" s="99" t="s">
        <v>418</v>
      </c>
      <c r="I198" s="99"/>
      <c r="J198" s="99"/>
      <c r="K198" s="99"/>
      <c r="L198" s="99"/>
      <c r="Q198"/>
      <c r="R198"/>
      <c r="S198"/>
      <c r="T198"/>
      <c r="U198"/>
      <c r="V198"/>
      <c r="W198"/>
    </row>
    <row r="199" spans="1:23" ht="18" customHeight="1" x14ac:dyDescent="0.2">
      <c r="A199" s="112" t="s">
        <v>504</v>
      </c>
      <c r="B199" s="114"/>
      <c r="C199" s="114"/>
      <c r="D199" s="114"/>
      <c r="E199" s="114"/>
      <c r="F199" s="114"/>
      <c r="G199" s="114"/>
      <c r="H199" s="113"/>
      <c r="I199" s="113"/>
      <c r="J199" s="113"/>
      <c r="K199" s="113"/>
      <c r="L199" s="122"/>
      <c r="Q199"/>
      <c r="R199"/>
      <c r="S199"/>
      <c r="T199"/>
      <c r="U199"/>
      <c r="V199"/>
      <c r="W199"/>
    </row>
    <row r="200" spans="1:23" ht="18" customHeight="1" x14ac:dyDescent="0.2">
      <c r="A200" s="23" t="s">
        <v>5</v>
      </c>
      <c r="B200" s="23" t="s">
        <v>97</v>
      </c>
      <c r="C200" s="50" t="s">
        <v>7</v>
      </c>
      <c r="D200" s="50" t="s">
        <v>126</v>
      </c>
      <c r="E200" s="50" t="s">
        <v>8</v>
      </c>
      <c r="F200" s="50" t="s">
        <v>9</v>
      </c>
      <c r="G200" s="31" t="s">
        <v>10</v>
      </c>
      <c r="H200" s="116" t="s">
        <v>11</v>
      </c>
      <c r="I200" s="117"/>
      <c r="J200" s="117"/>
      <c r="K200" s="117"/>
      <c r="L200" s="118"/>
      <c r="Q200"/>
      <c r="R200"/>
      <c r="S200"/>
      <c r="T200"/>
      <c r="U200"/>
      <c r="V200"/>
      <c r="W200"/>
    </row>
    <row r="201" spans="1:23" ht="18" customHeight="1" x14ac:dyDescent="0.2">
      <c r="A201" s="49" t="s">
        <v>380</v>
      </c>
      <c r="B201" s="49" t="s">
        <v>381</v>
      </c>
      <c r="C201" s="36">
        <v>1.6</v>
      </c>
      <c r="D201" s="49" t="s">
        <v>126</v>
      </c>
      <c r="E201" s="49" t="s">
        <v>138</v>
      </c>
      <c r="F201" s="49" t="s">
        <v>488</v>
      </c>
      <c r="G201" s="29" t="s">
        <v>138</v>
      </c>
      <c r="H201" s="120" t="s">
        <v>310</v>
      </c>
      <c r="I201" s="120"/>
      <c r="J201" s="120"/>
      <c r="K201" s="120"/>
      <c r="L201" s="120"/>
      <c r="Q201"/>
      <c r="R201"/>
      <c r="S201"/>
      <c r="T201"/>
      <c r="U201"/>
      <c r="V201"/>
      <c r="W201"/>
    </row>
    <row r="202" spans="1:23" ht="18" customHeight="1" x14ac:dyDescent="0.2">
      <c r="A202" s="49" t="s">
        <v>406</v>
      </c>
      <c r="B202" s="49" t="s">
        <v>407</v>
      </c>
      <c r="C202" s="36">
        <v>0.19339999999999999</v>
      </c>
      <c r="D202" s="49" t="s">
        <v>126</v>
      </c>
      <c r="E202" s="49" t="s">
        <v>138</v>
      </c>
      <c r="F202" s="49" t="s">
        <v>400</v>
      </c>
      <c r="G202" s="29" t="s">
        <v>489</v>
      </c>
      <c r="H202" s="119" t="s">
        <v>490</v>
      </c>
      <c r="I202" s="119"/>
      <c r="J202" s="119"/>
      <c r="K202" s="119"/>
      <c r="L202" s="119"/>
      <c r="Q202"/>
      <c r="R202"/>
      <c r="S202"/>
      <c r="T202"/>
      <c r="U202"/>
      <c r="V202"/>
      <c r="W202"/>
    </row>
    <row r="203" spans="1:23" ht="18" customHeight="1" x14ac:dyDescent="0.2">
      <c r="A203" s="49" t="s">
        <v>448</v>
      </c>
      <c r="B203" s="47" t="s">
        <v>449</v>
      </c>
      <c r="C203" s="48">
        <v>9.3378889837222326E-2</v>
      </c>
      <c r="D203" s="49" t="s">
        <v>126</v>
      </c>
      <c r="E203" s="49" t="s">
        <v>138</v>
      </c>
      <c r="F203" s="49" t="s">
        <v>400</v>
      </c>
      <c r="G203" s="29" t="s">
        <v>138</v>
      </c>
      <c r="H203" s="119" t="s">
        <v>450</v>
      </c>
      <c r="I203" s="119"/>
      <c r="J203" s="119"/>
      <c r="K203" s="119"/>
      <c r="L203" s="119"/>
      <c r="Q203"/>
      <c r="R203"/>
      <c r="S203"/>
      <c r="T203"/>
      <c r="U203"/>
      <c r="V203"/>
      <c r="W203"/>
    </row>
    <row r="204" spans="1:23" ht="18" customHeight="1" x14ac:dyDescent="0.2">
      <c r="A204" s="49" t="s">
        <v>404</v>
      </c>
      <c r="B204" s="49" t="s">
        <v>437</v>
      </c>
      <c r="C204" s="36">
        <f>3.53*PI()/180</f>
        <v>6.161012259539983E-2</v>
      </c>
      <c r="D204" s="49" t="s">
        <v>126</v>
      </c>
      <c r="E204" s="49" t="s">
        <v>408</v>
      </c>
      <c r="F204" s="49" t="s">
        <v>9</v>
      </c>
      <c r="G204" s="29" t="s">
        <v>138</v>
      </c>
      <c r="H204" s="119" t="s">
        <v>410</v>
      </c>
      <c r="I204" s="119"/>
      <c r="J204" s="119"/>
      <c r="K204" s="119"/>
      <c r="L204" s="119"/>
      <c r="Q204"/>
      <c r="R204"/>
      <c r="S204"/>
      <c r="T204"/>
      <c r="U204"/>
      <c r="V204"/>
      <c r="W204"/>
    </row>
    <row r="205" spans="1:23" ht="18" customHeight="1" x14ac:dyDescent="0.2">
      <c r="A205" s="49" t="s">
        <v>481</v>
      </c>
      <c r="B205" s="47" t="s">
        <v>482</v>
      </c>
      <c r="C205" s="48">
        <f>C203/C207</f>
        <v>2.9747077821580162E-2</v>
      </c>
      <c r="D205" s="49" t="s">
        <v>126</v>
      </c>
      <c r="E205" s="49" t="s">
        <v>408</v>
      </c>
      <c r="F205" s="49" t="s">
        <v>21</v>
      </c>
      <c r="G205" s="29" t="s">
        <v>483</v>
      </c>
      <c r="H205" s="119" t="s">
        <v>484</v>
      </c>
      <c r="I205" s="119"/>
      <c r="J205" s="119"/>
      <c r="K205" s="119"/>
      <c r="L205" s="119"/>
      <c r="Q205"/>
      <c r="R205"/>
      <c r="S205"/>
      <c r="T205"/>
      <c r="U205"/>
      <c r="V205"/>
      <c r="W205"/>
    </row>
    <row r="206" spans="1:23" ht="18" customHeight="1" x14ac:dyDescent="0.2">
      <c r="A206" s="49" t="s">
        <v>420</v>
      </c>
      <c r="B206" s="49" t="s">
        <v>421</v>
      </c>
      <c r="C206" s="36">
        <f>C202/C204</f>
        <v>3.1390945489603741</v>
      </c>
      <c r="D206" s="49" t="s">
        <v>126</v>
      </c>
      <c r="E206" s="49" t="s">
        <v>422</v>
      </c>
      <c r="F206" s="49" t="s">
        <v>21</v>
      </c>
      <c r="G206" s="29" t="s">
        <v>423</v>
      </c>
      <c r="H206" s="99" t="s">
        <v>424</v>
      </c>
      <c r="I206" s="99"/>
      <c r="J206" s="99"/>
      <c r="K206" s="99"/>
      <c r="L206" s="99"/>
      <c r="Q206"/>
      <c r="R206"/>
      <c r="S206"/>
      <c r="T206"/>
      <c r="U206"/>
      <c r="V206"/>
      <c r="W206"/>
    </row>
    <row r="207" spans="1:23" ht="18" customHeight="1" x14ac:dyDescent="0.2">
      <c r="A207" s="49" t="s">
        <v>426</v>
      </c>
      <c r="B207" s="49" t="s">
        <v>427</v>
      </c>
      <c r="C207" s="36">
        <f>C206</f>
        <v>3.1390945489603741</v>
      </c>
      <c r="D207" s="49" t="s">
        <v>126</v>
      </c>
      <c r="E207" s="49" t="s">
        <v>422</v>
      </c>
      <c r="F207" s="49" t="s">
        <v>21</v>
      </c>
      <c r="G207" s="29" t="s">
        <v>428</v>
      </c>
      <c r="H207" s="99" t="s">
        <v>429</v>
      </c>
      <c r="I207" s="99"/>
      <c r="J207" s="99"/>
      <c r="K207" s="99"/>
      <c r="L207" s="99"/>
      <c r="Q207"/>
      <c r="R207"/>
      <c r="S207"/>
      <c r="T207"/>
      <c r="U207"/>
      <c r="V207"/>
      <c r="W207"/>
    </row>
    <row r="208" spans="1:23" ht="18" customHeight="1" x14ac:dyDescent="0.2">
      <c r="A208" s="52" t="s">
        <v>430</v>
      </c>
      <c r="B208" s="49" t="s">
        <v>431</v>
      </c>
      <c r="C208" s="36">
        <f>$C$7/C204</f>
        <v>1.2328727766887853</v>
      </c>
      <c r="D208" s="49" t="s">
        <v>126</v>
      </c>
      <c r="E208" s="49" t="s">
        <v>432</v>
      </c>
      <c r="F208" s="49" t="s">
        <v>21</v>
      </c>
      <c r="G208" s="29" t="s">
        <v>433</v>
      </c>
      <c r="H208" s="99" t="s">
        <v>434</v>
      </c>
      <c r="I208" s="99"/>
      <c r="J208" s="99"/>
      <c r="K208" s="99"/>
      <c r="L208" s="99"/>
      <c r="Q208"/>
      <c r="R208"/>
      <c r="S208"/>
      <c r="T208"/>
      <c r="U208"/>
      <c r="V208"/>
      <c r="W208"/>
    </row>
    <row r="209" spans="1:23" ht="18" customHeight="1" x14ac:dyDescent="0.2">
      <c r="A209" s="49" t="s">
        <v>435</v>
      </c>
      <c r="B209" s="49" t="s">
        <v>436</v>
      </c>
      <c r="C209" s="36">
        <f>2*'Stability Constants'!$C$13*('Stability Constants'!$C$4-'Stability Constants'!$C$3)*'Stability Constants'!$C$14*'Supersonic Stability'!C204</f>
        <v>120664.06457555163</v>
      </c>
      <c r="D209" s="49" t="s">
        <v>126</v>
      </c>
      <c r="E209" s="49" t="s">
        <v>225</v>
      </c>
      <c r="F209" s="49" t="s">
        <v>21</v>
      </c>
      <c r="G209" s="29" t="s">
        <v>438</v>
      </c>
      <c r="H209" s="99" t="s">
        <v>439</v>
      </c>
      <c r="I209" s="99"/>
      <c r="J209" s="99"/>
      <c r="K209" s="99"/>
      <c r="L209" s="99"/>
      <c r="Q209"/>
      <c r="R209"/>
      <c r="S209"/>
      <c r="T209"/>
      <c r="U209"/>
      <c r="V209"/>
      <c r="W209"/>
    </row>
    <row r="210" spans="1:23" ht="18" customHeight="1" x14ac:dyDescent="0.2">
      <c r="A210" s="49" t="s">
        <v>440</v>
      </c>
      <c r="B210" s="49" t="s">
        <v>441</v>
      </c>
      <c r="C210" s="36">
        <f>2*'Stability Constants'!$C$13*('Stability Constants'!$C$6-'Stability Constants'!$C$5)*'Stability Constants'!$C$15*'Supersonic Stability'!C204</f>
        <v>75485.512612615101</v>
      </c>
      <c r="D210" s="49" t="s">
        <v>126</v>
      </c>
      <c r="E210" s="49" t="s">
        <v>225</v>
      </c>
      <c r="F210" s="49" t="s">
        <v>21</v>
      </c>
      <c r="G210" s="29" t="s">
        <v>443</v>
      </c>
      <c r="H210" s="99" t="s">
        <v>439</v>
      </c>
      <c r="I210" s="99"/>
      <c r="J210" s="99"/>
      <c r="K210" s="99"/>
      <c r="L210" s="99"/>
      <c r="Q210"/>
      <c r="R210"/>
      <c r="S210"/>
      <c r="T210"/>
      <c r="U210"/>
      <c r="V210"/>
      <c r="W210"/>
    </row>
    <row r="211" spans="1:23" ht="18" customHeight="1" x14ac:dyDescent="0.2">
      <c r="A211" s="112" t="s">
        <v>506</v>
      </c>
      <c r="B211" s="114"/>
      <c r="C211" s="114"/>
      <c r="D211" s="114"/>
      <c r="E211" s="114"/>
      <c r="F211" s="114"/>
      <c r="G211" s="114"/>
      <c r="H211" s="113"/>
      <c r="I211" s="113"/>
      <c r="J211" s="113"/>
      <c r="K211" s="113"/>
      <c r="L211" s="122"/>
      <c r="Q211"/>
      <c r="R211"/>
      <c r="S211"/>
      <c r="T211"/>
      <c r="U211"/>
      <c r="V211"/>
      <c r="W211"/>
    </row>
    <row r="212" spans="1:23" ht="18" customHeight="1" x14ac:dyDescent="0.2">
      <c r="A212" s="23" t="s">
        <v>5</v>
      </c>
      <c r="B212" s="23" t="s">
        <v>97</v>
      </c>
      <c r="C212" s="50" t="s">
        <v>7</v>
      </c>
      <c r="D212" s="50" t="s">
        <v>126</v>
      </c>
      <c r="E212" s="50" t="s">
        <v>8</v>
      </c>
      <c r="F212" s="50" t="s">
        <v>9</v>
      </c>
      <c r="G212" s="31" t="s">
        <v>10</v>
      </c>
      <c r="H212" s="116" t="s">
        <v>11</v>
      </c>
      <c r="I212" s="117"/>
      <c r="J212" s="117"/>
      <c r="K212" s="117"/>
      <c r="L212" s="118"/>
      <c r="P212"/>
      <c r="Q212"/>
      <c r="R212"/>
      <c r="S212"/>
      <c r="T212"/>
      <c r="U212"/>
      <c r="V212"/>
      <c r="W212"/>
    </row>
    <row r="213" spans="1:23" ht="18" customHeight="1" x14ac:dyDescent="0.2">
      <c r="A213" s="49" t="s">
        <v>380</v>
      </c>
      <c r="B213" s="49" t="s">
        <v>381</v>
      </c>
      <c r="C213" s="36">
        <v>1.7</v>
      </c>
      <c r="D213" s="49" t="s">
        <v>126</v>
      </c>
      <c r="E213" s="49" t="s">
        <v>138</v>
      </c>
      <c r="F213" s="49" t="s">
        <v>488</v>
      </c>
      <c r="G213" s="29" t="s">
        <v>138</v>
      </c>
      <c r="H213" s="120" t="s">
        <v>310</v>
      </c>
      <c r="I213" s="120"/>
      <c r="J213" s="120"/>
      <c r="K213" s="120"/>
      <c r="L213" s="120"/>
      <c r="P213"/>
      <c r="Q213"/>
      <c r="R213"/>
      <c r="S213"/>
      <c r="T213"/>
      <c r="U213"/>
      <c r="V213"/>
      <c r="W213"/>
    </row>
    <row r="214" spans="1:23" ht="18" customHeight="1" x14ac:dyDescent="0.2">
      <c r="A214" s="49" t="s">
        <v>406</v>
      </c>
      <c r="B214" s="49" t="s">
        <v>407</v>
      </c>
      <c r="C214" s="36">
        <v>0.17119999999999999</v>
      </c>
      <c r="D214" s="49" t="s">
        <v>126</v>
      </c>
      <c r="E214" s="49" t="s">
        <v>138</v>
      </c>
      <c r="F214" s="49" t="s">
        <v>400</v>
      </c>
      <c r="G214" s="29" t="s">
        <v>489</v>
      </c>
      <c r="H214" s="119" t="s">
        <v>490</v>
      </c>
      <c r="I214" s="119"/>
      <c r="J214" s="119"/>
      <c r="K214" s="119"/>
      <c r="L214" s="119"/>
      <c r="P214"/>
      <c r="Q214"/>
      <c r="R214"/>
      <c r="S214"/>
      <c r="T214"/>
      <c r="U214"/>
      <c r="V214"/>
      <c r="W214"/>
    </row>
    <row r="215" spans="1:23" ht="18" customHeight="1" x14ac:dyDescent="0.2">
      <c r="A215" s="49" t="s">
        <v>448</v>
      </c>
      <c r="B215" s="47" t="s">
        <v>449</v>
      </c>
      <c r="C215" s="48">
        <v>8.871383951097353E-2</v>
      </c>
      <c r="D215" s="49" t="s">
        <v>126</v>
      </c>
      <c r="E215" s="49" t="s">
        <v>138</v>
      </c>
      <c r="F215" s="49" t="s">
        <v>400</v>
      </c>
      <c r="G215" s="29" t="s">
        <v>138</v>
      </c>
      <c r="H215" s="119" t="s">
        <v>450</v>
      </c>
      <c r="I215" s="119"/>
      <c r="J215" s="119"/>
      <c r="K215" s="119"/>
      <c r="L215" s="119"/>
      <c r="P215"/>
      <c r="Q215"/>
      <c r="R215"/>
      <c r="S215"/>
      <c r="T215"/>
      <c r="U215"/>
      <c r="V215"/>
      <c r="W215"/>
    </row>
    <row r="216" spans="1:23" ht="18" customHeight="1" x14ac:dyDescent="0.2">
      <c r="A216" s="49" t="s">
        <v>404</v>
      </c>
      <c r="B216" s="49" t="s">
        <v>437</v>
      </c>
      <c r="C216" s="36">
        <f>3.37*PI()/180</f>
        <v>5.881759579220891E-2</v>
      </c>
      <c r="D216" s="49" t="s">
        <v>126</v>
      </c>
      <c r="E216" s="49" t="s">
        <v>408</v>
      </c>
      <c r="F216" s="49" t="s">
        <v>9</v>
      </c>
      <c r="G216" s="29" t="s">
        <v>499</v>
      </c>
      <c r="H216" s="119" t="s">
        <v>410</v>
      </c>
      <c r="I216" s="119"/>
      <c r="J216" s="119"/>
      <c r="K216" s="119"/>
      <c r="L216" s="119"/>
      <c r="P216"/>
      <c r="Q216"/>
      <c r="R216"/>
      <c r="S216"/>
      <c r="T216"/>
      <c r="U216"/>
      <c r="V216"/>
      <c r="W216"/>
    </row>
    <row r="217" spans="1:23" ht="18" customHeight="1" x14ac:dyDescent="0.2">
      <c r="A217" s="49" t="s">
        <v>481</v>
      </c>
      <c r="B217" s="47" t="s">
        <v>482</v>
      </c>
      <c r="C217" s="48">
        <f>C215/C219</f>
        <v>3.0478590850066198E-2</v>
      </c>
      <c r="D217" s="49" t="s">
        <v>126</v>
      </c>
      <c r="E217" s="49" t="s">
        <v>408</v>
      </c>
      <c r="F217" s="49" t="s">
        <v>21</v>
      </c>
      <c r="G217" s="29" t="s">
        <v>483</v>
      </c>
      <c r="H217" s="119" t="s">
        <v>484</v>
      </c>
      <c r="I217" s="119"/>
      <c r="J217" s="119"/>
      <c r="K217" s="119"/>
      <c r="L217" s="119"/>
      <c r="P217"/>
      <c r="Q217"/>
      <c r="R217"/>
      <c r="S217"/>
      <c r="T217"/>
      <c r="U217"/>
      <c r="V217"/>
      <c r="W217"/>
    </row>
    <row r="218" spans="1:23" ht="18" customHeight="1" x14ac:dyDescent="0.2">
      <c r="A218" s="49" t="s">
        <v>420</v>
      </c>
      <c r="B218" s="49" t="s">
        <v>421</v>
      </c>
      <c r="C218" s="36">
        <f>C214/C216</f>
        <v>2.9106936061245379</v>
      </c>
      <c r="D218" s="49" t="s">
        <v>126</v>
      </c>
      <c r="E218" s="49" t="s">
        <v>422</v>
      </c>
      <c r="F218" s="49" t="s">
        <v>21</v>
      </c>
      <c r="G218" s="29" t="s">
        <v>423</v>
      </c>
      <c r="H218" s="99" t="s">
        <v>424</v>
      </c>
      <c r="I218" s="99"/>
      <c r="J218" s="99"/>
      <c r="K218" s="99"/>
      <c r="L218" s="99"/>
      <c r="P218"/>
      <c r="Q218"/>
      <c r="R218"/>
      <c r="S218"/>
      <c r="T218"/>
      <c r="U218"/>
      <c r="V218"/>
      <c r="W218"/>
    </row>
    <row r="219" spans="1:23" ht="18" customHeight="1" x14ac:dyDescent="0.2">
      <c r="A219" s="49" t="s">
        <v>426</v>
      </c>
      <c r="B219" s="49" t="s">
        <v>427</v>
      </c>
      <c r="C219" s="36">
        <f>C218</f>
        <v>2.9106936061245379</v>
      </c>
      <c r="D219" s="49" t="s">
        <v>126</v>
      </c>
      <c r="E219" s="49" t="s">
        <v>422</v>
      </c>
      <c r="F219" s="49" t="s">
        <v>21</v>
      </c>
      <c r="G219" s="29" t="s">
        <v>428</v>
      </c>
      <c r="H219" s="99" t="s">
        <v>429</v>
      </c>
      <c r="I219" s="99"/>
      <c r="J219" s="99"/>
      <c r="K219" s="99"/>
      <c r="L219" s="99"/>
      <c r="P219"/>
      <c r="Q219"/>
      <c r="R219"/>
      <c r="S219"/>
      <c r="T219"/>
      <c r="U219"/>
      <c r="V219"/>
      <c r="W219"/>
    </row>
    <row r="220" spans="1:23" ht="18" customHeight="1" x14ac:dyDescent="0.2">
      <c r="A220" s="52" t="s">
        <v>430</v>
      </c>
      <c r="B220" s="49" t="s">
        <v>431</v>
      </c>
      <c r="C220" s="36">
        <f>$C$7/C216</f>
        <v>1.2914067957600628</v>
      </c>
      <c r="D220" s="49" t="s">
        <v>126</v>
      </c>
      <c r="E220" s="49" t="s">
        <v>432</v>
      </c>
      <c r="F220" s="49" t="s">
        <v>21</v>
      </c>
      <c r="G220" s="29" t="s">
        <v>433</v>
      </c>
      <c r="H220" s="99" t="s">
        <v>434</v>
      </c>
      <c r="I220" s="99"/>
      <c r="J220" s="99"/>
      <c r="K220" s="99"/>
      <c r="L220" s="99"/>
      <c r="P220"/>
      <c r="Q220"/>
      <c r="R220"/>
      <c r="S220"/>
      <c r="T220"/>
      <c r="U220"/>
      <c r="V220"/>
      <c r="W220"/>
    </row>
    <row r="221" spans="1:23" ht="18" customHeight="1" x14ac:dyDescent="0.2">
      <c r="A221" s="49" t="s">
        <v>435</v>
      </c>
      <c r="B221" s="49" t="s">
        <v>436</v>
      </c>
      <c r="C221" s="36">
        <f>2*'Stability Constants'!$C$13*('Stability Constants'!$C$4-'Stability Constants'!$C$3)*'Stability Constants'!$C$14*'Supersonic Stability'!C216</f>
        <v>115194.87184691474</v>
      </c>
      <c r="D221" s="49" t="s">
        <v>126</v>
      </c>
      <c r="E221" s="49" t="s">
        <v>225</v>
      </c>
      <c r="F221" s="49" t="s">
        <v>21</v>
      </c>
      <c r="G221" s="29" t="s">
        <v>438</v>
      </c>
      <c r="H221" s="99" t="s">
        <v>439</v>
      </c>
      <c r="I221" s="99"/>
      <c r="J221" s="99"/>
      <c r="K221" s="99"/>
      <c r="L221" s="99"/>
      <c r="P221"/>
      <c r="Q221"/>
      <c r="R221"/>
      <c r="S221"/>
      <c r="T221"/>
      <c r="U221"/>
      <c r="V221"/>
      <c r="W221"/>
    </row>
    <row r="222" spans="1:23" ht="18" customHeight="1" x14ac:dyDescent="0.2">
      <c r="A222" s="49" t="s">
        <v>440</v>
      </c>
      <c r="B222" s="49" t="s">
        <v>441</v>
      </c>
      <c r="C222" s="36">
        <f>2*'Stability Constants'!$C$13*('Stability Constants'!$C$6-'Stability Constants'!$C$5)*'Stability Constants'!$C$15*'Supersonic Stability'!C216</f>
        <v>72064.072947454086</v>
      </c>
      <c r="D222" s="49" t="s">
        <v>126</v>
      </c>
      <c r="E222" s="49" t="s">
        <v>225</v>
      </c>
      <c r="F222" s="49" t="s">
        <v>21</v>
      </c>
      <c r="G222" s="29" t="s">
        <v>443</v>
      </c>
      <c r="H222" s="99" t="s">
        <v>439</v>
      </c>
      <c r="I222" s="99"/>
      <c r="J222" s="99"/>
      <c r="K222" s="99"/>
      <c r="L222" s="99"/>
      <c r="P222"/>
      <c r="Q222"/>
      <c r="R222"/>
      <c r="S222"/>
      <c r="T222"/>
      <c r="U222"/>
      <c r="V222"/>
      <c r="W222"/>
    </row>
    <row r="223" spans="1:23" ht="18" customHeight="1" x14ac:dyDescent="0.2">
      <c r="A223" s="112" t="s">
        <v>505</v>
      </c>
      <c r="B223" s="114"/>
      <c r="C223" s="114"/>
      <c r="D223" s="114"/>
      <c r="E223" s="114"/>
      <c r="F223" s="114"/>
      <c r="G223" s="114"/>
      <c r="H223" s="113"/>
      <c r="I223" s="113"/>
      <c r="J223" s="113"/>
      <c r="K223" s="113"/>
      <c r="L223" s="122"/>
      <c r="P223"/>
      <c r="Q223"/>
      <c r="R223"/>
      <c r="S223"/>
      <c r="T223"/>
      <c r="U223"/>
      <c r="V223"/>
      <c r="W223"/>
    </row>
    <row r="224" spans="1:23" ht="46" customHeight="1" x14ac:dyDescent="0.2">
      <c r="A224" s="23" t="s">
        <v>5</v>
      </c>
      <c r="B224" s="23" t="s">
        <v>97</v>
      </c>
      <c r="C224" s="50" t="s">
        <v>7</v>
      </c>
      <c r="D224" s="50" t="s">
        <v>126</v>
      </c>
      <c r="E224" s="50" t="s">
        <v>8</v>
      </c>
      <c r="F224" s="50" t="s">
        <v>9</v>
      </c>
      <c r="G224" s="31" t="s">
        <v>10</v>
      </c>
      <c r="H224" s="116" t="s">
        <v>11</v>
      </c>
      <c r="I224" s="117"/>
      <c r="J224" s="117"/>
      <c r="K224" s="117"/>
      <c r="L224" s="118"/>
      <c r="P224"/>
      <c r="Q224"/>
      <c r="R224"/>
      <c r="S224"/>
      <c r="T224"/>
      <c r="U224"/>
      <c r="V224"/>
      <c r="W224"/>
    </row>
    <row r="225" spans="1:23" ht="18" customHeight="1" x14ac:dyDescent="0.2">
      <c r="A225" s="49" t="s">
        <v>380</v>
      </c>
      <c r="B225" s="49" t="s">
        <v>381</v>
      </c>
      <c r="C225" s="36">
        <v>1.8</v>
      </c>
      <c r="D225" s="49" t="s">
        <v>126</v>
      </c>
      <c r="E225" s="49" t="s">
        <v>138</v>
      </c>
      <c r="F225" s="49" t="s">
        <v>488</v>
      </c>
      <c r="G225" s="29" t="s">
        <v>138</v>
      </c>
      <c r="H225" s="120" t="s">
        <v>310</v>
      </c>
      <c r="I225" s="120"/>
      <c r="J225" s="120"/>
      <c r="K225" s="120"/>
      <c r="L225" s="120"/>
      <c r="P225"/>
      <c r="Q225"/>
      <c r="R225"/>
      <c r="S225"/>
      <c r="T225"/>
      <c r="U225"/>
      <c r="V225"/>
      <c r="W225"/>
    </row>
    <row r="226" spans="1:23" ht="18" customHeight="1" x14ac:dyDescent="0.2">
      <c r="A226" s="49" t="s">
        <v>406</v>
      </c>
      <c r="B226" s="49" t="s">
        <v>407</v>
      </c>
      <c r="C226" s="36">
        <v>0.1527</v>
      </c>
      <c r="D226" s="49" t="s">
        <v>126</v>
      </c>
      <c r="E226" s="49" t="s">
        <v>138</v>
      </c>
      <c r="F226" s="49" t="s">
        <v>400</v>
      </c>
      <c r="G226" s="29" t="s">
        <v>489</v>
      </c>
      <c r="H226" s="119" t="s">
        <v>490</v>
      </c>
      <c r="I226" s="119"/>
      <c r="J226" s="119"/>
      <c r="K226" s="119"/>
      <c r="L226" s="119"/>
      <c r="P226"/>
      <c r="Q226"/>
      <c r="R226"/>
      <c r="S226"/>
      <c r="T226"/>
      <c r="U226"/>
      <c r="V226"/>
      <c r="W226"/>
    </row>
    <row r="227" spans="1:23" ht="18" customHeight="1" x14ac:dyDescent="0.2">
      <c r="A227" s="49" t="s">
        <v>448</v>
      </c>
      <c r="B227" s="47" t="s">
        <v>449</v>
      </c>
      <c r="C227" s="48">
        <v>8.4895571438886527E-2</v>
      </c>
      <c r="D227" s="49" t="s">
        <v>126</v>
      </c>
      <c r="E227" s="49" t="s">
        <v>138</v>
      </c>
      <c r="F227" s="49" t="s">
        <v>400</v>
      </c>
      <c r="G227" s="29" t="s">
        <v>138</v>
      </c>
      <c r="H227" s="119" t="s">
        <v>450</v>
      </c>
      <c r="I227" s="119"/>
      <c r="J227" s="119"/>
      <c r="K227" s="119"/>
      <c r="L227" s="119"/>
      <c r="P227"/>
      <c r="Q227"/>
      <c r="R227"/>
      <c r="S227"/>
      <c r="T227"/>
      <c r="U227"/>
      <c r="V227"/>
      <c r="W227"/>
    </row>
    <row r="228" spans="1:23" ht="18" customHeight="1" x14ac:dyDescent="0.2">
      <c r="A228" s="49" t="s">
        <v>404</v>
      </c>
      <c r="B228" s="49" t="s">
        <v>437</v>
      </c>
      <c r="C228" s="36">
        <f>3.24*PI()/180</f>
        <v>5.6548667764616284E-2</v>
      </c>
      <c r="D228" s="49" t="s">
        <v>126</v>
      </c>
      <c r="E228" s="49" t="s">
        <v>408</v>
      </c>
      <c r="F228" s="49" t="s">
        <v>9</v>
      </c>
      <c r="G228" s="29" t="s">
        <v>138</v>
      </c>
      <c r="H228" s="119" t="s">
        <v>410</v>
      </c>
      <c r="I228" s="119"/>
      <c r="J228" s="119"/>
      <c r="K228" s="119"/>
      <c r="L228" s="119"/>
      <c r="P228"/>
      <c r="Q228"/>
      <c r="R228"/>
      <c r="S228"/>
      <c r="T228"/>
      <c r="U228"/>
      <c r="V228"/>
      <c r="W228"/>
    </row>
    <row r="229" spans="1:23" ht="18" customHeight="1" x14ac:dyDescent="0.2">
      <c r="A229" s="49" t="s">
        <v>481</v>
      </c>
      <c r="B229" s="47" t="s">
        <v>482</v>
      </c>
      <c r="C229" s="48">
        <f>C227/C231</f>
        <v>3.1438974878748145E-2</v>
      </c>
      <c r="D229" s="49" t="s">
        <v>126</v>
      </c>
      <c r="E229" s="49" t="s">
        <v>408</v>
      </c>
      <c r="F229" s="49" t="s">
        <v>21</v>
      </c>
      <c r="G229" s="29" t="s">
        <v>483</v>
      </c>
      <c r="H229" s="119" t="s">
        <v>484</v>
      </c>
      <c r="I229" s="119"/>
      <c r="J229" s="119"/>
      <c r="K229" s="119"/>
      <c r="L229" s="119"/>
      <c r="P229"/>
      <c r="Q229"/>
      <c r="R229"/>
      <c r="S229"/>
      <c r="T229"/>
      <c r="U229"/>
      <c r="V229"/>
      <c r="W229"/>
    </row>
    <row r="230" spans="1:23" ht="18" customHeight="1" x14ac:dyDescent="0.2">
      <c r="A230" s="49" t="s">
        <v>420</v>
      </c>
      <c r="B230" s="49" t="s">
        <v>421</v>
      </c>
      <c r="C230" s="36">
        <f>C226/C228</f>
        <v>2.7003288677924906</v>
      </c>
      <c r="D230" s="49" t="s">
        <v>126</v>
      </c>
      <c r="E230" s="49" t="s">
        <v>422</v>
      </c>
      <c r="F230" s="49" t="s">
        <v>21</v>
      </c>
      <c r="G230" s="29" t="s">
        <v>423</v>
      </c>
      <c r="H230" s="99" t="s">
        <v>424</v>
      </c>
      <c r="I230" s="99"/>
      <c r="J230" s="99"/>
      <c r="K230" s="99"/>
      <c r="L230" s="99"/>
      <c r="P230"/>
      <c r="Q230"/>
      <c r="R230"/>
      <c r="S230"/>
      <c r="T230"/>
      <c r="U230"/>
      <c r="V230"/>
      <c r="W230"/>
    </row>
    <row r="231" spans="1:23" ht="18" customHeight="1" x14ac:dyDescent="0.2">
      <c r="A231" s="49" t="s">
        <v>426</v>
      </c>
      <c r="B231" s="49" t="s">
        <v>427</v>
      </c>
      <c r="C231" s="36">
        <f>C230</f>
        <v>2.7003288677924906</v>
      </c>
      <c r="D231" s="49" t="s">
        <v>126</v>
      </c>
      <c r="E231" s="49" t="s">
        <v>422</v>
      </c>
      <c r="F231" s="49" t="s">
        <v>21</v>
      </c>
      <c r="G231" s="29" t="s">
        <v>428</v>
      </c>
      <c r="H231" s="99" t="s">
        <v>429</v>
      </c>
      <c r="I231" s="99"/>
      <c r="J231" s="99"/>
      <c r="K231" s="99"/>
      <c r="L231" s="99"/>
      <c r="P231"/>
      <c r="Q231"/>
      <c r="R231"/>
      <c r="S231"/>
      <c r="T231"/>
      <c r="U231"/>
      <c r="V231"/>
      <c r="W231"/>
    </row>
    <row r="232" spans="1:23" ht="18" customHeight="1" x14ac:dyDescent="0.2">
      <c r="A232" s="52" t="s">
        <v>430</v>
      </c>
      <c r="B232" s="49" t="s">
        <v>431</v>
      </c>
      <c r="C232" s="36">
        <f>$C$7/C228</f>
        <v>1.3432225005282132</v>
      </c>
      <c r="D232" s="49" t="s">
        <v>126</v>
      </c>
      <c r="E232" s="49" t="s">
        <v>432</v>
      </c>
      <c r="F232" s="49" t="s">
        <v>21</v>
      </c>
      <c r="G232" s="29" t="s">
        <v>433</v>
      </c>
      <c r="H232" s="99" t="s">
        <v>434</v>
      </c>
      <c r="I232" s="99"/>
      <c r="J232" s="99"/>
      <c r="K232" s="99"/>
      <c r="L232" s="99"/>
      <c r="P232"/>
      <c r="Q232"/>
      <c r="R232"/>
      <c r="S232"/>
      <c r="T232"/>
      <c r="U232"/>
      <c r="V232"/>
      <c r="W232"/>
    </row>
    <row r="233" spans="1:23" ht="18" customHeight="1" x14ac:dyDescent="0.2">
      <c r="A233" s="49" t="s">
        <v>435</v>
      </c>
      <c r="B233" s="49" t="s">
        <v>436</v>
      </c>
      <c r="C233" s="36">
        <f>2*'Stability Constants'!$C$13*('Stability Constants'!$C$4-'Stability Constants'!$C$3)*'Stability Constants'!$C$14*'Supersonic Stability'!C228</f>
        <v>110751.15275489727</v>
      </c>
      <c r="D233" s="49" t="s">
        <v>126</v>
      </c>
      <c r="E233" s="49" t="s">
        <v>225</v>
      </c>
      <c r="F233" s="49" t="s">
        <v>21</v>
      </c>
      <c r="G233" s="29" t="s">
        <v>438</v>
      </c>
      <c r="H233" s="99" t="s">
        <v>439</v>
      </c>
      <c r="I233" s="99"/>
      <c r="J233" s="99"/>
      <c r="K233" s="99"/>
      <c r="L233" s="99"/>
      <c r="P233"/>
      <c r="Q233"/>
      <c r="R233"/>
      <c r="S233"/>
      <c r="T233"/>
      <c r="U233"/>
      <c r="V233"/>
      <c r="W233"/>
    </row>
    <row r="234" spans="1:23" ht="18" customHeight="1" x14ac:dyDescent="0.2">
      <c r="A234" s="49" t="s">
        <v>440</v>
      </c>
      <c r="B234" s="49" t="s">
        <v>441</v>
      </c>
      <c r="C234" s="36">
        <f>2*'Stability Constants'!$C$13*('Stability Constants'!$C$6-'Stability Constants'!$C$5)*'Stability Constants'!$C$15*'Supersonic Stability'!C228</f>
        <v>69284.153219510757</v>
      </c>
      <c r="D234" s="49" t="s">
        <v>126</v>
      </c>
      <c r="E234" s="49" t="s">
        <v>225</v>
      </c>
      <c r="F234" s="49" t="s">
        <v>21</v>
      </c>
      <c r="G234" s="29" t="s">
        <v>443</v>
      </c>
      <c r="H234" s="99" t="s">
        <v>439</v>
      </c>
      <c r="I234" s="99"/>
      <c r="J234" s="99"/>
      <c r="K234" s="99"/>
      <c r="L234" s="99"/>
      <c r="P234"/>
      <c r="Q234"/>
      <c r="R234"/>
      <c r="S234"/>
      <c r="T234"/>
      <c r="U234"/>
      <c r="V234"/>
      <c r="W234"/>
    </row>
    <row r="235" spans="1:23" ht="18" customHeight="1" x14ac:dyDescent="0.2">
      <c r="A235" s="112" t="s">
        <v>513</v>
      </c>
      <c r="B235" s="114"/>
      <c r="C235" s="114"/>
      <c r="D235" s="114"/>
      <c r="E235" s="114"/>
      <c r="F235" s="114"/>
      <c r="G235" s="114"/>
      <c r="H235" s="113"/>
      <c r="I235" s="113"/>
      <c r="J235" s="113"/>
      <c r="K235" s="113"/>
      <c r="L235" s="122"/>
      <c r="P235"/>
      <c r="Q235"/>
      <c r="R235"/>
      <c r="S235"/>
      <c r="T235"/>
      <c r="U235"/>
      <c r="V235"/>
      <c r="W235"/>
    </row>
    <row r="236" spans="1:23" ht="18" customHeight="1" x14ac:dyDescent="0.2">
      <c r="A236" s="23" t="s">
        <v>5</v>
      </c>
      <c r="B236" s="23" t="s">
        <v>97</v>
      </c>
      <c r="C236" s="50" t="s">
        <v>7</v>
      </c>
      <c r="D236" s="50" t="s">
        <v>126</v>
      </c>
      <c r="E236" s="50" t="s">
        <v>8</v>
      </c>
      <c r="F236" s="50" t="s">
        <v>9</v>
      </c>
      <c r="G236" s="31" t="s">
        <v>460</v>
      </c>
      <c r="H236" s="116" t="s">
        <v>11</v>
      </c>
      <c r="I236" s="117"/>
      <c r="J236" s="117"/>
      <c r="K236" s="117"/>
      <c r="L236" s="118"/>
      <c r="P236"/>
      <c r="Q236"/>
      <c r="R236"/>
      <c r="S236"/>
      <c r="T236"/>
      <c r="U236"/>
      <c r="V236"/>
      <c r="W236"/>
    </row>
    <row r="237" spans="1:23" ht="18" customHeight="1" x14ac:dyDescent="0.2">
      <c r="A237" s="49" t="s">
        <v>451</v>
      </c>
      <c r="B237" s="47" t="s">
        <v>447</v>
      </c>
      <c r="C237" s="48">
        <f>(C202 + C203* 'Stability Constants'!$C$16*'Supersonic Stability'!$C$4/'Initial Estimates'!$C$5)*'Stability Constants'!$C$8/'Initial Estimates'!$C$10 - 'Supersonic Stability'!C203*'Stability Constants'!$C$16*'Supersonic Stability'!$C$4/'Initial Estimates'!$C$5*'Stability Constants'!$C$10/'Initial Estimates'!$C$10+'Supersonic Stability'!$C$5+('Supersonic Stability'!C209+'Stability Constants'!$C$11*'Supersonic Stability'!C210)/('Stability Constants'!$C$13*'Initial Estimates'!$C$5*'Initial Estimates'!$C$10)</f>
        <v>-8.5282300980948009E-3</v>
      </c>
      <c r="D237" s="49" t="s">
        <v>126</v>
      </c>
      <c r="E237" s="49" t="s">
        <v>138</v>
      </c>
      <c r="F237" s="49" t="s">
        <v>21</v>
      </c>
      <c r="G237" s="29" t="s">
        <v>461</v>
      </c>
      <c r="H237" s="99" t="s">
        <v>439</v>
      </c>
      <c r="I237" s="99"/>
      <c r="J237" s="99"/>
      <c r="K237" s="99"/>
      <c r="L237" s="99"/>
      <c r="P237"/>
      <c r="Q237"/>
      <c r="R237"/>
      <c r="S237"/>
      <c r="T237"/>
      <c r="U237"/>
      <c r="V237"/>
      <c r="W237"/>
    </row>
    <row r="238" spans="1:23" ht="18" customHeight="1" x14ac:dyDescent="0.2">
      <c r="A238" s="49" t="s">
        <v>452</v>
      </c>
      <c r="B238" s="47" t="s">
        <v>447</v>
      </c>
      <c r="C238" s="48">
        <f>(C214 + C215* 'Stability Constants'!$C$16*'Supersonic Stability'!$C$4/'Initial Estimates'!$C$5)*'Stability Constants'!$C$8/'Initial Estimates'!$C$10 - 'Supersonic Stability'!C215*'Stability Constants'!$C$16*'Supersonic Stability'!$C$4/'Initial Estimates'!$C$5*'Stability Constants'!$C$10/'Initial Estimates'!$C$10+'Supersonic Stability'!$C$5+('Supersonic Stability'!C221+'Stability Constants'!$C$11*'Supersonic Stability'!C222)/('Stability Constants'!$C$13*'Initial Estimates'!$C$5*'Initial Estimates'!$C$10)</f>
        <v>-1.1285678532779071E-2</v>
      </c>
      <c r="D238" s="49" t="s">
        <v>126</v>
      </c>
      <c r="E238" s="49" t="s">
        <v>138</v>
      </c>
      <c r="F238" s="49" t="s">
        <v>21</v>
      </c>
      <c r="G238" s="29" t="s">
        <v>461</v>
      </c>
      <c r="H238" s="99" t="s">
        <v>439</v>
      </c>
      <c r="I238" s="99"/>
      <c r="J238" s="99"/>
      <c r="K238" s="99"/>
      <c r="L238" s="99"/>
      <c r="P238"/>
      <c r="Q238"/>
      <c r="R238"/>
      <c r="S238"/>
      <c r="T238"/>
      <c r="U238"/>
      <c r="V238"/>
      <c r="W238"/>
    </row>
    <row r="239" spans="1:23" ht="18" customHeight="1" x14ac:dyDescent="0.2">
      <c r="A239" s="49" t="s">
        <v>453</v>
      </c>
      <c r="B239" s="47" t="s">
        <v>447</v>
      </c>
      <c r="C239" s="48">
        <f>(C226 + C227* 'Stability Constants'!$C$16*'Supersonic Stability'!$C$4/'Initial Estimates'!$C$5)*'Stability Constants'!$C$8/'Initial Estimates'!$C$10 - 'Supersonic Stability'!C227*'Stability Constants'!$C$16*'Supersonic Stability'!$C$4/'Initial Estimates'!$C$5*'Stability Constants'!$C$10/'Initial Estimates'!$C$10+'Supersonic Stability'!$C$5+('Supersonic Stability'!C233+'Stability Constants'!$C$11*'Supersonic Stability'!C234)/('Stability Constants'!$C$13*'Initial Estimates'!$C$5*'Initial Estimates'!$C$10)</f>
        <v>-1.3621323600472281E-2</v>
      </c>
      <c r="D239" s="49" t="s">
        <v>126</v>
      </c>
      <c r="E239" s="49" t="s">
        <v>138</v>
      </c>
      <c r="F239" s="49" t="s">
        <v>21</v>
      </c>
      <c r="G239" s="29" t="s">
        <v>461</v>
      </c>
      <c r="H239" s="99" t="s">
        <v>439</v>
      </c>
      <c r="I239" s="99"/>
      <c r="J239" s="99"/>
      <c r="K239" s="99"/>
      <c r="L239" s="99"/>
      <c r="P239"/>
      <c r="Q239"/>
      <c r="R239"/>
      <c r="S239"/>
      <c r="T239"/>
      <c r="U239"/>
      <c r="V239"/>
      <c r="W239"/>
    </row>
    <row r="240" spans="1:23" ht="18" customHeight="1" x14ac:dyDescent="0.2">
      <c r="A240" s="49" t="s">
        <v>509</v>
      </c>
      <c r="B240" s="47" t="s">
        <v>454</v>
      </c>
      <c r="C240" s="48">
        <f xml:space="preserve"> ( C206 + C207*(1 - C208)*'Stability Constants'!$C$16*('Supersonic Stability'!$C$4/'Initial Estimates'!$C$5))*('Stability Constants'!$C$8/'Initial Estimates'!$C$10) - C207*(1 - C208)*'Stability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1.5416544923810016</v>
      </c>
      <c r="D240" s="49" t="s">
        <v>126</v>
      </c>
      <c r="E240" s="49" t="s">
        <v>422</v>
      </c>
      <c r="F240" s="49" t="s">
        <v>21</v>
      </c>
      <c r="G240" s="29" t="s">
        <v>459</v>
      </c>
      <c r="H240" s="99" t="s">
        <v>439</v>
      </c>
      <c r="I240" s="99"/>
      <c r="J240" s="99"/>
      <c r="K240" s="99"/>
      <c r="L240" s="99"/>
      <c r="P240"/>
      <c r="Q240"/>
      <c r="R240"/>
      <c r="S240"/>
      <c r="T240"/>
      <c r="U240"/>
      <c r="V240"/>
      <c r="W240"/>
    </row>
    <row r="241" spans="1:23" ht="18" customHeight="1" x14ac:dyDescent="0.2">
      <c r="A241" s="49" t="s">
        <v>510</v>
      </c>
      <c r="B241" s="47" t="s">
        <v>454</v>
      </c>
      <c r="C241" s="48">
        <f xml:space="preserve"> ( C218 + C219*(1 - C220)*'Stability Constants'!$C$16*('Supersonic Stability'!$C$4/'Initial Estimates'!$C$5))*('Stability Constants'!$C$8/'Initial Estimates'!$C$10) - C219*(1 - C220)*'Stability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1.5072067048841737</v>
      </c>
      <c r="D241" s="49" t="s">
        <v>126</v>
      </c>
      <c r="E241" s="49" t="s">
        <v>422</v>
      </c>
      <c r="F241" s="49" t="s">
        <v>21</v>
      </c>
      <c r="G241" s="29" t="s">
        <v>459</v>
      </c>
      <c r="H241" s="99" t="s">
        <v>439</v>
      </c>
      <c r="I241" s="99"/>
      <c r="J241" s="99"/>
      <c r="K241" s="99"/>
      <c r="L241" s="99"/>
      <c r="P241"/>
      <c r="Q241"/>
      <c r="R241"/>
      <c r="S241"/>
      <c r="T241"/>
      <c r="U241"/>
      <c r="V241"/>
      <c r="W241"/>
    </row>
    <row r="242" spans="1:23" ht="18" customHeight="1" x14ac:dyDescent="0.2">
      <c r="A242" s="49" t="s">
        <v>508</v>
      </c>
      <c r="B242" s="47" t="s">
        <v>454</v>
      </c>
      <c r="C242" s="48">
        <f xml:space="preserve"> ( C230 + C231*(1 - C232)*'Stability Constants'!$C$16*('Supersonic Stability'!$C$4/'Initial Estimates'!$C$5))*('Stability Constants'!$C$8/'Initial Estimates'!$C$10) - C231*(1 - C232)*'Stability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1.4688850654020822</v>
      </c>
      <c r="D242" s="49" t="s">
        <v>126</v>
      </c>
      <c r="E242" s="49" t="s">
        <v>422</v>
      </c>
      <c r="F242" s="49" t="s">
        <v>21</v>
      </c>
      <c r="G242" s="29" t="s">
        <v>459</v>
      </c>
      <c r="H242" s="99" t="s">
        <v>439</v>
      </c>
      <c r="I242" s="99"/>
      <c r="J242" s="99"/>
      <c r="K242" s="99"/>
      <c r="L242" s="99"/>
      <c r="P242"/>
      <c r="Q242"/>
      <c r="R242"/>
      <c r="S242"/>
      <c r="T242"/>
      <c r="U242"/>
      <c r="V242"/>
      <c r="W242"/>
    </row>
    <row r="243" spans="1:23" ht="18" customHeight="1" x14ac:dyDescent="0.2">
      <c r="P243"/>
      <c r="Q243"/>
      <c r="R243"/>
      <c r="S243"/>
      <c r="T243"/>
      <c r="U243"/>
      <c r="V243"/>
      <c r="W243"/>
    </row>
    <row r="244" spans="1:23" ht="18" customHeight="1" x14ac:dyDescent="0.2">
      <c r="A244" s="123"/>
      <c r="B244" s="123"/>
      <c r="C244" s="123"/>
      <c r="D244" s="123"/>
      <c r="E244" s="123"/>
      <c r="F244" s="123"/>
      <c r="G244" s="123"/>
      <c r="H244" s="123"/>
      <c r="I244" s="123"/>
      <c r="J244" s="123"/>
      <c r="K244" s="123"/>
      <c r="L244" s="123"/>
      <c r="P244"/>
      <c r="Q244"/>
      <c r="R244"/>
      <c r="S244"/>
      <c r="T244"/>
      <c r="U244"/>
      <c r="V244"/>
      <c r="W244"/>
    </row>
    <row r="245" spans="1:23" ht="18" customHeight="1" x14ac:dyDescent="0.2">
      <c r="A245" s="124"/>
      <c r="B245" s="124"/>
      <c r="C245" s="124"/>
      <c r="D245" s="124"/>
      <c r="E245" s="124"/>
      <c r="F245" s="124"/>
      <c r="G245" s="124"/>
      <c r="H245" s="124"/>
      <c r="I245" s="124"/>
      <c r="J245" s="124"/>
      <c r="K245" s="124"/>
      <c r="L245" s="124"/>
      <c r="P245"/>
      <c r="Q245"/>
      <c r="R245"/>
      <c r="S245"/>
      <c r="T245"/>
      <c r="U245"/>
      <c r="V245"/>
      <c r="W245"/>
    </row>
    <row r="246" spans="1:23" ht="18" customHeight="1" x14ac:dyDescent="0.2">
      <c r="A246" s="112" t="s">
        <v>514</v>
      </c>
      <c r="B246" s="114"/>
      <c r="C246" s="114"/>
      <c r="D246" s="114"/>
      <c r="E246" s="114"/>
      <c r="F246" s="114"/>
      <c r="G246" s="114"/>
      <c r="H246" s="114"/>
      <c r="I246" s="114"/>
      <c r="J246" s="114"/>
      <c r="K246" s="114"/>
      <c r="L246" s="115"/>
      <c r="P246"/>
      <c r="Q246"/>
      <c r="R246"/>
      <c r="S246"/>
      <c r="T246"/>
      <c r="U246"/>
      <c r="V246"/>
      <c r="W246"/>
    </row>
    <row r="247" spans="1:23" ht="18" customHeight="1" x14ac:dyDescent="0.2">
      <c r="A247" s="23" t="s">
        <v>5</v>
      </c>
      <c r="B247" s="23" t="s">
        <v>97</v>
      </c>
      <c r="C247" s="50" t="s">
        <v>7</v>
      </c>
      <c r="D247" s="50" t="s">
        <v>126</v>
      </c>
      <c r="E247" s="50" t="s">
        <v>8</v>
      </c>
      <c r="F247" s="50" t="s">
        <v>9</v>
      </c>
      <c r="G247" s="31" t="s">
        <v>10</v>
      </c>
      <c r="H247" s="116" t="s">
        <v>11</v>
      </c>
      <c r="I247" s="117"/>
      <c r="J247" s="117"/>
      <c r="K247" s="117"/>
      <c r="L247" s="118"/>
      <c r="P247"/>
      <c r="Q247"/>
      <c r="R247"/>
      <c r="S247"/>
      <c r="T247"/>
      <c r="U247"/>
      <c r="V247"/>
      <c r="W247"/>
    </row>
    <row r="248" spans="1:23" ht="18" customHeight="1" x14ac:dyDescent="0.2">
      <c r="A248" s="52" t="s">
        <v>411</v>
      </c>
      <c r="B248" s="49" t="s">
        <v>412</v>
      </c>
      <c r="C248" s="13">
        <v>0.5</v>
      </c>
      <c r="D248" s="49" t="s">
        <v>126</v>
      </c>
      <c r="E248" s="49" t="s">
        <v>138</v>
      </c>
      <c r="F248" s="49" t="s">
        <v>14</v>
      </c>
      <c r="G248" s="29" t="s">
        <v>138</v>
      </c>
      <c r="H248" s="121" t="s">
        <v>413</v>
      </c>
      <c r="I248" s="121"/>
      <c r="J248" s="121"/>
      <c r="K248" s="121"/>
      <c r="L248" s="121"/>
      <c r="P248"/>
      <c r="Q248"/>
      <c r="R248"/>
      <c r="S248"/>
      <c r="T248"/>
      <c r="U248"/>
      <c r="V248"/>
      <c r="W248"/>
    </row>
    <row r="249" spans="1:23" ht="18" customHeight="1" x14ac:dyDescent="0.2">
      <c r="A249" s="52" t="s">
        <v>376</v>
      </c>
      <c r="B249" s="49" t="s">
        <v>377</v>
      </c>
      <c r="C249" s="13">
        <f>'Initial Estimates'!$C$5*'Initial Estimates'!$C$10/'Stability Constants'!$C$9</f>
        <v>1074.4710193268068</v>
      </c>
      <c r="D249" s="49" t="s">
        <v>126</v>
      </c>
      <c r="E249" s="49" t="s">
        <v>223</v>
      </c>
      <c r="F249" s="49" t="s">
        <v>21</v>
      </c>
      <c r="G249" s="29" t="s">
        <v>457</v>
      </c>
      <c r="H249" s="121" t="s">
        <v>383</v>
      </c>
      <c r="I249" s="121"/>
      <c r="J249" s="121"/>
      <c r="K249" s="121"/>
      <c r="L249" s="121"/>
      <c r="P249"/>
      <c r="Q249"/>
      <c r="R249"/>
      <c r="S249"/>
      <c r="T249"/>
      <c r="U249"/>
      <c r="V249"/>
      <c r="W249"/>
    </row>
    <row r="250" spans="1:23" ht="18" customHeight="1" x14ac:dyDescent="0.2">
      <c r="A250" s="52" t="s">
        <v>354</v>
      </c>
      <c r="B250" s="49" t="s">
        <v>355</v>
      </c>
      <c r="C250" s="13">
        <v>0</v>
      </c>
      <c r="D250" s="49" t="s">
        <v>126</v>
      </c>
      <c r="E250" s="49" t="s">
        <v>138</v>
      </c>
      <c r="F250" s="49" t="s">
        <v>14</v>
      </c>
      <c r="G250" s="29" t="s">
        <v>356</v>
      </c>
      <c r="H250" s="99" t="s">
        <v>414</v>
      </c>
      <c r="I250" s="99"/>
      <c r="J250" s="99"/>
      <c r="K250" s="99"/>
      <c r="L250" s="99"/>
      <c r="P250"/>
      <c r="Q250"/>
      <c r="R250"/>
      <c r="S250"/>
      <c r="T250"/>
      <c r="U250"/>
      <c r="V250"/>
      <c r="W250"/>
    </row>
    <row r="251" spans="1:23" ht="18" customHeight="1" x14ac:dyDescent="0.2">
      <c r="A251" s="52" t="s">
        <v>340</v>
      </c>
      <c r="B251" s="49" t="s">
        <v>341</v>
      </c>
      <c r="C251" s="13">
        <v>0</v>
      </c>
      <c r="D251" s="13" t="s">
        <v>126</v>
      </c>
      <c r="E251" s="49" t="s">
        <v>138</v>
      </c>
      <c r="F251" s="49" t="s">
        <v>14</v>
      </c>
      <c r="G251" s="29" t="s">
        <v>419</v>
      </c>
      <c r="H251" s="119" t="s">
        <v>342</v>
      </c>
      <c r="I251" s="119"/>
      <c r="J251" s="119"/>
      <c r="K251" s="119"/>
      <c r="L251" s="119"/>
      <c r="P251"/>
      <c r="Q251"/>
      <c r="R251"/>
      <c r="S251"/>
      <c r="T251"/>
      <c r="U251"/>
      <c r="V251"/>
      <c r="W251"/>
    </row>
    <row r="252" spans="1:23" ht="18" customHeight="1" x14ac:dyDescent="0.2">
      <c r="A252" s="52" t="s">
        <v>415</v>
      </c>
      <c r="B252" s="49" t="s">
        <v>416</v>
      </c>
      <c r="C252" s="13" t="e">
        <f>2*C256/(PI()*'Initial Estimates'!C167)*(1+C251)</f>
        <v>#DIV/0!</v>
      </c>
      <c r="D252" s="49" t="s">
        <v>126</v>
      </c>
      <c r="E252" s="49" t="s">
        <v>138</v>
      </c>
      <c r="F252" s="49" t="s">
        <v>14</v>
      </c>
      <c r="G252" s="29" t="s">
        <v>417</v>
      </c>
      <c r="H252" s="99" t="s">
        <v>418</v>
      </c>
      <c r="I252" s="99"/>
      <c r="J252" s="99"/>
      <c r="K252" s="99"/>
      <c r="L252" s="99"/>
      <c r="P252"/>
      <c r="Q252"/>
      <c r="R252"/>
      <c r="S252"/>
      <c r="T252"/>
      <c r="U252"/>
      <c r="V252"/>
      <c r="W252"/>
    </row>
    <row r="253" spans="1:23" ht="18" customHeight="1" x14ac:dyDescent="0.2">
      <c r="A253" s="112" t="s">
        <v>504</v>
      </c>
      <c r="B253" s="114"/>
      <c r="C253" s="114"/>
      <c r="D253" s="114"/>
      <c r="E253" s="114"/>
      <c r="F253" s="114"/>
      <c r="G253" s="114"/>
      <c r="H253" s="113"/>
      <c r="I253" s="113"/>
      <c r="J253" s="113"/>
      <c r="K253" s="113"/>
      <c r="L253" s="122"/>
      <c r="P253"/>
      <c r="Q253"/>
      <c r="R253"/>
      <c r="S253"/>
      <c r="T253"/>
      <c r="U253"/>
      <c r="V253"/>
      <c r="W253"/>
    </row>
    <row r="254" spans="1:23" ht="18" customHeight="1" x14ac:dyDescent="0.2">
      <c r="A254" s="23" t="s">
        <v>5</v>
      </c>
      <c r="B254" s="23" t="s">
        <v>97</v>
      </c>
      <c r="C254" s="50" t="s">
        <v>7</v>
      </c>
      <c r="D254" s="50" t="s">
        <v>126</v>
      </c>
      <c r="E254" s="50" t="s">
        <v>8</v>
      </c>
      <c r="F254" s="50" t="s">
        <v>9</v>
      </c>
      <c r="G254" s="31" t="s">
        <v>10</v>
      </c>
      <c r="H254" s="116" t="s">
        <v>11</v>
      </c>
      <c r="I254" s="117"/>
      <c r="J254" s="117"/>
      <c r="K254" s="117"/>
      <c r="L254" s="118"/>
      <c r="P254"/>
      <c r="Q254"/>
      <c r="R254"/>
      <c r="S254"/>
      <c r="T254"/>
      <c r="U254"/>
      <c r="V254"/>
      <c r="W254"/>
    </row>
    <row r="255" spans="1:23" ht="18" customHeight="1" x14ac:dyDescent="0.2">
      <c r="A255" s="49" t="s">
        <v>380</v>
      </c>
      <c r="B255" s="49" t="s">
        <v>381</v>
      </c>
      <c r="C255" s="36">
        <v>1.6</v>
      </c>
      <c r="D255" s="49" t="s">
        <v>126</v>
      </c>
      <c r="E255" s="49" t="s">
        <v>138</v>
      </c>
      <c r="F255" s="49" t="s">
        <v>488</v>
      </c>
      <c r="G255" s="29" t="s">
        <v>138</v>
      </c>
      <c r="H255" s="120" t="s">
        <v>310</v>
      </c>
      <c r="I255" s="120"/>
      <c r="J255" s="120"/>
      <c r="K255" s="120"/>
      <c r="L255" s="120"/>
      <c r="P255"/>
      <c r="Q255"/>
      <c r="R255"/>
      <c r="S255"/>
      <c r="T255"/>
      <c r="U255"/>
      <c r="V255"/>
      <c r="W255"/>
    </row>
    <row r="256" spans="1:23" ht="18" customHeight="1" x14ac:dyDescent="0.2">
      <c r="A256" s="49" t="s">
        <v>406</v>
      </c>
      <c r="B256" s="49" t="s">
        <v>407</v>
      </c>
      <c r="C256" s="36">
        <v>0.14610000000000001</v>
      </c>
      <c r="D256" s="49" t="s">
        <v>126</v>
      </c>
      <c r="E256" s="49" t="s">
        <v>138</v>
      </c>
      <c r="F256" s="49" t="s">
        <v>400</v>
      </c>
      <c r="G256" s="29" t="s">
        <v>489</v>
      </c>
      <c r="H256" s="119" t="s">
        <v>490</v>
      </c>
      <c r="I256" s="119"/>
      <c r="J256" s="119"/>
      <c r="K256" s="119"/>
      <c r="L256" s="119"/>
      <c r="P256"/>
      <c r="Q256"/>
      <c r="R256"/>
      <c r="S256"/>
      <c r="T256"/>
      <c r="U256"/>
      <c r="V256"/>
      <c r="W256"/>
    </row>
    <row r="257" spans="1:23" ht="18" customHeight="1" x14ac:dyDescent="0.2">
      <c r="A257" s="49" t="s">
        <v>448</v>
      </c>
      <c r="B257" s="47" t="s">
        <v>449</v>
      </c>
      <c r="C257" s="48">
        <v>7.0376778962831052E-2</v>
      </c>
      <c r="D257" s="49" t="s">
        <v>126</v>
      </c>
      <c r="E257" s="49" t="s">
        <v>138</v>
      </c>
      <c r="F257" s="49" t="s">
        <v>400</v>
      </c>
      <c r="G257" s="29" t="s">
        <v>138</v>
      </c>
      <c r="H257" s="119" t="s">
        <v>450</v>
      </c>
      <c r="I257" s="119"/>
      <c r="J257" s="119"/>
      <c r="K257" s="119"/>
      <c r="L257" s="119"/>
      <c r="Q257"/>
      <c r="R257"/>
      <c r="S257"/>
      <c r="T257"/>
      <c r="U257"/>
      <c r="V257"/>
      <c r="W257"/>
    </row>
    <row r="258" spans="1:23" ht="18" customHeight="1" x14ac:dyDescent="0.2">
      <c r="A258" s="49" t="s">
        <v>404</v>
      </c>
      <c r="B258" s="49" t="s">
        <v>437</v>
      </c>
      <c r="C258" s="36">
        <f>2.66*PI()/180</f>
        <v>4.6425758103049171E-2</v>
      </c>
      <c r="D258" s="49" t="s">
        <v>126</v>
      </c>
      <c r="E258" s="49" t="s">
        <v>408</v>
      </c>
      <c r="F258" s="49" t="s">
        <v>9</v>
      </c>
      <c r="G258" s="29" t="s">
        <v>138</v>
      </c>
      <c r="H258" s="119" t="s">
        <v>410</v>
      </c>
      <c r="I258" s="119"/>
      <c r="J258" s="119"/>
      <c r="K258" s="119"/>
      <c r="L258" s="119"/>
      <c r="Q258"/>
      <c r="R258"/>
      <c r="S258"/>
      <c r="T258"/>
      <c r="U258"/>
      <c r="V258"/>
      <c r="W258"/>
    </row>
    <row r="259" spans="1:23" ht="18" customHeight="1" x14ac:dyDescent="0.2">
      <c r="A259" s="49" t="s">
        <v>481</v>
      </c>
      <c r="B259" s="47" t="s">
        <v>482</v>
      </c>
      <c r="C259" s="48">
        <f>C257/C261</f>
        <v>2.2363417633129049E-2</v>
      </c>
      <c r="D259" s="49" t="s">
        <v>126</v>
      </c>
      <c r="E259" s="49" t="s">
        <v>408</v>
      </c>
      <c r="F259" s="49" t="s">
        <v>21</v>
      </c>
      <c r="G259" s="29" t="s">
        <v>483</v>
      </c>
      <c r="H259" s="119" t="s">
        <v>484</v>
      </c>
      <c r="I259" s="119"/>
      <c r="J259" s="119"/>
      <c r="K259" s="119"/>
      <c r="L259" s="119"/>
      <c r="Q259"/>
      <c r="R259"/>
      <c r="S259"/>
      <c r="T259"/>
      <c r="U259"/>
      <c r="V259"/>
      <c r="W259"/>
    </row>
    <row r="260" spans="1:23" ht="18" customHeight="1" x14ac:dyDescent="0.2">
      <c r="A260" s="49" t="s">
        <v>420</v>
      </c>
      <c r="B260" s="49" t="s">
        <v>421</v>
      </c>
      <c r="C260" s="36">
        <f>C256/C258</f>
        <v>3.1469599198726792</v>
      </c>
      <c r="D260" s="49" t="s">
        <v>126</v>
      </c>
      <c r="E260" s="49" t="s">
        <v>422</v>
      </c>
      <c r="F260" s="49" t="s">
        <v>21</v>
      </c>
      <c r="G260" s="29" t="s">
        <v>423</v>
      </c>
      <c r="H260" s="99" t="s">
        <v>424</v>
      </c>
      <c r="I260" s="99"/>
      <c r="J260" s="99"/>
      <c r="K260" s="99"/>
      <c r="L260" s="99"/>
      <c r="Q260"/>
      <c r="R260"/>
      <c r="S260"/>
      <c r="T260"/>
      <c r="U260"/>
      <c r="V260"/>
      <c r="W260"/>
    </row>
    <row r="261" spans="1:23" ht="18" customHeight="1" x14ac:dyDescent="0.2">
      <c r="A261" s="49" t="s">
        <v>426</v>
      </c>
      <c r="B261" s="49" t="s">
        <v>427</v>
      </c>
      <c r="C261" s="36">
        <f>C260</f>
        <v>3.1469599198726792</v>
      </c>
      <c r="D261" s="49" t="s">
        <v>126</v>
      </c>
      <c r="E261" s="49" t="s">
        <v>422</v>
      </c>
      <c r="F261" s="49" t="s">
        <v>21</v>
      </c>
      <c r="G261" s="29" t="s">
        <v>428</v>
      </c>
      <c r="H261" s="99" t="s">
        <v>429</v>
      </c>
      <c r="I261" s="99"/>
      <c r="J261" s="99"/>
      <c r="K261" s="99"/>
      <c r="L261" s="99"/>
      <c r="Q261"/>
      <c r="R261"/>
      <c r="S261"/>
      <c r="T261"/>
      <c r="U261"/>
      <c r="V261"/>
      <c r="W261"/>
    </row>
    <row r="262" spans="1:23" ht="18" customHeight="1" x14ac:dyDescent="0.2">
      <c r="A262" s="52" t="s">
        <v>430</v>
      </c>
      <c r="B262" s="49" t="s">
        <v>431</v>
      </c>
      <c r="C262" s="36">
        <f>$C$7/C258</f>
        <v>1.6361056021471472</v>
      </c>
      <c r="D262" s="49" t="s">
        <v>126</v>
      </c>
      <c r="E262" s="49" t="s">
        <v>432</v>
      </c>
      <c r="F262" s="49" t="s">
        <v>21</v>
      </c>
      <c r="G262" s="29" t="s">
        <v>433</v>
      </c>
      <c r="H262" s="99" t="s">
        <v>434</v>
      </c>
      <c r="I262" s="99"/>
      <c r="J262" s="99"/>
      <c r="K262" s="99"/>
      <c r="L262" s="99"/>
      <c r="Q262"/>
      <c r="R262"/>
      <c r="S262"/>
      <c r="T262"/>
      <c r="U262"/>
      <c r="V262"/>
      <c r="W262"/>
    </row>
    <row r="263" spans="1:23" ht="18" customHeight="1" x14ac:dyDescent="0.2">
      <c r="A263" s="49" t="s">
        <v>435</v>
      </c>
      <c r="B263" s="49" t="s">
        <v>436</v>
      </c>
      <c r="C263" s="36">
        <f>2*'Stability Constants'!$C$13*('Stability Constants'!$C$4-'Stability Constants'!$C$3)*'Stability Constants'!$C$14*'Supersonic Stability'!C258</f>
        <v>90925.329113588494</v>
      </c>
      <c r="D263" s="49" t="s">
        <v>126</v>
      </c>
      <c r="E263" s="49" t="s">
        <v>225</v>
      </c>
      <c r="F263" s="49" t="s">
        <v>21</v>
      </c>
      <c r="G263" s="29" t="s">
        <v>438</v>
      </c>
      <c r="H263" s="99" t="s">
        <v>439</v>
      </c>
      <c r="I263" s="99"/>
      <c r="J263" s="99"/>
      <c r="K263" s="99"/>
      <c r="L263" s="99"/>
      <c r="Q263"/>
      <c r="R263"/>
      <c r="S263"/>
      <c r="T263"/>
      <c r="U263"/>
      <c r="V263"/>
      <c r="W263"/>
    </row>
    <row r="264" spans="1:23" ht="18" customHeight="1" x14ac:dyDescent="0.2">
      <c r="A264" s="49" t="s">
        <v>440</v>
      </c>
      <c r="B264" s="49" t="s">
        <v>441</v>
      </c>
      <c r="C264" s="36">
        <f>2*'Stability Constants'!$C$13*('Stability Constants'!$C$6-'Stability Constants'!$C$5)*'Stability Constants'!$C$15*'Supersonic Stability'!C258</f>
        <v>56881.434433302042</v>
      </c>
      <c r="D264" s="49" t="s">
        <v>126</v>
      </c>
      <c r="E264" s="49" t="s">
        <v>225</v>
      </c>
      <c r="F264" s="49" t="s">
        <v>21</v>
      </c>
      <c r="G264" s="29" t="s">
        <v>443</v>
      </c>
      <c r="H264" s="99" t="s">
        <v>439</v>
      </c>
      <c r="I264" s="99"/>
      <c r="J264" s="99"/>
      <c r="K264" s="99"/>
      <c r="L264" s="99"/>
      <c r="Q264"/>
      <c r="R264"/>
      <c r="S264"/>
      <c r="T264"/>
      <c r="U264"/>
      <c r="V264"/>
      <c r="W264"/>
    </row>
    <row r="265" spans="1:23" ht="18" customHeight="1" x14ac:dyDescent="0.2">
      <c r="A265" s="112" t="s">
        <v>506</v>
      </c>
      <c r="B265" s="114"/>
      <c r="C265" s="114"/>
      <c r="D265" s="114"/>
      <c r="E265" s="114"/>
      <c r="F265" s="114"/>
      <c r="G265" s="114"/>
      <c r="H265" s="113"/>
      <c r="I265" s="113"/>
      <c r="J265" s="113"/>
      <c r="K265" s="113"/>
      <c r="L265" s="122"/>
      <c r="Q265"/>
      <c r="R265"/>
      <c r="S265"/>
      <c r="T265"/>
      <c r="U265"/>
      <c r="V265"/>
      <c r="W265"/>
    </row>
    <row r="266" spans="1:23" ht="18" customHeight="1" x14ac:dyDescent="0.2">
      <c r="A266" s="23" t="s">
        <v>5</v>
      </c>
      <c r="B266" s="23" t="s">
        <v>97</v>
      </c>
      <c r="C266" s="50" t="s">
        <v>7</v>
      </c>
      <c r="D266" s="50" t="s">
        <v>126</v>
      </c>
      <c r="E266" s="50" t="s">
        <v>8</v>
      </c>
      <c r="F266" s="50" t="s">
        <v>9</v>
      </c>
      <c r="G266" s="31" t="s">
        <v>10</v>
      </c>
      <c r="H266" s="116" t="s">
        <v>11</v>
      </c>
      <c r="I266" s="117"/>
      <c r="J266" s="117"/>
      <c r="K266" s="117"/>
      <c r="L266" s="118"/>
      <c r="Q266"/>
      <c r="R266"/>
      <c r="S266"/>
      <c r="T266"/>
      <c r="U266"/>
      <c r="V266"/>
      <c r="W266"/>
    </row>
    <row r="267" spans="1:23" ht="18" customHeight="1" x14ac:dyDescent="0.2">
      <c r="A267" s="49" t="s">
        <v>380</v>
      </c>
      <c r="B267" s="49" t="s">
        <v>381</v>
      </c>
      <c r="C267" s="36">
        <v>1.7</v>
      </c>
      <c r="D267" s="49" t="s">
        <v>126</v>
      </c>
      <c r="E267" s="49" t="s">
        <v>138</v>
      </c>
      <c r="F267" s="49" t="s">
        <v>488</v>
      </c>
      <c r="G267" s="29" t="s">
        <v>138</v>
      </c>
      <c r="H267" s="120" t="s">
        <v>310</v>
      </c>
      <c r="I267" s="120"/>
      <c r="J267" s="120"/>
      <c r="K267" s="120"/>
      <c r="L267" s="120"/>
      <c r="Q267"/>
      <c r="R267"/>
      <c r="S267"/>
      <c r="T267"/>
      <c r="U267"/>
      <c r="V267"/>
      <c r="W267"/>
    </row>
    <row r="268" spans="1:23" ht="18" customHeight="1" x14ac:dyDescent="0.2">
      <c r="A268" s="49" t="s">
        <v>406</v>
      </c>
      <c r="B268" s="49" t="s">
        <v>407</v>
      </c>
      <c r="C268" s="36">
        <v>0.1293</v>
      </c>
      <c r="D268" s="49" t="s">
        <v>126</v>
      </c>
      <c r="E268" s="49" t="s">
        <v>138</v>
      </c>
      <c r="F268" s="49" t="s">
        <v>400</v>
      </c>
      <c r="G268" s="29" t="s">
        <v>489</v>
      </c>
      <c r="H268" s="119" t="s">
        <v>490</v>
      </c>
      <c r="I268" s="119"/>
      <c r="J268" s="119"/>
      <c r="K268" s="119"/>
      <c r="L268" s="119"/>
      <c r="Q268"/>
      <c r="R268"/>
      <c r="S268"/>
      <c r="T268"/>
      <c r="U268"/>
      <c r="V268"/>
      <c r="W268"/>
    </row>
    <row r="269" spans="1:23" ht="18" customHeight="1" x14ac:dyDescent="0.2">
      <c r="A269" s="49" t="s">
        <v>448</v>
      </c>
      <c r="B269" s="47" t="s">
        <v>449</v>
      </c>
      <c r="C269" s="48">
        <v>6.6867794461096905E-2</v>
      </c>
      <c r="D269" s="49" t="s">
        <v>126</v>
      </c>
      <c r="E269" s="49" t="s">
        <v>138</v>
      </c>
      <c r="F269" s="49" t="s">
        <v>400</v>
      </c>
      <c r="G269" s="29" t="s">
        <v>138</v>
      </c>
      <c r="H269" s="119" t="s">
        <v>450</v>
      </c>
      <c r="I269" s="119"/>
      <c r="J269" s="119"/>
      <c r="K269" s="119"/>
      <c r="L269" s="119"/>
      <c r="Q269"/>
      <c r="R269"/>
      <c r="S269"/>
      <c r="T269"/>
      <c r="U269"/>
      <c r="V269"/>
      <c r="W269"/>
    </row>
    <row r="270" spans="1:23" ht="18" customHeight="1" x14ac:dyDescent="0.2">
      <c r="A270" s="49" t="s">
        <v>404</v>
      </c>
      <c r="B270" s="49" t="s">
        <v>437</v>
      </c>
      <c r="C270" s="36">
        <f>2.54*PI()/180</f>
        <v>4.4331363000655974E-2</v>
      </c>
      <c r="D270" s="49" t="s">
        <v>126</v>
      </c>
      <c r="E270" s="49" t="s">
        <v>408</v>
      </c>
      <c r="F270" s="49" t="s">
        <v>9</v>
      </c>
      <c r="G270" s="29" t="s">
        <v>499</v>
      </c>
      <c r="H270" s="119" t="s">
        <v>410</v>
      </c>
      <c r="I270" s="119"/>
      <c r="J270" s="119"/>
      <c r="K270" s="119"/>
      <c r="L270" s="119"/>
      <c r="Q270"/>
      <c r="R270"/>
      <c r="S270"/>
      <c r="T270"/>
      <c r="U270"/>
      <c r="V270"/>
      <c r="W270"/>
    </row>
    <row r="271" spans="1:23" ht="18" customHeight="1" x14ac:dyDescent="0.2">
      <c r="A271" s="49" t="s">
        <v>481</v>
      </c>
      <c r="B271" s="47" t="s">
        <v>482</v>
      </c>
      <c r="C271" s="48">
        <f>C269/C273</f>
        <v>2.2926067048013456E-2</v>
      </c>
      <c r="D271" s="49" t="s">
        <v>126</v>
      </c>
      <c r="E271" s="49" t="s">
        <v>408</v>
      </c>
      <c r="F271" s="49" t="s">
        <v>21</v>
      </c>
      <c r="G271" s="29" t="s">
        <v>483</v>
      </c>
      <c r="H271" s="119" t="s">
        <v>484</v>
      </c>
      <c r="I271" s="119"/>
      <c r="J271" s="119"/>
      <c r="K271" s="119"/>
      <c r="L271" s="119"/>
      <c r="Q271"/>
      <c r="R271"/>
      <c r="S271"/>
      <c r="T271"/>
      <c r="U271"/>
      <c r="V271"/>
      <c r="W271"/>
    </row>
    <row r="272" spans="1:23" ht="18" customHeight="1" x14ac:dyDescent="0.2">
      <c r="A272" s="49" t="s">
        <v>420</v>
      </c>
      <c r="B272" s="49" t="s">
        <v>421</v>
      </c>
      <c r="C272" s="36">
        <f>C268/C270</f>
        <v>2.9166709807250171</v>
      </c>
      <c r="D272" s="49" t="s">
        <v>126</v>
      </c>
      <c r="E272" s="49" t="s">
        <v>422</v>
      </c>
      <c r="F272" s="49" t="s">
        <v>21</v>
      </c>
      <c r="G272" s="29" t="s">
        <v>423</v>
      </c>
      <c r="H272" s="99" t="s">
        <v>424</v>
      </c>
      <c r="I272" s="99"/>
      <c r="J272" s="99"/>
      <c r="K272" s="99"/>
      <c r="L272" s="99"/>
      <c r="Q272"/>
      <c r="R272"/>
      <c r="S272"/>
      <c r="T272"/>
      <c r="U272"/>
      <c r="V272"/>
      <c r="W272"/>
    </row>
    <row r="273" spans="1:23" ht="18" customHeight="1" x14ac:dyDescent="0.2">
      <c r="A273" s="49" t="s">
        <v>426</v>
      </c>
      <c r="B273" s="49" t="s">
        <v>427</v>
      </c>
      <c r="C273" s="36">
        <f>C272</f>
        <v>2.9166709807250171</v>
      </c>
      <c r="D273" s="49" t="s">
        <v>126</v>
      </c>
      <c r="E273" s="49" t="s">
        <v>422</v>
      </c>
      <c r="F273" s="49" t="s">
        <v>21</v>
      </c>
      <c r="G273" s="29" t="s">
        <v>428</v>
      </c>
      <c r="H273" s="99" t="s">
        <v>429</v>
      </c>
      <c r="I273" s="99"/>
      <c r="J273" s="99"/>
      <c r="K273" s="99"/>
      <c r="L273" s="99"/>
      <c r="Q273"/>
      <c r="R273"/>
      <c r="S273"/>
      <c r="T273"/>
      <c r="U273"/>
      <c r="V273"/>
      <c r="W273"/>
    </row>
    <row r="274" spans="1:23" ht="18" customHeight="1" x14ac:dyDescent="0.2">
      <c r="A274" s="52" t="s">
        <v>430</v>
      </c>
      <c r="B274" s="49" t="s">
        <v>431</v>
      </c>
      <c r="C274" s="36">
        <f>$C$7/C270</f>
        <v>1.7134019298076422</v>
      </c>
      <c r="D274" s="49" t="s">
        <v>126</v>
      </c>
      <c r="E274" s="49" t="s">
        <v>432</v>
      </c>
      <c r="F274" s="49" t="s">
        <v>21</v>
      </c>
      <c r="G274" s="29" t="s">
        <v>433</v>
      </c>
      <c r="H274" s="99" t="s">
        <v>434</v>
      </c>
      <c r="I274" s="99"/>
      <c r="J274" s="99"/>
      <c r="K274" s="99"/>
      <c r="L274" s="99"/>
      <c r="Q274"/>
      <c r="R274"/>
      <c r="S274"/>
      <c r="T274"/>
      <c r="U274"/>
      <c r="V274"/>
      <c r="W274"/>
    </row>
    <row r="275" spans="1:23" ht="18" customHeight="1" x14ac:dyDescent="0.2">
      <c r="A275" s="49" t="s">
        <v>435</v>
      </c>
      <c r="B275" s="49" t="s">
        <v>436</v>
      </c>
      <c r="C275" s="36">
        <f>2*'Stability Constants'!$C$13*('Stability Constants'!$C$4-'Stability Constants'!$C$3)*'Stability Constants'!$C$14*'Supersonic Stability'!C270</f>
        <v>86823.434567110817</v>
      </c>
      <c r="D275" s="49" t="s">
        <v>126</v>
      </c>
      <c r="E275" s="49" t="s">
        <v>225</v>
      </c>
      <c r="F275" s="49" t="s">
        <v>21</v>
      </c>
      <c r="G275" s="29" t="s">
        <v>438</v>
      </c>
      <c r="H275" s="99" t="s">
        <v>439</v>
      </c>
      <c r="I275" s="99"/>
      <c r="J275" s="99"/>
      <c r="K275" s="99"/>
      <c r="L275" s="99"/>
      <c r="Q275"/>
      <c r="R275"/>
      <c r="S275"/>
      <c r="T275"/>
      <c r="U275"/>
      <c r="V275"/>
      <c r="W275"/>
    </row>
    <row r="276" spans="1:23" ht="18" customHeight="1" x14ac:dyDescent="0.2">
      <c r="A276" s="49" t="s">
        <v>440</v>
      </c>
      <c r="B276" s="49" t="s">
        <v>441</v>
      </c>
      <c r="C276" s="36">
        <f>2*'Stability Constants'!$C$13*('Stability Constants'!$C$6-'Stability Constants'!$C$5)*'Stability Constants'!$C$15*'Supersonic Stability'!C270</f>
        <v>54315.354684431273</v>
      </c>
      <c r="D276" s="49" t="s">
        <v>126</v>
      </c>
      <c r="E276" s="49" t="s">
        <v>225</v>
      </c>
      <c r="F276" s="49" t="s">
        <v>21</v>
      </c>
      <c r="G276" s="29" t="s">
        <v>443</v>
      </c>
      <c r="H276" s="99" t="s">
        <v>439</v>
      </c>
      <c r="I276" s="99"/>
      <c r="J276" s="99"/>
      <c r="K276" s="99"/>
      <c r="L276" s="99"/>
      <c r="Q276"/>
      <c r="R276"/>
      <c r="S276"/>
      <c r="T276"/>
      <c r="U276"/>
      <c r="V276"/>
      <c r="W276"/>
    </row>
    <row r="277" spans="1:23" ht="18" customHeight="1" x14ac:dyDescent="0.2">
      <c r="A277" s="112" t="s">
        <v>505</v>
      </c>
      <c r="B277" s="114"/>
      <c r="C277" s="114"/>
      <c r="D277" s="114"/>
      <c r="E277" s="114"/>
      <c r="F277" s="114"/>
      <c r="G277" s="114"/>
      <c r="H277" s="113"/>
      <c r="I277" s="113"/>
      <c r="J277" s="113"/>
      <c r="K277" s="113"/>
      <c r="L277" s="122"/>
      <c r="Q277"/>
      <c r="R277"/>
      <c r="S277"/>
      <c r="T277"/>
      <c r="U277"/>
      <c r="V277"/>
      <c r="W277"/>
    </row>
    <row r="278" spans="1:23" ht="18" customHeight="1" x14ac:dyDescent="0.2">
      <c r="A278" s="23" t="s">
        <v>5</v>
      </c>
      <c r="B278" s="23" t="s">
        <v>97</v>
      </c>
      <c r="C278" s="50" t="s">
        <v>7</v>
      </c>
      <c r="D278" s="50" t="s">
        <v>126</v>
      </c>
      <c r="E278" s="50" t="s">
        <v>8</v>
      </c>
      <c r="F278" s="50" t="s">
        <v>9</v>
      </c>
      <c r="G278" s="31" t="s">
        <v>10</v>
      </c>
      <c r="H278" s="116" t="s">
        <v>11</v>
      </c>
      <c r="I278" s="117"/>
      <c r="J278" s="117"/>
      <c r="K278" s="117"/>
      <c r="L278" s="118"/>
      <c r="Q278"/>
      <c r="R278"/>
      <c r="S278"/>
      <c r="T278"/>
      <c r="U278"/>
      <c r="V278"/>
      <c r="W278"/>
    </row>
    <row r="279" spans="1:23" ht="18" customHeight="1" x14ac:dyDescent="0.2">
      <c r="A279" s="49" t="s">
        <v>380</v>
      </c>
      <c r="B279" s="49" t="s">
        <v>381</v>
      </c>
      <c r="C279" s="36">
        <v>1.8</v>
      </c>
      <c r="D279" s="49" t="s">
        <v>126</v>
      </c>
      <c r="E279" s="49" t="s">
        <v>138</v>
      </c>
      <c r="F279" s="49" t="s">
        <v>488</v>
      </c>
      <c r="G279" s="29" t="s">
        <v>138</v>
      </c>
      <c r="H279" s="120" t="s">
        <v>310</v>
      </c>
      <c r="I279" s="120"/>
      <c r="J279" s="120"/>
      <c r="K279" s="120"/>
      <c r="L279" s="120"/>
      <c r="Q279"/>
      <c r="R279"/>
      <c r="S279"/>
      <c r="T279"/>
      <c r="U279"/>
      <c r="V279"/>
      <c r="W279"/>
    </row>
    <row r="280" spans="1:23" ht="18" customHeight="1" x14ac:dyDescent="0.2">
      <c r="A280" s="49" t="s">
        <v>406</v>
      </c>
      <c r="B280" s="49" t="s">
        <v>407</v>
      </c>
      <c r="C280" s="36">
        <v>0.1154</v>
      </c>
      <c r="D280" s="49" t="s">
        <v>126</v>
      </c>
      <c r="E280" s="49" t="s">
        <v>138</v>
      </c>
      <c r="F280" s="49" t="s">
        <v>400</v>
      </c>
      <c r="G280" s="29" t="s">
        <v>489</v>
      </c>
      <c r="H280" s="119" t="s">
        <v>490</v>
      </c>
      <c r="I280" s="119"/>
      <c r="J280" s="119"/>
      <c r="K280" s="119"/>
      <c r="L280" s="119"/>
      <c r="Q280"/>
      <c r="R280"/>
      <c r="S280"/>
      <c r="T280"/>
      <c r="U280"/>
      <c r="V280"/>
      <c r="W280"/>
    </row>
    <row r="281" spans="1:23" ht="18" customHeight="1" x14ac:dyDescent="0.2">
      <c r="A281" s="49" t="s">
        <v>448</v>
      </c>
      <c r="B281" s="47" t="s">
        <v>449</v>
      </c>
      <c r="C281" s="48">
        <v>6.4615630740711527E-2</v>
      </c>
      <c r="D281" s="49" t="s">
        <v>126</v>
      </c>
      <c r="E281" s="49" t="s">
        <v>138</v>
      </c>
      <c r="F281" s="49" t="s">
        <v>400</v>
      </c>
      <c r="G281" s="29" t="s">
        <v>138</v>
      </c>
      <c r="H281" s="119" t="s">
        <v>450</v>
      </c>
      <c r="I281" s="119"/>
      <c r="J281" s="119"/>
      <c r="K281" s="119"/>
      <c r="L281" s="119"/>
      <c r="Q281"/>
      <c r="R281"/>
      <c r="S281"/>
      <c r="T281"/>
      <c r="U281"/>
      <c r="V281"/>
      <c r="W281"/>
    </row>
    <row r="282" spans="1:23" ht="18" customHeight="1" x14ac:dyDescent="0.2">
      <c r="A282" s="49" t="s">
        <v>404</v>
      </c>
      <c r="B282" s="49" t="s">
        <v>437</v>
      </c>
      <c r="C282" s="36">
        <f>2.44*PI()/180</f>
        <v>4.2586033748661642E-2</v>
      </c>
      <c r="D282" s="49" t="s">
        <v>126</v>
      </c>
      <c r="E282" s="49" t="s">
        <v>408</v>
      </c>
      <c r="F282" s="49" t="s">
        <v>9</v>
      </c>
      <c r="G282" s="29" t="s">
        <v>138</v>
      </c>
      <c r="H282" s="119" t="s">
        <v>410</v>
      </c>
      <c r="I282" s="119"/>
      <c r="J282" s="119"/>
      <c r="K282" s="119"/>
      <c r="L282" s="119"/>
      <c r="Q282"/>
      <c r="R282"/>
      <c r="S282"/>
      <c r="T282"/>
      <c r="U282"/>
      <c r="V282"/>
      <c r="W282"/>
    </row>
    <row r="283" spans="1:23" ht="18" customHeight="1" x14ac:dyDescent="0.2">
      <c r="A283" s="49" t="s">
        <v>481</v>
      </c>
      <c r="B283" s="47" t="s">
        <v>482</v>
      </c>
      <c r="C283" s="48">
        <f>C281/C285</f>
        <v>2.3845090393544193E-2</v>
      </c>
      <c r="D283" s="49" t="s">
        <v>126</v>
      </c>
      <c r="E283" s="49" t="s">
        <v>408</v>
      </c>
      <c r="F283" s="49" t="s">
        <v>21</v>
      </c>
      <c r="G283" s="29" t="s">
        <v>483</v>
      </c>
      <c r="H283" s="119" t="s">
        <v>484</v>
      </c>
      <c r="I283" s="119"/>
      <c r="J283" s="119"/>
      <c r="K283" s="119"/>
      <c r="L283" s="119"/>
      <c r="Q283"/>
      <c r="R283"/>
      <c r="S283"/>
      <c r="T283"/>
      <c r="U283"/>
      <c r="V283"/>
      <c r="W283"/>
    </row>
    <row r="284" spans="1:23" ht="18" customHeight="1" x14ac:dyDescent="0.2">
      <c r="A284" s="49" t="s">
        <v>420</v>
      </c>
      <c r="B284" s="49" t="s">
        <v>421</v>
      </c>
      <c r="C284" s="36">
        <f>C280/C282</f>
        <v>2.7098085884465983</v>
      </c>
      <c r="D284" s="49" t="s">
        <v>126</v>
      </c>
      <c r="E284" s="49" t="s">
        <v>422</v>
      </c>
      <c r="F284" s="49" t="s">
        <v>21</v>
      </c>
      <c r="G284" s="29" t="s">
        <v>423</v>
      </c>
      <c r="H284" s="99" t="s">
        <v>424</v>
      </c>
      <c r="I284" s="99"/>
      <c r="J284" s="99"/>
      <c r="K284" s="99"/>
      <c r="L284" s="99"/>
      <c r="Q284"/>
      <c r="R284"/>
      <c r="S284"/>
      <c r="T284"/>
      <c r="U284"/>
      <c r="V284"/>
      <c r="W284"/>
    </row>
    <row r="285" spans="1:23" ht="18" customHeight="1" x14ac:dyDescent="0.2">
      <c r="A285" s="49" t="s">
        <v>426</v>
      </c>
      <c r="B285" s="49" t="s">
        <v>427</v>
      </c>
      <c r="C285" s="36">
        <f>C284</f>
        <v>2.7098085884465983</v>
      </c>
      <c r="D285" s="49" t="s">
        <v>126</v>
      </c>
      <c r="E285" s="49" t="s">
        <v>422</v>
      </c>
      <c r="F285" s="49" t="s">
        <v>21</v>
      </c>
      <c r="G285" s="29" t="s">
        <v>428</v>
      </c>
      <c r="H285" s="99" t="s">
        <v>429</v>
      </c>
      <c r="I285" s="99"/>
      <c r="J285" s="99"/>
      <c r="K285" s="99"/>
      <c r="L285" s="99"/>
      <c r="Q285"/>
      <c r="R285"/>
      <c r="S285"/>
      <c r="T285"/>
      <c r="U285"/>
      <c r="V285"/>
      <c r="W285"/>
    </row>
    <row r="286" spans="1:23" ht="18" customHeight="1" x14ac:dyDescent="0.2">
      <c r="A286" s="52" t="s">
        <v>430</v>
      </c>
      <c r="B286" s="49" t="s">
        <v>431</v>
      </c>
      <c r="C286" s="36">
        <f>$C$7/C282</f>
        <v>1.7836233203735292</v>
      </c>
      <c r="D286" s="49" t="s">
        <v>126</v>
      </c>
      <c r="E286" s="49" t="s">
        <v>432</v>
      </c>
      <c r="F286" s="49" t="s">
        <v>21</v>
      </c>
      <c r="G286" s="29" t="s">
        <v>433</v>
      </c>
      <c r="H286" s="99" t="s">
        <v>434</v>
      </c>
      <c r="I286" s="99"/>
      <c r="J286" s="99"/>
      <c r="K286" s="99"/>
      <c r="L286" s="99"/>
      <c r="Q286"/>
      <c r="R286"/>
      <c r="S286"/>
      <c r="T286"/>
      <c r="U286"/>
      <c r="V286"/>
      <c r="W286"/>
    </row>
    <row r="287" spans="1:23" ht="18" customHeight="1" x14ac:dyDescent="0.2">
      <c r="A287" s="49" t="s">
        <v>435</v>
      </c>
      <c r="B287" s="49" t="s">
        <v>436</v>
      </c>
      <c r="C287" s="36">
        <f>2*'Stability Constants'!$C$13*('Stability Constants'!$C$4-'Stability Constants'!$C$3)*'Stability Constants'!$C$14*'Supersonic Stability'!C282</f>
        <v>83405.189111712752</v>
      </c>
      <c r="D287" s="49" t="s">
        <v>126</v>
      </c>
      <c r="E287" s="49" t="s">
        <v>225</v>
      </c>
      <c r="F287" s="49" t="s">
        <v>21</v>
      </c>
      <c r="G287" s="29" t="s">
        <v>438</v>
      </c>
      <c r="H287" s="99" t="s">
        <v>439</v>
      </c>
      <c r="I287" s="99"/>
      <c r="J287" s="99"/>
      <c r="K287" s="99"/>
      <c r="L287" s="99"/>
      <c r="Q287"/>
      <c r="R287"/>
      <c r="S287"/>
      <c r="T287"/>
      <c r="U287"/>
      <c r="V287"/>
      <c r="W287"/>
    </row>
    <row r="288" spans="1:23" ht="18" customHeight="1" x14ac:dyDescent="0.2">
      <c r="A288" s="49" t="s">
        <v>440</v>
      </c>
      <c r="B288" s="49" t="s">
        <v>441</v>
      </c>
      <c r="C288" s="36">
        <f>2*'Stability Constants'!$C$13*('Stability Constants'!$C$6-'Stability Constants'!$C$5)*'Stability Constants'!$C$15*'Supersonic Stability'!C282</f>
        <v>52176.954893705632</v>
      </c>
      <c r="D288" s="49" t="s">
        <v>126</v>
      </c>
      <c r="E288" s="49" t="s">
        <v>225</v>
      </c>
      <c r="F288" s="49" t="s">
        <v>21</v>
      </c>
      <c r="G288" s="29" t="s">
        <v>443</v>
      </c>
      <c r="H288" s="99" t="s">
        <v>439</v>
      </c>
      <c r="I288" s="99"/>
      <c r="J288" s="99"/>
      <c r="K288" s="99"/>
      <c r="L288" s="99"/>
      <c r="Q288"/>
      <c r="R288"/>
      <c r="S288"/>
      <c r="T288"/>
      <c r="U288"/>
      <c r="V288"/>
      <c r="W288"/>
    </row>
    <row r="289" spans="1:23" ht="18" customHeight="1" x14ac:dyDescent="0.2">
      <c r="A289" s="112" t="s">
        <v>515</v>
      </c>
      <c r="B289" s="114"/>
      <c r="C289" s="114"/>
      <c r="D289" s="114"/>
      <c r="E289" s="114"/>
      <c r="F289" s="114"/>
      <c r="G289" s="114"/>
      <c r="H289" s="113"/>
      <c r="I289" s="113"/>
      <c r="J289" s="113"/>
      <c r="K289" s="113"/>
      <c r="L289" s="122"/>
      <c r="Q289"/>
      <c r="R289"/>
      <c r="S289"/>
      <c r="T289"/>
      <c r="U289"/>
      <c r="V289"/>
      <c r="W289"/>
    </row>
    <row r="290" spans="1:23" ht="18" customHeight="1" x14ac:dyDescent="0.2">
      <c r="A290" s="23" t="s">
        <v>5</v>
      </c>
      <c r="B290" s="23" t="s">
        <v>97</v>
      </c>
      <c r="C290" s="50" t="s">
        <v>7</v>
      </c>
      <c r="D290" s="50" t="s">
        <v>126</v>
      </c>
      <c r="E290" s="50" t="s">
        <v>8</v>
      </c>
      <c r="F290" s="50" t="s">
        <v>9</v>
      </c>
      <c r="G290" s="31" t="s">
        <v>460</v>
      </c>
      <c r="H290" s="116" t="s">
        <v>11</v>
      </c>
      <c r="I290" s="117"/>
      <c r="J290" s="117"/>
      <c r="K290" s="117"/>
      <c r="L290" s="118"/>
      <c r="Q290"/>
      <c r="R290"/>
      <c r="S290"/>
      <c r="T290"/>
      <c r="U290"/>
      <c r="V290"/>
      <c r="W290"/>
    </row>
    <row r="291" spans="1:23" ht="18" customHeight="1" x14ac:dyDescent="0.2">
      <c r="A291" s="49" t="s">
        <v>451</v>
      </c>
      <c r="B291" s="47" t="s">
        <v>447</v>
      </c>
      <c r="C291" s="48">
        <f>(C256 + C257* 'Stability Constants'!$C$16*'Supersonic Stability'!$C$4/'Initial Estimates'!$C$5)*'Stability Constants'!$C$8/'Initial Estimates'!$C$10 - 'Supersonic Stability'!C257*'Stability Constants'!$C$16*'Supersonic Stability'!$C$4/'Initial Estimates'!$C$5*'Stability Constants'!$C$10/'Initial Estimates'!$C$10+'Supersonic Stability'!$C$5+('Supersonic Stability'!C263+'Stability Constants'!$C$11*'Supersonic Stability'!C264)/('Stability Constants'!$C$13*'Initial Estimates'!$C$5*'Initial Estimates'!$C$10)</f>
        <v>-6.3411048504790658E-3</v>
      </c>
      <c r="D291" s="49" t="s">
        <v>126</v>
      </c>
      <c r="E291" s="49" t="s">
        <v>138</v>
      </c>
      <c r="F291" s="49" t="s">
        <v>21</v>
      </c>
      <c r="G291" s="29" t="s">
        <v>461</v>
      </c>
      <c r="H291" s="99" t="s">
        <v>439</v>
      </c>
      <c r="I291" s="99"/>
      <c r="J291" s="99"/>
      <c r="K291" s="99"/>
      <c r="L291" s="99"/>
      <c r="Q291"/>
      <c r="R291"/>
      <c r="S291"/>
      <c r="T291"/>
      <c r="U291"/>
      <c r="V291"/>
      <c r="W291"/>
    </row>
    <row r="292" spans="1:23" ht="18" customHeight="1" x14ac:dyDescent="0.2">
      <c r="A292" s="49" t="s">
        <v>452</v>
      </c>
      <c r="B292" s="47" t="s">
        <v>447</v>
      </c>
      <c r="C292" s="48">
        <f>(C268 + C269* 'Stability Constants'!$C$16*'Supersonic Stability'!$C$4/'Initial Estimates'!$C$5)*'Stability Constants'!$C$8/'Initial Estimates'!$C$10 - 'Supersonic Stability'!C269*'Stability Constants'!$C$16*'Supersonic Stability'!$C$4/'Initial Estimates'!$C$5*'Stability Constants'!$C$10/'Initial Estimates'!$C$10+'Supersonic Stability'!$C$5+('Supersonic Stability'!C275+'Stability Constants'!$C$11*'Supersonic Stability'!C276)/('Stability Constants'!$C$13*'Initial Estimates'!$C$5*'Initial Estimates'!$C$10)</f>
        <v>-8.4389294129113383E-3</v>
      </c>
      <c r="D292" s="49" t="s">
        <v>126</v>
      </c>
      <c r="E292" s="49" t="s">
        <v>138</v>
      </c>
      <c r="F292" s="49" t="s">
        <v>21</v>
      </c>
      <c r="G292" s="29" t="s">
        <v>461</v>
      </c>
      <c r="H292" s="99" t="s">
        <v>439</v>
      </c>
      <c r="I292" s="99"/>
      <c r="J292" s="99"/>
      <c r="K292" s="99"/>
      <c r="L292" s="99"/>
      <c r="Q292"/>
      <c r="R292"/>
      <c r="S292"/>
      <c r="T292"/>
      <c r="U292"/>
      <c r="V292"/>
      <c r="W292"/>
    </row>
    <row r="293" spans="1:23" ht="18" customHeight="1" x14ac:dyDescent="0.2">
      <c r="A293" s="49" t="s">
        <v>453</v>
      </c>
      <c r="B293" s="47" t="s">
        <v>447</v>
      </c>
      <c r="C293" s="48">
        <f>(C280 + C281* 'Stability Constants'!$C$16*'Supersonic Stability'!$C$4/'Initial Estimates'!$C$5)*'Stability Constants'!$C$8/'Initial Estimates'!$C$10 - 'Supersonic Stability'!C281*'Stability Constants'!$C$16*'Supersonic Stability'!$C$4/'Initial Estimates'!$C$5*'Stability Constants'!$C$10/'Initial Estimates'!$C$10+'Supersonic Stability'!$C$5+('Supersonic Stability'!C287+'Stability Constants'!$C$11*'Supersonic Stability'!C288)/('Stability Constants'!$C$13*'Initial Estimates'!$C$5*'Initial Estimates'!$C$10)</f>
        <v>-1.0832483250353568E-2</v>
      </c>
      <c r="D293" s="49" t="s">
        <v>126</v>
      </c>
      <c r="E293" s="49" t="s">
        <v>138</v>
      </c>
      <c r="F293" s="49" t="s">
        <v>21</v>
      </c>
      <c r="G293" s="29" t="s">
        <v>461</v>
      </c>
      <c r="H293" s="99" t="s">
        <v>439</v>
      </c>
      <c r="I293" s="99"/>
      <c r="J293" s="99"/>
      <c r="K293" s="99"/>
      <c r="L293" s="99"/>
      <c r="Q293"/>
      <c r="R293"/>
      <c r="S293"/>
      <c r="T293"/>
      <c r="U293"/>
      <c r="V293"/>
      <c r="W293"/>
    </row>
    <row r="294" spans="1:23" ht="18" customHeight="1" x14ac:dyDescent="0.2">
      <c r="A294" s="49" t="s">
        <v>509</v>
      </c>
      <c r="B294" s="47" t="s">
        <v>454</v>
      </c>
      <c r="C294" s="48">
        <f xml:space="preserve"> ( C260 + C261*(1 - C262)*'Stability Constants'!$C$16*('Supersonic Stability'!$C$4/'Initial Estimates'!$C$5))*('Stability Constants'!$C$8/'Initial Estimates'!$C$10) - C261*(1 - C262)*'Stability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1.8296028205449271</v>
      </c>
      <c r="D294" s="49" t="s">
        <v>126</v>
      </c>
      <c r="E294" s="49" t="s">
        <v>422</v>
      </c>
      <c r="F294" s="49" t="s">
        <v>21</v>
      </c>
      <c r="G294" s="29" t="s">
        <v>459</v>
      </c>
      <c r="H294" s="99" t="s">
        <v>439</v>
      </c>
      <c r="I294" s="99"/>
      <c r="J294" s="99"/>
      <c r="K294" s="99"/>
      <c r="L294" s="99"/>
      <c r="Q294"/>
      <c r="R294"/>
      <c r="S294"/>
      <c r="T294"/>
      <c r="U294"/>
      <c r="V294"/>
      <c r="W294"/>
    </row>
    <row r="295" spans="1:23" ht="18" customHeight="1" x14ac:dyDescent="0.2">
      <c r="A295" s="49" t="s">
        <v>510</v>
      </c>
      <c r="B295" s="47" t="s">
        <v>454</v>
      </c>
      <c r="C295" s="48">
        <f xml:space="preserve"> ( C272 + C273*(1 - C274)*'Stability Constants'!$C$16*('Supersonic Stability'!$C$4/'Initial Estimates'!$C$5))*('Stability Constants'!$C$8/'Initial Estimates'!$C$10) - C273*(1 - C274)*'Stability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1.7860536578602395</v>
      </c>
      <c r="D295" s="49" t="s">
        <v>126</v>
      </c>
      <c r="E295" s="49" t="s">
        <v>422</v>
      </c>
      <c r="F295" s="49" t="s">
        <v>21</v>
      </c>
      <c r="G295" s="29" t="s">
        <v>459</v>
      </c>
      <c r="H295" s="99" t="s">
        <v>439</v>
      </c>
      <c r="I295" s="99"/>
      <c r="J295" s="99"/>
      <c r="K295" s="99"/>
      <c r="L295" s="99"/>
      <c r="Q295"/>
      <c r="R295"/>
      <c r="S295"/>
      <c r="T295"/>
      <c r="U295"/>
      <c r="V295"/>
      <c r="W295"/>
    </row>
    <row r="296" spans="1:23" ht="18" customHeight="1" x14ac:dyDescent="0.2">
      <c r="A296" s="49" t="s">
        <v>508</v>
      </c>
      <c r="B296" s="47" t="s">
        <v>454</v>
      </c>
      <c r="C296" s="48">
        <f xml:space="preserve"> ( C284 + C285*(1 - C286)*'Stability Constants'!$C$16*('Supersonic Stability'!$C$4/'Initial Estimates'!$C$5))*('Stability Constants'!$C$8/'Initial Estimates'!$C$10) - C285*(1 - C286)*'Stability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1.7405874023577601</v>
      </c>
      <c r="D296" s="49" t="s">
        <v>126</v>
      </c>
      <c r="E296" s="49" t="s">
        <v>422</v>
      </c>
      <c r="F296" s="49" t="s">
        <v>21</v>
      </c>
      <c r="G296" s="29" t="s">
        <v>459</v>
      </c>
      <c r="H296" s="99" t="s">
        <v>439</v>
      </c>
      <c r="I296" s="99"/>
      <c r="J296" s="99"/>
      <c r="K296" s="99"/>
      <c r="L296" s="99"/>
      <c r="Q296"/>
      <c r="R296"/>
      <c r="S296"/>
      <c r="T296"/>
      <c r="U296"/>
      <c r="V296"/>
      <c r="W296"/>
    </row>
    <row r="297" spans="1:23" ht="18" customHeight="1" x14ac:dyDescent="0.2">
      <c r="Q297"/>
      <c r="R297"/>
      <c r="S297"/>
      <c r="T297"/>
      <c r="U297"/>
      <c r="V297"/>
      <c r="W297"/>
    </row>
    <row r="298" spans="1:23" ht="18" customHeight="1" x14ac:dyDescent="0.2">
      <c r="Q298"/>
      <c r="R298"/>
      <c r="S298"/>
      <c r="T298"/>
      <c r="U298"/>
      <c r="V298"/>
      <c r="W298"/>
    </row>
    <row r="299" spans="1:23" ht="18" customHeight="1" x14ac:dyDescent="0.2">
      <c r="Q299"/>
      <c r="R299"/>
      <c r="S299"/>
      <c r="T299"/>
      <c r="U299"/>
      <c r="V299"/>
      <c r="W299"/>
    </row>
    <row r="300" spans="1:23" ht="18" customHeight="1" x14ac:dyDescent="0.2">
      <c r="Q300"/>
      <c r="R300"/>
      <c r="S300"/>
      <c r="T300"/>
      <c r="U300"/>
      <c r="V300"/>
      <c r="W300"/>
    </row>
    <row r="301" spans="1:23" ht="18" customHeight="1" x14ac:dyDescent="0.2">
      <c r="Q301"/>
      <c r="R301"/>
      <c r="S301"/>
      <c r="T301"/>
      <c r="U301"/>
      <c r="V301"/>
      <c r="W301"/>
    </row>
    <row r="302" spans="1:23" ht="18" customHeight="1" x14ac:dyDescent="0.2">
      <c r="Q302"/>
      <c r="R302"/>
      <c r="S302"/>
      <c r="T302"/>
      <c r="U302"/>
      <c r="V302"/>
      <c r="W302"/>
    </row>
    <row r="303" spans="1:23" ht="18" customHeight="1" x14ac:dyDescent="0.2">
      <c r="G303" s="49"/>
      <c r="Q303"/>
      <c r="R303"/>
      <c r="S303"/>
      <c r="T303"/>
      <c r="U303"/>
      <c r="V303"/>
      <c r="W303"/>
    </row>
    <row r="304" spans="1:23" ht="18" customHeight="1" x14ac:dyDescent="0.2">
      <c r="G304" s="49"/>
      <c r="Q304"/>
      <c r="R304"/>
      <c r="S304"/>
      <c r="T304"/>
      <c r="U304"/>
      <c r="V304"/>
      <c r="W304"/>
    </row>
  </sheetData>
  <dataConsolidate/>
  <mergeCells count="292">
    <mergeCell ref="H120:L120"/>
    <mergeCell ref="H121:L121"/>
    <mergeCell ref="H122:L122"/>
    <mergeCell ref="H123:L123"/>
    <mergeCell ref="H124:L124"/>
    <mergeCell ref="H125:L125"/>
    <mergeCell ref="H126:L126"/>
    <mergeCell ref="H128:L128"/>
    <mergeCell ref="H129:L129"/>
    <mergeCell ref="H86:L86"/>
    <mergeCell ref="H87:L87"/>
    <mergeCell ref="H88:L88"/>
    <mergeCell ref="H89:L89"/>
    <mergeCell ref="H90:L90"/>
    <mergeCell ref="H91:L91"/>
    <mergeCell ref="H104:L104"/>
    <mergeCell ref="H116:L116"/>
    <mergeCell ref="H119:L119"/>
    <mergeCell ref="A92:L92"/>
    <mergeCell ref="H93:L93"/>
    <mergeCell ref="H94:L94"/>
    <mergeCell ref="H95:L95"/>
    <mergeCell ref="H96:L96"/>
    <mergeCell ref="H103:L103"/>
    <mergeCell ref="H105:L105"/>
    <mergeCell ref="H106:L106"/>
    <mergeCell ref="H107:L107"/>
    <mergeCell ref="H108:L108"/>
    <mergeCell ref="H97:L97"/>
    <mergeCell ref="H98:L98"/>
    <mergeCell ref="H99:L99"/>
    <mergeCell ref="H100:L100"/>
    <mergeCell ref="H101:L101"/>
    <mergeCell ref="H76:L76"/>
    <mergeCell ref="H77:L77"/>
    <mergeCell ref="H78:L78"/>
    <mergeCell ref="H79:L79"/>
    <mergeCell ref="H80:L80"/>
    <mergeCell ref="H81:L81"/>
    <mergeCell ref="H82:L82"/>
    <mergeCell ref="H84:L84"/>
    <mergeCell ref="H85:L85"/>
    <mergeCell ref="H83:L83"/>
    <mergeCell ref="H61:L61"/>
    <mergeCell ref="H62:L62"/>
    <mergeCell ref="H63:L63"/>
    <mergeCell ref="H64:L64"/>
    <mergeCell ref="H75:L75"/>
    <mergeCell ref="H66:L66"/>
    <mergeCell ref="H67:L67"/>
    <mergeCell ref="H68:L68"/>
    <mergeCell ref="H69:L69"/>
    <mergeCell ref="H70:L70"/>
    <mergeCell ref="H71:L71"/>
    <mergeCell ref="H72:L72"/>
    <mergeCell ref="H73:L73"/>
    <mergeCell ref="H45:L45"/>
    <mergeCell ref="H46:L46"/>
    <mergeCell ref="H29:L29"/>
    <mergeCell ref="H38:L38"/>
    <mergeCell ref="H47:L47"/>
    <mergeCell ref="H57:L57"/>
    <mergeCell ref="H58:L58"/>
    <mergeCell ref="H59:L59"/>
    <mergeCell ref="H60:L60"/>
    <mergeCell ref="H21:L21"/>
    <mergeCell ref="H22:L22"/>
    <mergeCell ref="H23:L23"/>
    <mergeCell ref="H24:L24"/>
    <mergeCell ref="H25:L25"/>
    <mergeCell ref="H26:L26"/>
    <mergeCell ref="H27:L27"/>
    <mergeCell ref="H28:L28"/>
    <mergeCell ref="H39:L39"/>
    <mergeCell ref="H7:L7"/>
    <mergeCell ref="A8:L8"/>
    <mergeCell ref="H9:L9"/>
    <mergeCell ref="H10:L10"/>
    <mergeCell ref="H11:L11"/>
    <mergeCell ref="H20:L20"/>
    <mergeCell ref="A1:L1"/>
    <mergeCell ref="H2:L2"/>
    <mergeCell ref="H3:L3"/>
    <mergeCell ref="H4:L4"/>
    <mergeCell ref="H5:L5"/>
    <mergeCell ref="H6:L6"/>
    <mergeCell ref="H12:L12"/>
    <mergeCell ref="H13:L13"/>
    <mergeCell ref="H14:L14"/>
    <mergeCell ref="H15:L15"/>
    <mergeCell ref="H16:L16"/>
    <mergeCell ref="H17:L17"/>
    <mergeCell ref="H18:L18"/>
    <mergeCell ref="H19:L19"/>
    <mergeCell ref="H56:L56"/>
    <mergeCell ref="H65:L65"/>
    <mergeCell ref="H74:L74"/>
    <mergeCell ref="H30:L30"/>
    <mergeCell ref="H31:L31"/>
    <mergeCell ref="H32:L32"/>
    <mergeCell ref="H33:L33"/>
    <mergeCell ref="H34:L34"/>
    <mergeCell ref="H35:L35"/>
    <mergeCell ref="H36:L36"/>
    <mergeCell ref="H37:L37"/>
    <mergeCell ref="H48:L48"/>
    <mergeCell ref="H49:L49"/>
    <mergeCell ref="H50:L50"/>
    <mergeCell ref="H51:L51"/>
    <mergeCell ref="H52:L52"/>
    <mergeCell ref="H53:L53"/>
    <mergeCell ref="H54:L54"/>
    <mergeCell ref="H55:L55"/>
    <mergeCell ref="H40:L40"/>
    <mergeCell ref="H41:L41"/>
    <mergeCell ref="H42:L42"/>
    <mergeCell ref="H43:L43"/>
    <mergeCell ref="H44:L44"/>
    <mergeCell ref="H102:L102"/>
    <mergeCell ref="H115:L115"/>
    <mergeCell ref="H117:L117"/>
    <mergeCell ref="H118:L118"/>
    <mergeCell ref="H111:L111"/>
    <mergeCell ref="H112:L112"/>
    <mergeCell ref="H109:L109"/>
    <mergeCell ref="H110:L110"/>
    <mergeCell ref="H113:L113"/>
    <mergeCell ref="H114:L114"/>
    <mergeCell ref="H142:L142"/>
    <mergeCell ref="H143:L143"/>
    <mergeCell ref="H144:L144"/>
    <mergeCell ref="H145:L145"/>
    <mergeCell ref="H146:L146"/>
    <mergeCell ref="H127:L127"/>
    <mergeCell ref="H136:L136"/>
    <mergeCell ref="H137:L137"/>
    <mergeCell ref="H141:L141"/>
    <mergeCell ref="H130:L130"/>
    <mergeCell ref="H131:L131"/>
    <mergeCell ref="H132:L132"/>
    <mergeCell ref="H133:L133"/>
    <mergeCell ref="H134:L134"/>
    <mergeCell ref="H135:L135"/>
    <mergeCell ref="H138:L138"/>
    <mergeCell ref="H139:L139"/>
    <mergeCell ref="H140:L140"/>
    <mergeCell ref="H147:L147"/>
    <mergeCell ref="H154:L154"/>
    <mergeCell ref="H155:L155"/>
    <mergeCell ref="H156:L156"/>
    <mergeCell ref="H157:L157"/>
    <mergeCell ref="H158:L158"/>
    <mergeCell ref="H148:L148"/>
    <mergeCell ref="H149:L149"/>
    <mergeCell ref="H150:L150"/>
    <mergeCell ref="H151:L151"/>
    <mergeCell ref="H152:L152"/>
    <mergeCell ref="H153:L153"/>
    <mergeCell ref="H159:L159"/>
    <mergeCell ref="H166:L166"/>
    <mergeCell ref="H167:L167"/>
    <mergeCell ref="H168:L168"/>
    <mergeCell ref="A169:L169"/>
    <mergeCell ref="H160:L160"/>
    <mergeCell ref="H161:L161"/>
    <mergeCell ref="H162:L162"/>
    <mergeCell ref="H163:L163"/>
    <mergeCell ref="H164:L164"/>
    <mergeCell ref="H165:L165"/>
    <mergeCell ref="H176:L176"/>
    <mergeCell ref="H177:L177"/>
    <mergeCell ref="H178:L178"/>
    <mergeCell ref="H179:L179"/>
    <mergeCell ref="H180:L180"/>
    <mergeCell ref="A181:L181"/>
    <mergeCell ref="H170:L170"/>
    <mergeCell ref="H171:L171"/>
    <mergeCell ref="H172:L172"/>
    <mergeCell ref="H173:L173"/>
    <mergeCell ref="H174:L174"/>
    <mergeCell ref="H175:L175"/>
    <mergeCell ref="A190:L191"/>
    <mergeCell ref="A192:L192"/>
    <mergeCell ref="H193:L193"/>
    <mergeCell ref="H194:L194"/>
    <mergeCell ref="H195:L195"/>
    <mergeCell ref="H196:L196"/>
    <mergeCell ref="H188:L188"/>
    <mergeCell ref="H182:L182"/>
    <mergeCell ref="H183:L183"/>
    <mergeCell ref="H184:L184"/>
    <mergeCell ref="H185:L185"/>
    <mergeCell ref="H186:L186"/>
    <mergeCell ref="H187:L187"/>
    <mergeCell ref="H203:L203"/>
    <mergeCell ref="H204:L204"/>
    <mergeCell ref="H205:L205"/>
    <mergeCell ref="H206:L206"/>
    <mergeCell ref="H207:L207"/>
    <mergeCell ref="H208:L208"/>
    <mergeCell ref="H197:L197"/>
    <mergeCell ref="H198:L198"/>
    <mergeCell ref="A199:L199"/>
    <mergeCell ref="H200:L200"/>
    <mergeCell ref="H201:L201"/>
    <mergeCell ref="H202:L202"/>
    <mergeCell ref="H215:L215"/>
    <mergeCell ref="H216:L216"/>
    <mergeCell ref="H217:L217"/>
    <mergeCell ref="H218:L218"/>
    <mergeCell ref="H219:L219"/>
    <mergeCell ref="H220:L220"/>
    <mergeCell ref="H209:L209"/>
    <mergeCell ref="H210:L210"/>
    <mergeCell ref="A211:L211"/>
    <mergeCell ref="H212:L212"/>
    <mergeCell ref="H213:L213"/>
    <mergeCell ref="H214:L214"/>
    <mergeCell ref="H227:L227"/>
    <mergeCell ref="H228:L228"/>
    <mergeCell ref="H229:L229"/>
    <mergeCell ref="H230:L230"/>
    <mergeCell ref="H231:L231"/>
    <mergeCell ref="H232:L232"/>
    <mergeCell ref="H221:L221"/>
    <mergeCell ref="H222:L222"/>
    <mergeCell ref="A223:L223"/>
    <mergeCell ref="H224:L224"/>
    <mergeCell ref="H225:L225"/>
    <mergeCell ref="H226:L226"/>
    <mergeCell ref="H239:L239"/>
    <mergeCell ref="H240:L240"/>
    <mergeCell ref="H241:L241"/>
    <mergeCell ref="H242:L242"/>
    <mergeCell ref="A244:L245"/>
    <mergeCell ref="A246:L246"/>
    <mergeCell ref="H233:L233"/>
    <mergeCell ref="H234:L234"/>
    <mergeCell ref="A235:L235"/>
    <mergeCell ref="H236:L236"/>
    <mergeCell ref="H237:L237"/>
    <mergeCell ref="H238:L238"/>
    <mergeCell ref="A253:L253"/>
    <mergeCell ref="H254:L254"/>
    <mergeCell ref="H255:L255"/>
    <mergeCell ref="H256:L256"/>
    <mergeCell ref="H257:L257"/>
    <mergeCell ref="H258:L258"/>
    <mergeCell ref="H247:L247"/>
    <mergeCell ref="H248:L248"/>
    <mergeCell ref="H249:L249"/>
    <mergeCell ref="H250:L250"/>
    <mergeCell ref="H251:L251"/>
    <mergeCell ref="H252:L252"/>
    <mergeCell ref="A265:L265"/>
    <mergeCell ref="H266:L266"/>
    <mergeCell ref="H267:L267"/>
    <mergeCell ref="H268:L268"/>
    <mergeCell ref="H269:L269"/>
    <mergeCell ref="H270:L270"/>
    <mergeCell ref="H259:L259"/>
    <mergeCell ref="H260:L260"/>
    <mergeCell ref="H261:L261"/>
    <mergeCell ref="H262:L262"/>
    <mergeCell ref="H263:L263"/>
    <mergeCell ref="H264:L264"/>
    <mergeCell ref="H278:L278"/>
    <mergeCell ref="H279:L279"/>
    <mergeCell ref="H280:L280"/>
    <mergeCell ref="H281:L281"/>
    <mergeCell ref="H282:L282"/>
    <mergeCell ref="H271:L271"/>
    <mergeCell ref="H272:L272"/>
    <mergeCell ref="H273:L273"/>
    <mergeCell ref="H274:L274"/>
    <mergeCell ref="H275:L275"/>
    <mergeCell ref="H276:L276"/>
    <mergeCell ref="A277:L277"/>
    <mergeCell ref="H295:L295"/>
    <mergeCell ref="H296:L296"/>
    <mergeCell ref="A289:L289"/>
    <mergeCell ref="H290:L290"/>
    <mergeCell ref="H291:L291"/>
    <mergeCell ref="H292:L292"/>
    <mergeCell ref="H293:L293"/>
    <mergeCell ref="H294:L294"/>
    <mergeCell ref="H283:L283"/>
    <mergeCell ref="H284:L284"/>
    <mergeCell ref="H285:L285"/>
    <mergeCell ref="H286:L286"/>
    <mergeCell ref="H287:L287"/>
    <mergeCell ref="H288:L288"/>
  </mergeCells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4"/>
  <sheetViews>
    <sheetView workbookViewId="0">
      <selection activeCell="E25" sqref="E25"/>
    </sheetView>
  </sheetViews>
  <sheetFormatPr baseColWidth="10" defaultColWidth="15.1640625" defaultRowHeight="15" x14ac:dyDescent="0.2"/>
  <cols>
    <col min="1" max="2" width="16.1640625" style="56" customWidth="1"/>
    <col min="3" max="3" width="17.33203125" style="56" customWidth="1"/>
    <col min="4" max="4" width="30.33203125" style="56" customWidth="1"/>
    <col min="5" max="5" width="31.6640625" style="56" customWidth="1"/>
    <col min="6" max="6" width="30.6640625" style="56" customWidth="1"/>
    <col min="7" max="7" width="30.1640625" style="56" customWidth="1"/>
    <col min="8" max="16384" width="15.1640625" style="56"/>
  </cols>
  <sheetData>
    <row r="1" spans="1:26" s="57" customFormat="1" ht="22" customHeight="1" x14ac:dyDescent="0.2">
      <c r="A1" s="125" t="s">
        <v>536</v>
      </c>
      <c r="B1" s="126"/>
      <c r="C1" s="126"/>
      <c r="D1" s="126"/>
      <c r="E1" s="126"/>
      <c r="F1" s="126"/>
      <c r="G1" s="126"/>
      <c r="H1" s="79"/>
      <c r="I1" s="79"/>
      <c r="J1" s="79"/>
      <c r="K1" s="79"/>
      <c r="L1" s="80"/>
    </row>
    <row r="2" spans="1:26" ht="16" x14ac:dyDescent="0.2">
      <c r="A2" s="81" t="s">
        <v>61</v>
      </c>
      <c r="B2" s="81" t="s">
        <v>530</v>
      </c>
      <c r="C2" s="82" t="s">
        <v>531</v>
      </c>
      <c r="D2" s="82" t="s">
        <v>532</v>
      </c>
      <c r="E2" s="82" t="s">
        <v>533</v>
      </c>
      <c r="F2" s="82" t="s">
        <v>534</v>
      </c>
      <c r="G2" s="82" t="s">
        <v>535</v>
      </c>
    </row>
    <row r="3" spans="1:26" ht="16" x14ac:dyDescent="0.2">
      <c r="A3" s="74" t="s">
        <v>26</v>
      </c>
      <c r="B3" s="75">
        <v>5.5979999999999995E-4</v>
      </c>
      <c r="C3" s="76">
        <v>216.65</v>
      </c>
      <c r="D3" s="77">
        <f t="shared" ref="D3:D11" si="0">(0.5*(1.6*968)^2)*B3</f>
        <v>671.41892505600003</v>
      </c>
      <c r="E3" s="78">
        <f t="shared" ref="E3:E11" si="1">(0.5*(1.7*968)^2)*B3</f>
        <v>757.96902086399984</v>
      </c>
      <c r="F3" s="78">
        <f t="shared" ref="F3:F11" si="2">(0.5*(1.8*968)^2)*B3</f>
        <v>849.764577024</v>
      </c>
      <c r="G3" s="74">
        <f t="shared" ref="G3:G11" si="3">2.969*10^-7</f>
        <v>2.9689999999999997E-7</v>
      </c>
    </row>
    <row r="4" spans="1:26" ht="16" x14ac:dyDescent="0.2">
      <c r="A4" s="74" t="s">
        <v>27</v>
      </c>
      <c r="B4" s="75">
        <v>5.3359999999999996E-4</v>
      </c>
      <c r="C4" s="76">
        <v>216.65</v>
      </c>
      <c r="D4" s="77">
        <f t="shared" si="0"/>
        <v>639.99488819200008</v>
      </c>
      <c r="E4" s="78">
        <f t="shared" si="1"/>
        <v>722.4942292479999</v>
      </c>
      <c r="F4" s="78">
        <f t="shared" si="2"/>
        <v>809.99353036800005</v>
      </c>
      <c r="G4" s="74">
        <f t="shared" si="3"/>
        <v>2.9689999999999997E-7</v>
      </c>
    </row>
    <row r="5" spans="1:26" ht="16" x14ac:dyDescent="0.2">
      <c r="A5" s="74" t="s">
        <v>33</v>
      </c>
      <c r="B5" s="75">
        <v>5.0869999999999995E-4</v>
      </c>
      <c r="C5" s="76">
        <v>216.65</v>
      </c>
      <c r="D5" s="77">
        <f t="shared" si="0"/>
        <v>610.13005926400001</v>
      </c>
      <c r="E5" s="78">
        <f t="shared" si="1"/>
        <v>688.77963721599986</v>
      </c>
      <c r="F5" s="78">
        <f t="shared" si="2"/>
        <v>772.19585625599996</v>
      </c>
      <c r="G5" s="74">
        <f t="shared" si="3"/>
        <v>2.9689999999999997E-7</v>
      </c>
    </row>
    <row r="6" spans="1:26" ht="16" x14ac:dyDescent="0.2">
      <c r="A6" s="74" t="s">
        <v>35</v>
      </c>
      <c r="B6" s="75">
        <v>4.8490000000000002E-4</v>
      </c>
      <c r="C6" s="76">
        <v>216.65</v>
      </c>
      <c r="D6" s="77">
        <f t="shared" si="0"/>
        <v>581.58456012800013</v>
      </c>
      <c r="E6" s="78">
        <f t="shared" si="1"/>
        <v>656.55444483199994</v>
      </c>
      <c r="F6" s="78">
        <f t="shared" si="2"/>
        <v>736.06795891200011</v>
      </c>
      <c r="G6" s="74">
        <f t="shared" si="3"/>
        <v>2.9689999999999997E-7</v>
      </c>
    </row>
    <row r="7" spans="1:26" ht="16" x14ac:dyDescent="0.2">
      <c r="A7" s="74" t="s">
        <v>38</v>
      </c>
      <c r="B7" s="75">
        <v>4.6230000000000002E-4</v>
      </c>
      <c r="C7" s="76">
        <v>216.65</v>
      </c>
      <c r="D7" s="77">
        <f t="shared" si="0"/>
        <v>554.47832985600007</v>
      </c>
      <c r="E7" s="78">
        <f t="shared" si="1"/>
        <v>625.95405206399994</v>
      </c>
      <c r="F7" s="78">
        <f t="shared" si="2"/>
        <v>701.76163622400009</v>
      </c>
      <c r="G7" s="74">
        <f t="shared" si="3"/>
        <v>2.9689999999999997E-7</v>
      </c>
    </row>
    <row r="8" spans="1:26" ht="16" x14ac:dyDescent="0.2">
      <c r="A8" s="74" t="s">
        <v>40</v>
      </c>
      <c r="B8" s="75">
        <v>4.4069999999999998E-4</v>
      </c>
      <c r="C8" s="76">
        <v>216.65</v>
      </c>
      <c r="D8" s="77">
        <f t="shared" si="0"/>
        <v>528.57149030400001</v>
      </c>
      <c r="E8" s="78">
        <f t="shared" si="1"/>
        <v>596.70765897599995</v>
      </c>
      <c r="F8" s="78">
        <f t="shared" si="2"/>
        <v>668.97329241600005</v>
      </c>
      <c r="G8" s="74">
        <f t="shared" si="3"/>
        <v>2.9689999999999997E-7</v>
      </c>
    </row>
    <row r="9" spans="1:26" ht="16" x14ac:dyDescent="0.2">
      <c r="A9" s="74" t="s">
        <v>42</v>
      </c>
      <c r="B9" s="75">
        <v>4.2010000000000002E-4</v>
      </c>
      <c r="C9" s="76">
        <v>216.65</v>
      </c>
      <c r="D9" s="77">
        <f t="shared" si="0"/>
        <v>503.86404147200011</v>
      </c>
      <c r="E9" s="78">
        <f t="shared" si="1"/>
        <v>568.81526556799997</v>
      </c>
      <c r="F9" s="78">
        <f t="shared" si="2"/>
        <v>637.70292748800011</v>
      </c>
      <c r="G9" s="74">
        <f t="shared" si="3"/>
        <v>2.9689999999999997E-7</v>
      </c>
    </row>
    <row r="10" spans="1:26" ht="16" x14ac:dyDescent="0.2">
      <c r="A10" s="74" t="s">
        <v>45</v>
      </c>
      <c r="B10" s="75">
        <v>4.0049999999999998E-4</v>
      </c>
      <c r="C10" s="76">
        <v>216.65</v>
      </c>
      <c r="D10" s="77">
        <f t="shared" si="0"/>
        <v>480.35598336000004</v>
      </c>
      <c r="E10" s="78">
        <f t="shared" si="1"/>
        <v>542.2768718399999</v>
      </c>
      <c r="F10" s="78">
        <f t="shared" si="2"/>
        <v>607.95054144000005</v>
      </c>
      <c r="G10" s="74">
        <f t="shared" si="3"/>
        <v>2.9689999999999997E-7</v>
      </c>
    </row>
    <row r="11" spans="1:26" ht="16" x14ac:dyDescent="0.2">
      <c r="A11" s="74" t="s">
        <v>46</v>
      </c>
      <c r="B11" s="75">
        <v>3.8170000000000001E-4</v>
      </c>
      <c r="C11" s="76">
        <v>216.65</v>
      </c>
      <c r="D11" s="77">
        <f t="shared" si="0"/>
        <v>457.80743782400009</v>
      </c>
      <c r="E11" s="78">
        <f t="shared" si="1"/>
        <v>516.82167785599995</v>
      </c>
      <c r="F11" s="78">
        <f t="shared" si="2"/>
        <v>579.41253849600002</v>
      </c>
      <c r="G11" s="74">
        <f t="shared" si="3"/>
        <v>2.9689999999999997E-7</v>
      </c>
    </row>
    <row r="12" spans="1:26" ht="15" customHeight="1" x14ac:dyDescent="0.2"/>
    <row r="13" spans="1:26" ht="15" customHeight="1" x14ac:dyDescent="0.2"/>
    <row r="14" spans="1:26" ht="15" customHeight="1" x14ac:dyDescent="0.2"/>
    <row r="15" spans="1:26" ht="15" customHeight="1" x14ac:dyDescent="0.2"/>
    <row r="16" spans="1:26" ht="15" customHeight="1" x14ac:dyDescent="0.2">
      <c r="A16" s="87" t="s">
        <v>539</v>
      </c>
      <c r="B16" s="88"/>
      <c r="C16" s="88"/>
      <c r="D16" s="88"/>
      <c r="E16" s="88"/>
      <c r="F16" s="88"/>
      <c r="G16" s="88"/>
      <c r="H16" s="88"/>
      <c r="I16" s="89"/>
      <c r="J16" s="89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/>
      <c r="Z16"/>
    </row>
    <row r="17" spans="1:26" ht="17" x14ac:dyDescent="0.2">
      <c r="A17" s="87" t="s">
        <v>44</v>
      </c>
      <c r="B17" s="87" t="s">
        <v>540</v>
      </c>
      <c r="C17" s="87" t="s">
        <v>541</v>
      </c>
      <c r="D17" s="87" t="s">
        <v>542</v>
      </c>
      <c r="E17" s="87" t="s">
        <v>543</v>
      </c>
      <c r="F17" s="87" t="s">
        <v>544</v>
      </c>
      <c r="G17" s="87" t="s">
        <v>545</v>
      </c>
      <c r="H17" s="87" t="s">
        <v>546</v>
      </c>
      <c r="I17" s="87" t="s">
        <v>547</v>
      </c>
      <c r="J17" s="87" t="s">
        <v>548</v>
      </c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</row>
    <row r="18" spans="1:26" ht="17" x14ac:dyDescent="0.2">
      <c r="A18" s="83">
        <v>1</v>
      </c>
      <c r="B18" s="86">
        <v>4.99E-2</v>
      </c>
      <c r="C18" s="86">
        <v>-4.8500000000000001E-2</v>
      </c>
      <c r="D18" s="86">
        <v>3.62E-3</v>
      </c>
      <c r="E18" s="86">
        <v>1.1299999999999999E-2</v>
      </c>
      <c r="F18" s="83">
        <v>4.4257</v>
      </c>
      <c r="G18" s="83">
        <v>1.96136</v>
      </c>
      <c r="H18" s="83">
        <v>2.8561700000000001</v>
      </c>
      <c r="I18" s="83">
        <v>0.90888000000000002</v>
      </c>
      <c r="J18" s="83">
        <v>54.543999999999997</v>
      </c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</row>
    <row r="19" spans="1:26" ht="17" x14ac:dyDescent="0.2">
      <c r="A19" s="83">
        <v>2</v>
      </c>
      <c r="B19" s="86">
        <v>9.98E-2</v>
      </c>
      <c r="C19" s="86">
        <v>-9.7199999999999995E-2</v>
      </c>
      <c r="D19" s="86">
        <v>7.1999999999999998E-3</v>
      </c>
      <c r="E19" s="86">
        <v>1.3599999999999999E-2</v>
      </c>
      <c r="F19" s="83">
        <v>7.3251999999999997</v>
      </c>
      <c r="G19" s="83">
        <v>2.0799599999999998</v>
      </c>
      <c r="H19" s="83">
        <v>2.85887</v>
      </c>
      <c r="I19" s="83">
        <v>0.90925</v>
      </c>
      <c r="J19" s="83">
        <v>54.597999999999999</v>
      </c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</row>
    <row r="20" spans="1:26" ht="17" x14ac:dyDescent="0.2">
      <c r="A20" s="83">
        <v>3</v>
      </c>
      <c r="B20" s="86">
        <v>0.15</v>
      </c>
      <c r="C20" s="86">
        <v>-0.14599999999999999</v>
      </c>
      <c r="D20" s="86">
        <v>1.0800000000000001E-2</v>
      </c>
      <c r="E20" s="86">
        <v>1.77E-2</v>
      </c>
      <c r="F20" s="83">
        <v>8.4785000000000004</v>
      </c>
      <c r="G20" s="83">
        <v>2.2067100000000002</v>
      </c>
      <c r="H20" s="83">
        <v>2.8586299999999998</v>
      </c>
      <c r="I20" s="83">
        <v>0.90932999999999997</v>
      </c>
      <c r="J20" s="83">
        <v>54.609000000000002</v>
      </c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</row>
    <row r="21" spans="1:26" ht="17" x14ac:dyDescent="0.2">
      <c r="A21" s="84"/>
      <c r="B21" s="84"/>
      <c r="C21" s="84"/>
      <c r="D21" s="84"/>
      <c r="E21" s="84"/>
      <c r="F21" s="84"/>
      <c r="G21" s="84"/>
      <c r="H21" s="84"/>
      <c r="I21" s="84"/>
      <c r="J21" s="84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</row>
    <row r="22" spans="1:26" ht="15" customHeight="1" x14ac:dyDescent="0.2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</row>
    <row r="23" spans="1:26" ht="17" x14ac:dyDescent="0.2">
      <c r="A23" s="87" t="s">
        <v>549</v>
      </c>
      <c r="B23" s="88"/>
      <c r="C23" s="88"/>
      <c r="D23" s="88"/>
      <c r="E23" s="88"/>
      <c r="F23" s="88"/>
      <c r="G23" s="88"/>
      <c r="H23" s="88"/>
      <c r="I23" s="89"/>
      <c r="J23" s="89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/>
      <c r="Z23"/>
    </row>
    <row r="24" spans="1:26" ht="17" x14ac:dyDescent="0.2">
      <c r="A24" s="87" t="s">
        <v>44</v>
      </c>
      <c r="B24" s="87" t="s">
        <v>540</v>
      </c>
      <c r="C24" s="87" t="s">
        <v>541</v>
      </c>
      <c r="D24" s="87" t="s">
        <v>542</v>
      </c>
      <c r="E24" s="87" t="s">
        <v>543</v>
      </c>
      <c r="F24" s="87" t="s">
        <v>544</v>
      </c>
      <c r="G24" s="87" t="s">
        <v>545</v>
      </c>
      <c r="H24" s="87" t="s">
        <v>546</v>
      </c>
      <c r="I24" s="87" t="s">
        <v>547</v>
      </c>
      <c r="J24" s="87" t="s">
        <v>548</v>
      </c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</row>
    <row r="25" spans="1:26" ht="17" x14ac:dyDescent="0.2">
      <c r="A25" s="83">
        <v>1</v>
      </c>
      <c r="B25" s="86">
        <v>4.6699999999999998E-2</v>
      </c>
      <c r="C25" s="86">
        <v>-4.5199999999999997E-2</v>
      </c>
      <c r="D25" s="86">
        <v>3.5999999999999999E-3</v>
      </c>
      <c r="E25" s="86">
        <v>1.12E-2</v>
      </c>
      <c r="F25" s="83">
        <v>4.1700999999999997</v>
      </c>
      <c r="G25" s="83">
        <v>2.0580099999999999</v>
      </c>
      <c r="H25" s="83">
        <v>2.6735899999999999</v>
      </c>
      <c r="I25" s="83">
        <v>0.90581999999999996</v>
      </c>
      <c r="J25" s="83">
        <v>54.093000000000004</v>
      </c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</row>
    <row r="26" spans="1:26" ht="17" x14ac:dyDescent="0.2">
      <c r="A26" s="83">
        <v>2</v>
      </c>
      <c r="B26" s="86">
        <v>9.3299999999999994E-2</v>
      </c>
      <c r="C26" s="86">
        <v>-9.0300000000000005E-2</v>
      </c>
      <c r="D26" s="86">
        <v>7.2399999999999999E-3</v>
      </c>
      <c r="E26" s="86">
        <v>1.35E-2</v>
      </c>
      <c r="F26" s="83">
        <v>6.9314999999999998</v>
      </c>
      <c r="G26" s="83">
        <v>2.1920099999999998</v>
      </c>
      <c r="H26" s="83">
        <v>2.6715900000000001</v>
      </c>
      <c r="I26" s="83">
        <v>0.90556000000000003</v>
      </c>
      <c r="J26" s="83">
        <v>54.055</v>
      </c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</row>
    <row r="27" spans="1:26" ht="17" x14ac:dyDescent="0.2">
      <c r="A27" s="83">
        <v>3</v>
      </c>
      <c r="B27" s="86">
        <v>0.14000000000000001</v>
      </c>
      <c r="C27" s="86">
        <v>-0.13500000000000001</v>
      </c>
      <c r="D27" s="86">
        <v>1.0999999999999999E-2</v>
      </c>
      <c r="E27" s="86">
        <v>1.7299999999999999E-2</v>
      </c>
      <c r="F27" s="83">
        <v>8.0778999999999996</v>
      </c>
      <c r="G27" s="83">
        <v>2.3051699999999999</v>
      </c>
      <c r="H27" s="83">
        <v>2.66561</v>
      </c>
      <c r="I27" s="83">
        <v>0.90500999999999998</v>
      </c>
      <c r="J27" s="83">
        <v>53.972999999999999</v>
      </c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</row>
    <row r="28" spans="1:26" ht="17" x14ac:dyDescent="0.2">
      <c r="A28" s="84"/>
      <c r="B28" s="84"/>
      <c r="C28" s="84"/>
      <c r="D28" s="84"/>
      <c r="E28" s="84"/>
      <c r="F28" s="84"/>
      <c r="G28" s="84"/>
      <c r="H28" s="84"/>
      <c r="I28" s="84"/>
      <c r="J28" s="84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</row>
    <row r="29" spans="1:26" ht="17" x14ac:dyDescent="0.2">
      <c r="A29" s="84"/>
      <c r="B29" s="84"/>
      <c r="C29" s="84"/>
      <c r="D29" s="84"/>
      <c r="E29" s="84"/>
      <c r="F29" s="84"/>
      <c r="G29" s="84"/>
      <c r="H29" s="84"/>
      <c r="I29" s="84"/>
      <c r="J29" s="84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</row>
    <row r="30" spans="1:26" ht="17" x14ac:dyDescent="0.2">
      <c r="A30" s="87" t="s">
        <v>550</v>
      </c>
      <c r="B30" s="88"/>
      <c r="C30" s="88"/>
      <c r="D30" s="88"/>
      <c r="E30" s="88"/>
      <c r="F30" s="88"/>
      <c r="G30" s="88"/>
      <c r="H30" s="88"/>
      <c r="I30" s="89"/>
      <c r="J30" s="89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/>
      <c r="Z30"/>
    </row>
    <row r="31" spans="1:26" ht="17" x14ac:dyDescent="0.2">
      <c r="A31" s="87" t="s">
        <v>44</v>
      </c>
      <c r="B31" s="87" t="s">
        <v>540</v>
      </c>
      <c r="C31" s="87" t="s">
        <v>541</v>
      </c>
      <c r="D31" s="87" t="s">
        <v>542</v>
      </c>
      <c r="E31" s="87" t="s">
        <v>543</v>
      </c>
      <c r="F31" s="87" t="s">
        <v>544</v>
      </c>
      <c r="G31" s="87" t="s">
        <v>545</v>
      </c>
      <c r="H31" s="87" t="s">
        <v>546</v>
      </c>
      <c r="I31" s="87" t="s">
        <v>547</v>
      </c>
      <c r="J31" s="87" t="s">
        <v>548</v>
      </c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</row>
    <row r="32" spans="1:26" ht="17" x14ac:dyDescent="0.2">
      <c r="A32" s="83">
        <v>1</v>
      </c>
      <c r="B32" s="86">
        <v>4.3700000000000003E-2</v>
      </c>
      <c r="C32" s="86">
        <v>-4.2099999999999999E-2</v>
      </c>
      <c r="D32" s="86">
        <v>3.63E-3</v>
      </c>
      <c r="E32" s="86">
        <v>1.12E-2</v>
      </c>
      <c r="F32" s="83">
        <v>3.9077999999999999</v>
      </c>
      <c r="G32" s="83">
        <v>2.1452100000000001</v>
      </c>
      <c r="H32" s="83">
        <v>2.5027400000000002</v>
      </c>
      <c r="I32" s="83">
        <v>0.90183999999999997</v>
      </c>
      <c r="J32" s="83">
        <v>53.506999999999998</v>
      </c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</row>
    <row r="33" spans="1:26" ht="17" x14ac:dyDescent="0.2">
      <c r="A33" s="83">
        <v>2</v>
      </c>
      <c r="B33" s="86">
        <v>8.72E-2</v>
      </c>
      <c r="C33" s="86">
        <v>-8.4000000000000005E-2</v>
      </c>
      <c r="D33" s="86">
        <v>7.3000000000000001E-3</v>
      </c>
      <c r="E33" s="86">
        <v>1.3299999999999999E-2</v>
      </c>
      <c r="F33" s="83">
        <v>6.5439999999999996</v>
      </c>
      <c r="G33" s="83">
        <v>2.2909799999999998</v>
      </c>
      <c r="H33" s="83">
        <v>2.4989400000000002</v>
      </c>
      <c r="I33" s="83">
        <v>0.90142</v>
      </c>
      <c r="J33" s="83">
        <v>53.447000000000003</v>
      </c>
      <c r="K33" s="85"/>
      <c r="L33" s="85"/>
      <c r="M33" s="85"/>
      <c r="N33" s="85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</row>
    <row r="34" spans="1:26" ht="17" x14ac:dyDescent="0.2">
      <c r="A34" s="83">
        <v>3</v>
      </c>
      <c r="B34" s="86">
        <v>0.13</v>
      </c>
      <c r="C34" s="86">
        <v>-0.126</v>
      </c>
      <c r="D34" s="86">
        <v>1.11E-2</v>
      </c>
      <c r="E34" s="86">
        <v>1.6899999999999998E-2</v>
      </c>
      <c r="F34" s="83">
        <v>7.6973000000000003</v>
      </c>
      <c r="G34" s="83">
        <v>2.3928600000000002</v>
      </c>
      <c r="H34" s="83">
        <v>2.4910199999999998</v>
      </c>
      <c r="I34" s="83">
        <v>0.90066000000000002</v>
      </c>
      <c r="J34" s="83">
        <v>53.334000000000003</v>
      </c>
      <c r="K34" s="85"/>
      <c r="L34" s="85"/>
      <c r="M34" s="85"/>
      <c r="N34" s="85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</row>
  </sheetData>
  <mergeCells count="1">
    <mergeCell ref="A1:G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5"/>
  <sheetViews>
    <sheetView zoomScale="70" zoomScaleNormal="70" zoomScalePageLayoutView="70" workbookViewId="0">
      <selection sqref="A1:XFD1"/>
    </sheetView>
  </sheetViews>
  <sheetFormatPr baseColWidth="10" defaultColWidth="15.1640625" defaultRowHeight="16" x14ac:dyDescent="0.2"/>
  <cols>
    <col min="1" max="1" width="27.6640625" style="57" customWidth="1"/>
    <col min="2" max="2" width="19.33203125" style="57" customWidth="1"/>
    <col min="3" max="3" width="15.1640625" style="57"/>
    <col min="4" max="4" width="2" style="57" customWidth="1"/>
    <col min="5" max="5" width="6.6640625" style="57" customWidth="1"/>
    <col min="6" max="6" width="30.33203125" style="57" customWidth="1"/>
    <col min="7" max="7" width="52.83203125" style="29" customWidth="1"/>
    <col min="8" max="16384" width="15.1640625" style="57"/>
  </cols>
  <sheetData>
    <row r="1" spans="1:12" ht="22" customHeight="1" x14ac:dyDescent="0.2">
      <c r="A1" s="112" t="s">
        <v>523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5"/>
    </row>
    <row r="2" spans="1:12" ht="18" customHeight="1" x14ac:dyDescent="0.2">
      <c r="A2" s="23" t="s">
        <v>5</v>
      </c>
      <c r="B2" s="23" t="s">
        <v>97</v>
      </c>
      <c r="C2" s="58" t="s">
        <v>7</v>
      </c>
      <c r="D2" s="58" t="s">
        <v>126</v>
      </c>
      <c r="E2" s="58" t="s">
        <v>8</v>
      </c>
      <c r="F2" s="70" t="s">
        <v>9</v>
      </c>
      <c r="G2" s="71" t="s">
        <v>10</v>
      </c>
      <c r="H2" s="128" t="s">
        <v>11</v>
      </c>
      <c r="I2" s="129"/>
      <c r="J2" s="129"/>
      <c r="K2" s="129"/>
      <c r="L2" s="130"/>
    </row>
    <row r="3" spans="1:12" ht="18" customHeight="1" x14ac:dyDescent="0.2">
      <c r="A3" t="s">
        <v>524</v>
      </c>
      <c r="B3" t="s">
        <v>525</v>
      </c>
      <c r="C3" s="67">
        <v>12662.098628298852</v>
      </c>
      <c r="D3" t="s">
        <v>126</v>
      </c>
      <c r="E3" t="s">
        <v>224</v>
      </c>
      <c r="F3" s="72" t="s">
        <v>526</v>
      </c>
      <c r="G3" s="72" t="s">
        <v>527</v>
      </c>
      <c r="H3" s="127" t="s">
        <v>528</v>
      </c>
      <c r="I3" s="127"/>
      <c r="J3" s="127"/>
      <c r="K3" s="127"/>
      <c r="L3" s="127"/>
    </row>
    <row r="4" spans="1:12" ht="18" customHeight="1" x14ac:dyDescent="0.2">
      <c r="A4" s="68">
        <v>42000</v>
      </c>
      <c r="B4" s="56" t="s">
        <v>525</v>
      </c>
      <c r="C4" s="67">
        <v>12069.481650697158</v>
      </c>
      <c r="D4" t="s">
        <v>126</v>
      </c>
      <c r="E4" s="56" t="s">
        <v>224</v>
      </c>
      <c r="F4" s="72" t="s">
        <v>526</v>
      </c>
      <c r="G4" s="72" t="s">
        <v>527</v>
      </c>
      <c r="H4" s="127" t="s">
        <v>528</v>
      </c>
      <c r="I4" s="127"/>
      <c r="J4" s="127"/>
      <c r="K4" s="127"/>
      <c r="L4" s="127"/>
    </row>
    <row r="5" spans="1:12" ht="18" customHeight="1" x14ac:dyDescent="0.2">
      <c r="A5" s="68">
        <v>43000</v>
      </c>
      <c r="B5" s="56" t="s">
        <v>525</v>
      </c>
      <c r="C5" s="67">
        <v>11506.269332289437</v>
      </c>
      <c r="D5" t="s">
        <v>126</v>
      </c>
      <c r="E5" s="56" t="s">
        <v>224</v>
      </c>
      <c r="F5" s="72" t="s">
        <v>526</v>
      </c>
      <c r="G5" s="72" t="s">
        <v>527</v>
      </c>
      <c r="H5" s="127" t="s">
        <v>528</v>
      </c>
      <c r="I5" s="127"/>
      <c r="J5" s="127"/>
      <c r="K5" s="127"/>
      <c r="L5" s="127"/>
    </row>
    <row r="6" spans="1:12" ht="18" customHeight="1" x14ac:dyDescent="0.2">
      <c r="A6" s="68">
        <v>44000</v>
      </c>
      <c r="B6" s="56" t="s">
        <v>525</v>
      </c>
      <c r="C6" s="67">
        <v>10967.937879353545</v>
      </c>
      <c r="D6" t="s">
        <v>126</v>
      </c>
      <c r="E6" s="56" t="s">
        <v>224</v>
      </c>
      <c r="F6" s="72" t="s">
        <v>526</v>
      </c>
      <c r="G6" s="72" t="s">
        <v>527</v>
      </c>
      <c r="H6" s="127" t="s">
        <v>528</v>
      </c>
      <c r="I6" s="127"/>
      <c r="J6" s="127"/>
      <c r="K6" s="127"/>
      <c r="L6" s="127"/>
    </row>
    <row r="7" spans="1:12" ht="18" customHeight="1" x14ac:dyDescent="0.2">
      <c r="A7" s="68">
        <v>45000</v>
      </c>
      <c r="B7" s="56" t="s">
        <v>525</v>
      </c>
      <c r="C7" s="67">
        <v>10456.749188750555</v>
      </c>
      <c r="D7" t="s">
        <v>126</v>
      </c>
      <c r="E7" s="56" t="s">
        <v>224</v>
      </c>
      <c r="F7" s="72" t="s">
        <v>526</v>
      </c>
      <c r="G7" s="72" t="s">
        <v>527</v>
      </c>
      <c r="H7" s="127" t="s">
        <v>528</v>
      </c>
      <c r="I7" s="127"/>
      <c r="J7" s="127"/>
      <c r="K7" s="127"/>
      <c r="L7" s="127"/>
    </row>
    <row r="8" spans="1:12" ht="22" customHeight="1" x14ac:dyDescent="0.2">
      <c r="A8" s="68">
        <v>46000</v>
      </c>
      <c r="B8" s="56" t="s">
        <v>525</v>
      </c>
      <c r="C8" s="67">
        <v>9968.1794667583181</v>
      </c>
      <c r="D8" t="s">
        <v>126</v>
      </c>
      <c r="E8" s="56" t="s">
        <v>224</v>
      </c>
      <c r="F8" s="72" t="s">
        <v>526</v>
      </c>
      <c r="G8" s="72" t="s">
        <v>527</v>
      </c>
      <c r="H8" s="127" t="s">
        <v>528</v>
      </c>
      <c r="I8" s="127"/>
      <c r="J8" s="127"/>
      <c r="K8" s="127"/>
      <c r="L8" s="127"/>
    </row>
    <row r="9" spans="1:12" ht="18" customHeight="1" x14ac:dyDescent="0.2">
      <c r="A9" s="68">
        <v>47000</v>
      </c>
      <c r="B9" s="56" t="s">
        <v>525</v>
      </c>
      <c r="C9" s="67">
        <v>9502.2287133768295</v>
      </c>
      <c r="D9" t="s">
        <v>126</v>
      </c>
      <c r="E9" s="56" t="s">
        <v>224</v>
      </c>
      <c r="F9" s="72" t="s">
        <v>526</v>
      </c>
      <c r="G9" s="72" t="s">
        <v>527</v>
      </c>
      <c r="H9" s="127" t="s">
        <v>528</v>
      </c>
      <c r="I9" s="127"/>
      <c r="J9" s="127"/>
      <c r="K9" s="127"/>
      <c r="L9" s="127"/>
    </row>
    <row r="10" spans="1:12" ht="18" customHeight="1" x14ac:dyDescent="0.2">
      <c r="A10" s="68">
        <v>48000</v>
      </c>
      <c r="B10" s="56" t="s">
        <v>525</v>
      </c>
      <c r="C10" s="67">
        <v>9058.8969286060928</v>
      </c>
      <c r="D10" t="s">
        <v>126</v>
      </c>
      <c r="E10" s="56" t="s">
        <v>224</v>
      </c>
      <c r="F10" s="72" t="s">
        <v>526</v>
      </c>
      <c r="G10" s="72" t="s">
        <v>527</v>
      </c>
      <c r="H10" s="127" t="s">
        <v>528</v>
      </c>
      <c r="I10" s="127"/>
      <c r="J10" s="127"/>
      <c r="K10" s="127"/>
      <c r="L10" s="127"/>
    </row>
    <row r="11" spans="1:12" ht="18" customHeight="1" x14ac:dyDescent="0.2">
      <c r="A11" s="68">
        <v>49000</v>
      </c>
      <c r="B11" s="56" t="s">
        <v>525</v>
      </c>
      <c r="C11" s="67">
        <v>8633.6603187239598</v>
      </c>
      <c r="D11" t="s">
        <v>126</v>
      </c>
      <c r="E11" s="56" t="s">
        <v>224</v>
      </c>
      <c r="F11" s="72" t="s">
        <v>526</v>
      </c>
      <c r="G11" s="72" t="s">
        <v>527</v>
      </c>
      <c r="H11" s="127" t="s">
        <v>528</v>
      </c>
      <c r="I11" s="127"/>
      <c r="J11" s="127"/>
      <c r="K11" s="127"/>
      <c r="L11" s="127"/>
    </row>
    <row r="12" spans="1:12" ht="22" customHeight="1" x14ac:dyDescent="0.2">
      <c r="A12" s="112" t="s">
        <v>529</v>
      </c>
      <c r="B12" s="114"/>
      <c r="C12" s="114"/>
      <c r="D12" s="114"/>
      <c r="E12" s="114"/>
      <c r="F12" s="113"/>
      <c r="G12" s="113"/>
      <c r="H12" s="113"/>
      <c r="I12" s="113"/>
      <c r="J12" s="113"/>
      <c r="K12" s="113"/>
      <c r="L12" s="122"/>
    </row>
    <row r="13" spans="1:12" ht="18" customHeight="1" x14ac:dyDescent="0.2">
      <c r="A13" s="23" t="s">
        <v>5</v>
      </c>
      <c r="B13" s="23" t="s">
        <v>97</v>
      </c>
      <c r="C13" s="58" t="s">
        <v>7</v>
      </c>
      <c r="D13" s="58" t="s">
        <v>126</v>
      </c>
      <c r="E13" s="58" t="s">
        <v>8</v>
      </c>
      <c r="F13" s="70" t="s">
        <v>9</v>
      </c>
      <c r="G13" s="71" t="s">
        <v>10</v>
      </c>
      <c r="H13" s="128" t="s">
        <v>11</v>
      </c>
      <c r="I13" s="129"/>
      <c r="J13" s="129"/>
      <c r="K13" s="129"/>
      <c r="L13" s="130"/>
    </row>
    <row r="14" spans="1:12" ht="18" customHeight="1" x14ac:dyDescent="0.2">
      <c r="A14" s="56" t="s">
        <v>524</v>
      </c>
      <c r="B14" s="56" t="s">
        <v>525</v>
      </c>
      <c r="C14" s="69">
        <v>12612.327480941742</v>
      </c>
      <c r="D14" s="56" t="s">
        <v>126</v>
      </c>
      <c r="E14" s="56" t="s">
        <v>224</v>
      </c>
      <c r="F14" s="72" t="s">
        <v>526</v>
      </c>
      <c r="G14" s="72" t="s">
        <v>527</v>
      </c>
      <c r="H14" s="127" t="s">
        <v>528</v>
      </c>
      <c r="I14" s="127"/>
      <c r="J14" s="127"/>
      <c r="K14" s="127"/>
      <c r="L14" s="127"/>
    </row>
    <row r="15" spans="1:12" ht="18" customHeight="1" x14ac:dyDescent="0.2">
      <c r="A15" s="68">
        <v>42000</v>
      </c>
      <c r="B15" s="56" t="s">
        <v>525</v>
      </c>
      <c r="C15" s="69">
        <v>12022.039913952329</v>
      </c>
      <c r="D15" s="56" t="s">
        <v>126</v>
      </c>
      <c r="E15" s="56" t="s">
        <v>224</v>
      </c>
      <c r="F15" s="72" t="s">
        <v>526</v>
      </c>
      <c r="G15" s="72" t="s">
        <v>527</v>
      </c>
      <c r="H15" s="127" t="s">
        <v>528</v>
      </c>
      <c r="I15" s="127"/>
      <c r="J15" s="127"/>
      <c r="K15" s="127"/>
      <c r="L15" s="127"/>
    </row>
    <row r="16" spans="1:12" ht="18" customHeight="1" x14ac:dyDescent="0.2">
      <c r="A16" s="68">
        <v>43000</v>
      </c>
      <c r="B16" s="56" t="s">
        <v>525</v>
      </c>
      <c r="C16" s="69">
        <v>11461.041424714298</v>
      </c>
      <c r="D16" s="56" t="s">
        <v>126</v>
      </c>
      <c r="E16" s="56" t="s">
        <v>224</v>
      </c>
      <c r="F16" s="72" t="s">
        <v>526</v>
      </c>
      <c r="G16" s="72" t="s">
        <v>527</v>
      </c>
      <c r="H16" s="127" t="s">
        <v>528</v>
      </c>
      <c r="I16" s="127"/>
      <c r="J16" s="127"/>
      <c r="K16" s="127"/>
      <c r="L16" s="127"/>
    </row>
    <row r="17" spans="1:12" ht="18" customHeight="1" x14ac:dyDescent="0.2">
      <c r="A17" s="68">
        <v>44000</v>
      </c>
      <c r="B17" s="56" t="s">
        <v>525</v>
      </c>
      <c r="C17" s="69">
        <v>10924.826001265901</v>
      </c>
      <c r="D17" s="56" t="s">
        <v>126</v>
      </c>
      <c r="E17" s="56" t="s">
        <v>224</v>
      </c>
      <c r="F17" s="72" t="s">
        <v>526</v>
      </c>
      <c r="G17" s="72" t="s">
        <v>527</v>
      </c>
      <c r="H17" s="127" t="s">
        <v>528</v>
      </c>
      <c r="I17" s="127"/>
      <c r="J17" s="127"/>
      <c r="K17" s="127"/>
      <c r="L17" s="127"/>
    </row>
    <row r="18" spans="1:12" ht="18" customHeight="1" x14ac:dyDescent="0.2">
      <c r="A18" s="68">
        <v>45000</v>
      </c>
      <c r="B18" s="56" t="s">
        <v>525</v>
      </c>
      <c r="C18" s="69">
        <v>10415.646649588009</v>
      </c>
      <c r="D18" s="56" t="s">
        <v>126</v>
      </c>
      <c r="E18" s="56" t="s">
        <v>224</v>
      </c>
      <c r="F18" s="72" t="s">
        <v>526</v>
      </c>
      <c r="G18" s="72" t="s">
        <v>527</v>
      </c>
      <c r="H18" s="127" t="s">
        <v>528</v>
      </c>
      <c r="I18" s="127"/>
      <c r="J18" s="127"/>
      <c r="K18" s="127"/>
      <c r="L18" s="127"/>
    </row>
    <row r="19" spans="1:12" ht="18" customHeight="1" x14ac:dyDescent="0.2">
      <c r="A19" s="68">
        <v>46000</v>
      </c>
      <c r="B19" s="56" t="s">
        <v>525</v>
      </c>
      <c r="C19" s="69">
        <v>9928.9973577188757</v>
      </c>
      <c r="D19" s="56" t="s">
        <v>126</v>
      </c>
      <c r="E19" s="56" t="s">
        <v>224</v>
      </c>
      <c r="F19" s="72" t="s">
        <v>526</v>
      </c>
      <c r="G19" s="72" t="s">
        <v>527</v>
      </c>
      <c r="H19" s="127" t="s">
        <v>528</v>
      </c>
      <c r="I19" s="127"/>
      <c r="J19" s="127"/>
      <c r="K19" s="127"/>
      <c r="L19" s="127"/>
    </row>
    <row r="20" spans="1:12" ht="22" customHeight="1" x14ac:dyDescent="0.2">
      <c r="A20" s="68">
        <v>47000</v>
      </c>
      <c r="B20" s="56" t="s">
        <v>525</v>
      </c>
      <c r="C20" s="69">
        <v>9464.8781256584971</v>
      </c>
      <c r="D20" s="56" t="s">
        <v>126</v>
      </c>
      <c r="E20" s="56" t="s">
        <v>224</v>
      </c>
      <c r="F20" s="72" t="s">
        <v>526</v>
      </c>
      <c r="G20" s="72" t="s">
        <v>527</v>
      </c>
      <c r="H20" s="127" t="s">
        <v>528</v>
      </c>
      <c r="I20" s="127"/>
      <c r="J20" s="127"/>
      <c r="K20" s="127"/>
      <c r="L20" s="127"/>
    </row>
    <row r="21" spans="1:12" ht="18" customHeight="1" x14ac:dyDescent="0.2">
      <c r="A21" s="68">
        <v>48000</v>
      </c>
      <c r="B21" s="56" t="s">
        <v>525</v>
      </c>
      <c r="C21" s="69">
        <v>9023.2889534068727</v>
      </c>
      <c r="D21" s="56" t="s">
        <v>126</v>
      </c>
      <c r="E21" s="56" t="s">
        <v>224</v>
      </c>
      <c r="F21" s="72" t="s">
        <v>526</v>
      </c>
      <c r="G21" s="72" t="s">
        <v>527</v>
      </c>
      <c r="H21" s="127" t="s">
        <v>528</v>
      </c>
      <c r="I21" s="127"/>
      <c r="J21" s="127"/>
      <c r="K21" s="127"/>
      <c r="L21" s="127"/>
    </row>
    <row r="22" spans="1:12" ht="18" customHeight="1" x14ac:dyDescent="0.2">
      <c r="A22" s="68">
        <v>49000</v>
      </c>
      <c r="B22" s="56" t="s">
        <v>525</v>
      </c>
      <c r="C22" s="69">
        <v>8599.723829002256</v>
      </c>
      <c r="D22" s="56" t="s">
        <v>126</v>
      </c>
      <c r="E22" s="56" t="s">
        <v>224</v>
      </c>
      <c r="F22" s="72" t="s">
        <v>526</v>
      </c>
      <c r="G22" s="72" t="s">
        <v>527</v>
      </c>
      <c r="H22" s="127" t="s">
        <v>528</v>
      </c>
      <c r="I22" s="127"/>
      <c r="J22" s="127"/>
      <c r="K22" s="127"/>
      <c r="L22" s="127"/>
    </row>
    <row r="23" spans="1:12" ht="22" customHeight="1" x14ac:dyDescent="0.2">
      <c r="A23" s="112" t="s">
        <v>529</v>
      </c>
      <c r="B23" s="114"/>
      <c r="C23" s="114"/>
      <c r="D23" s="114"/>
      <c r="E23" s="114"/>
      <c r="F23" s="113"/>
      <c r="G23" s="113"/>
      <c r="H23" s="113"/>
      <c r="I23" s="113"/>
      <c r="J23" s="113"/>
      <c r="K23" s="113"/>
      <c r="L23" s="122"/>
    </row>
    <row r="24" spans="1:12" ht="18" customHeight="1" x14ac:dyDescent="0.2">
      <c r="A24" s="23" t="s">
        <v>5</v>
      </c>
      <c r="B24" s="23" t="s">
        <v>97</v>
      </c>
      <c r="C24" s="58" t="s">
        <v>7</v>
      </c>
      <c r="D24" s="58" t="s">
        <v>126</v>
      </c>
      <c r="E24" s="58" t="s">
        <v>8</v>
      </c>
      <c r="F24" s="70" t="s">
        <v>9</v>
      </c>
      <c r="G24" s="71" t="s">
        <v>10</v>
      </c>
      <c r="H24" s="128" t="s">
        <v>11</v>
      </c>
      <c r="I24" s="129"/>
      <c r="J24" s="129"/>
      <c r="K24" s="129"/>
      <c r="L24" s="130"/>
    </row>
    <row r="25" spans="1:12" ht="18" customHeight="1" x14ac:dyDescent="0.2">
      <c r="A25" s="56" t="s">
        <v>524</v>
      </c>
      <c r="B25" s="56" t="s">
        <v>525</v>
      </c>
      <c r="C25" s="69">
        <v>12565.450703040022</v>
      </c>
      <c r="D25" s="56" t="s">
        <v>126</v>
      </c>
      <c r="E25" s="56" t="s">
        <v>224</v>
      </c>
      <c r="F25" s="72" t="s">
        <v>526</v>
      </c>
      <c r="G25" s="72" t="s">
        <v>527</v>
      </c>
      <c r="H25" s="127" t="s">
        <v>528</v>
      </c>
      <c r="I25" s="127"/>
      <c r="J25" s="127"/>
      <c r="K25" s="127"/>
      <c r="L25" s="127"/>
    </row>
    <row r="26" spans="1:12" ht="18" customHeight="1" x14ac:dyDescent="0.2">
      <c r="A26" s="68">
        <v>42000</v>
      </c>
      <c r="B26" s="56" t="s">
        <v>525</v>
      </c>
      <c r="C26" s="69">
        <v>11977.357083140685</v>
      </c>
      <c r="D26" s="56" t="s">
        <v>126</v>
      </c>
      <c r="E26" s="56" t="s">
        <v>224</v>
      </c>
      <c r="F26" s="72" t="s">
        <v>526</v>
      </c>
      <c r="G26" s="72" t="s">
        <v>527</v>
      </c>
      <c r="H26" s="127" t="s">
        <v>528</v>
      </c>
      <c r="I26" s="127"/>
      <c r="J26" s="127"/>
      <c r="K26" s="127"/>
      <c r="L26" s="127"/>
    </row>
    <row r="27" spans="1:12" ht="18" customHeight="1" x14ac:dyDescent="0.2">
      <c r="A27" s="68">
        <v>43000</v>
      </c>
      <c r="B27" s="56" t="s">
        <v>525</v>
      </c>
      <c r="C27" s="69">
        <v>11418.443681022614</v>
      </c>
      <c r="D27" s="56" t="s">
        <v>126</v>
      </c>
      <c r="E27" s="56" t="s">
        <v>224</v>
      </c>
      <c r="F27" s="72" t="s">
        <v>526</v>
      </c>
      <c r="G27" s="72" t="s">
        <v>527</v>
      </c>
      <c r="H27" s="127" t="s">
        <v>528</v>
      </c>
      <c r="I27" s="127"/>
      <c r="J27" s="127"/>
      <c r="K27" s="127"/>
      <c r="L27" s="127"/>
    </row>
    <row r="28" spans="1:12" ht="18" customHeight="1" x14ac:dyDescent="0.2">
      <c r="A28" s="68">
        <v>44000</v>
      </c>
      <c r="B28" s="56" t="s">
        <v>525</v>
      </c>
      <c r="C28" s="69">
        <v>10884.221232411766</v>
      </c>
      <c r="D28" s="56" t="s">
        <v>126</v>
      </c>
      <c r="E28" s="56" t="s">
        <v>224</v>
      </c>
      <c r="F28" s="72" t="s">
        <v>526</v>
      </c>
      <c r="G28" s="72" t="s">
        <v>527</v>
      </c>
      <c r="H28" s="127" t="s">
        <v>528</v>
      </c>
      <c r="I28" s="127"/>
      <c r="J28" s="127"/>
      <c r="K28" s="127"/>
      <c r="L28" s="127"/>
    </row>
    <row r="29" spans="1:12" ht="18" customHeight="1" x14ac:dyDescent="0.2">
      <c r="A29" s="68">
        <v>45000</v>
      </c>
      <c r="B29" s="56" t="s">
        <v>525</v>
      </c>
      <c r="C29" s="69">
        <v>10376.934369445165</v>
      </c>
      <c r="D29" s="56" t="s">
        <v>126</v>
      </c>
      <c r="E29" s="56" t="s">
        <v>224</v>
      </c>
      <c r="F29" s="72" t="s">
        <v>526</v>
      </c>
      <c r="G29" s="72" t="s">
        <v>527</v>
      </c>
      <c r="H29" s="127" t="s">
        <v>528</v>
      </c>
      <c r="I29" s="127"/>
      <c r="J29" s="127"/>
      <c r="K29" s="127"/>
      <c r="L29" s="127"/>
    </row>
    <row r="30" spans="1:12" ht="18" customHeight="1" x14ac:dyDescent="0.2">
      <c r="A30" s="68">
        <v>46000</v>
      </c>
      <c r="B30" s="56" t="s">
        <v>525</v>
      </c>
      <c r="C30" s="69">
        <v>9892.0938278487647</v>
      </c>
      <c r="D30" s="56" t="s">
        <v>126</v>
      </c>
      <c r="E30" s="56" t="s">
        <v>224</v>
      </c>
      <c r="F30" s="72" t="s">
        <v>526</v>
      </c>
      <c r="G30" s="72" t="s">
        <v>527</v>
      </c>
      <c r="H30" s="127" t="s">
        <v>528</v>
      </c>
      <c r="I30" s="127"/>
      <c r="J30" s="127"/>
      <c r="K30" s="127"/>
      <c r="L30" s="127"/>
    </row>
    <row r="31" spans="1:12" ht="22" customHeight="1" x14ac:dyDescent="0.2">
      <c r="A31" s="68">
        <v>47000</v>
      </c>
      <c r="B31" s="56" t="s">
        <v>525</v>
      </c>
      <c r="C31" s="69">
        <v>9429.6996076225696</v>
      </c>
      <c r="D31" s="56" t="s">
        <v>126</v>
      </c>
      <c r="E31" s="56" t="s">
        <v>224</v>
      </c>
      <c r="F31" s="72" t="s">
        <v>526</v>
      </c>
      <c r="G31" s="72" t="s">
        <v>527</v>
      </c>
      <c r="H31" s="127" t="s">
        <v>528</v>
      </c>
      <c r="I31" s="127"/>
      <c r="J31" s="127"/>
      <c r="K31" s="127"/>
      <c r="L31" s="127"/>
    </row>
    <row r="32" spans="1:12" ht="18" customHeight="1" x14ac:dyDescent="0.2">
      <c r="A32" s="68">
        <v>48000</v>
      </c>
      <c r="B32" s="56" t="s">
        <v>525</v>
      </c>
      <c r="C32" s="69">
        <v>8989.7517087665747</v>
      </c>
      <c r="D32" s="56" t="s">
        <v>126</v>
      </c>
      <c r="E32" s="56" t="s">
        <v>224</v>
      </c>
      <c r="F32" s="72" t="s">
        <v>526</v>
      </c>
      <c r="G32" s="72" t="s">
        <v>527</v>
      </c>
      <c r="H32" s="127" t="s">
        <v>528</v>
      </c>
      <c r="I32" s="127"/>
      <c r="J32" s="127"/>
      <c r="K32" s="127"/>
      <c r="L32" s="127"/>
    </row>
    <row r="33" spans="1:12" ht="18" customHeight="1" x14ac:dyDescent="0.2">
      <c r="A33" s="68">
        <v>49000</v>
      </c>
      <c r="B33" s="56" t="s">
        <v>525</v>
      </c>
      <c r="C33" s="69">
        <v>8567.7608670067475</v>
      </c>
      <c r="D33" s="56" t="s">
        <v>126</v>
      </c>
      <c r="E33" s="56" t="s">
        <v>224</v>
      </c>
      <c r="F33" s="72" t="s">
        <v>526</v>
      </c>
      <c r="G33" s="72" t="s">
        <v>527</v>
      </c>
      <c r="H33" s="127" t="s">
        <v>528</v>
      </c>
      <c r="I33" s="127"/>
      <c r="J33" s="127"/>
      <c r="K33" s="127"/>
      <c r="L33" s="127"/>
    </row>
    <row r="34" spans="1:12" ht="18" customHeight="1" x14ac:dyDescent="0.2">
      <c r="A34"/>
      <c r="B34"/>
      <c r="C34"/>
      <c r="D34"/>
      <c r="E34"/>
      <c r="F34"/>
      <c r="G34"/>
      <c r="H34"/>
      <c r="I34"/>
      <c r="J34"/>
      <c r="K34"/>
      <c r="L34"/>
    </row>
    <row r="35" spans="1:12" ht="18" customHeight="1" x14ac:dyDescent="0.2">
      <c r="A35"/>
      <c r="B35"/>
      <c r="C35"/>
      <c r="D35"/>
      <c r="E35"/>
      <c r="F35"/>
      <c r="G35"/>
      <c r="H35"/>
      <c r="I35"/>
      <c r="J35"/>
      <c r="K35"/>
      <c r="L35"/>
    </row>
    <row r="36" spans="1:12" ht="18" customHeight="1" x14ac:dyDescent="0.2">
      <c r="A36"/>
      <c r="B36"/>
      <c r="C36"/>
      <c r="D36"/>
      <c r="E36"/>
      <c r="F36"/>
      <c r="G36"/>
      <c r="H36"/>
      <c r="I36"/>
      <c r="J36"/>
      <c r="K36"/>
      <c r="L36"/>
    </row>
    <row r="37" spans="1:12" ht="18" customHeight="1" x14ac:dyDescent="0.2">
      <c r="A37"/>
      <c r="B37"/>
      <c r="C37"/>
      <c r="D37"/>
      <c r="E37"/>
      <c r="F37"/>
      <c r="G37"/>
      <c r="H37"/>
      <c r="I37"/>
      <c r="J37"/>
      <c r="K37"/>
      <c r="L37"/>
    </row>
    <row r="38" spans="1:12" ht="18" customHeight="1" x14ac:dyDescent="0.2">
      <c r="A38"/>
      <c r="B38"/>
      <c r="C38"/>
      <c r="D38"/>
      <c r="E38"/>
      <c r="F38"/>
      <c r="G38"/>
      <c r="H38"/>
      <c r="I38"/>
      <c r="J38"/>
      <c r="K38"/>
      <c r="L38"/>
    </row>
    <row r="39" spans="1:12" ht="18" customHeight="1" x14ac:dyDescent="0.2">
      <c r="A39"/>
      <c r="B39"/>
      <c r="C39"/>
      <c r="D39"/>
      <c r="E39"/>
      <c r="F39"/>
      <c r="G39"/>
      <c r="H39"/>
      <c r="I39"/>
      <c r="J39"/>
      <c r="K39"/>
      <c r="L39"/>
    </row>
    <row r="40" spans="1:12" ht="18" customHeight="1" x14ac:dyDescent="0.2">
      <c r="A40"/>
      <c r="B40"/>
      <c r="C40"/>
      <c r="D40"/>
      <c r="E40"/>
      <c r="F40"/>
      <c r="G40"/>
      <c r="H40"/>
      <c r="I40"/>
      <c r="J40"/>
      <c r="K40"/>
      <c r="L40"/>
    </row>
    <row r="41" spans="1:12" ht="18" customHeight="1" x14ac:dyDescent="0.2">
      <c r="A41"/>
      <c r="B41"/>
      <c r="C41"/>
      <c r="D41"/>
      <c r="E41"/>
      <c r="F41"/>
      <c r="G41"/>
      <c r="H41"/>
      <c r="I41"/>
      <c r="J41"/>
      <c r="K41"/>
      <c r="L41"/>
    </row>
    <row r="42" spans="1:12" ht="18" customHeight="1" x14ac:dyDescent="0.2">
      <c r="A42"/>
      <c r="B42"/>
      <c r="C42"/>
      <c r="D42"/>
      <c r="E42"/>
      <c r="F42"/>
      <c r="G42"/>
      <c r="H42"/>
      <c r="I42"/>
      <c r="J42"/>
      <c r="K42"/>
      <c r="L42"/>
    </row>
    <row r="43" spans="1:12" ht="18" customHeight="1" x14ac:dyDescent="0.2">
      <c r="A43"/>
      <c r="B43"/>
      <c r="C43"/>
      <c r="D43"/>
      <c r="E43"/>
      <c r="F43"/>
      <c r="G43"/>
      <c r="H43"/>
      <c r="I43"/>
      <c r="J43"/>
      <c r="K43"/>
      <c r="L43"/>
    </row>
    <row r="44" spans="1:12" ht="22" customHeight="1" x14ac:dyDescent="0.2">
      <c r="A44"/>
      <c r="B44"/>
      <c r="C44"/>
      <c r="D44"/>
      <c r="E44"/>
      <c r="F44"/>
      <c r="G44"/>
      <c r="H44"/>
      <c r="I44"/>
      <c r="J44"/>
      <c r="K44"/>
      <c r="L44"/>
    </row>
    <row r="45" spans="1:12" ht="18" customHeight="1" x14ac:dyDescent="0.2">
      <c r="A45"/>
      <c r="B45"/>
      <c r="C45"/>
      <c r="D45"/>
      <c r="E45"/>
      <c r="F45"/>
      <c r="G45"/>
      <c r="H45"/>
      <c r="I45"/>
      <c r="J45"/>
      <c r="K45"/>
      <c r="L45"/>
    </row>
    <row r="46" spans="1:12" ht="18" customHeight="1" x14ac:dyDescent="0.2">
      <c r="A46"/>
      <c r="B46"/>
      <c r="C46"/>
      <c r="D46"/>
      <c r="E46"/>
      <c r="F46"/>
      <c r="G46"/>
      <c r="H46"/>
      <c r="I46"/>
      <c r="J46"/>
      <c r="K46"/>
      <c r="L46"/>
    </row>
    <row r="47" spans="1:12" ht="18" customHeight="1" x14ac:dyDescent="0.2">
      <c r="A47"/>
      <c r="B47"/>
      <c r="C47"/>
      <c r="D47"/>
      <c r="E47"/>
      <c r="F47"/>
      <c r="G47"/>
      <c r="H47"/>
      <c r="I47"/>
      <c r="J47"/>
      <c r="K47"/>
      <c r="L47"/>
    </row>
    <row r="48" spans="1:12" ht="18" customHeight="1" x14ac:dyDescent="0.2">
      <c r="A48"/>
      <c r="B48"/>
      <c r="C48"/>
      <c r="D48"/>
      <c r="E48"/>
      <c r="F48"/>
      <c r="G48"/>
      <c r="H48"/>
      <c r="I48"/>
      <c r="J48"/>
      <c r="K48"/>
      <c r="L48"/>
    </row>
    <row r="49" spans="1:12" ht="18" customHeight="1" x14ac:dyDescent="0.2">
      <c r="A49"/>
      <c r="B49"/>
      <c r="C49"/>
      <c r="D49"/>
      <c r="E49"/>
      <c r="F49"/>
      <c r="G49"/>
      <c r="H49"/>
      <c r="I49"/>
      <c r="J49"/>
      <c r="K49"/>
      <c r="L49"/>
    </row>
    <row r="50" spans="1:12" ht="18" customHeight="1" x14ac:dyDescent="0.2">
      <c r="A50"/>
      <c r="B50"/>
      <c r="C50"/>
      <c r="D50"/>
      <c r="E50"/>
      <c r="F50"/>
      <c r="G50"/>
      <c r="H50"/>
      <c r="I50"/>
      <c r="J50"/>
      <c r="K50"/>
      <c r="L50"/>
    </row>
    <row r="51" spans="1:12" ht="18" customHeight="1" x14ac:dyDescent="0.2">
      <c r="A51"/>
      <c r="B51"/>
      <c r="C51"/>
      <c r="D51"/>
      <c r="E51"/>
      <c r="F51"/>
      <c r="G51"/>
      <c r="H51"/>
      <c r="I51"/>
      <c r="J51"/>
      <c r="K51"/>
      <c r="L51"/>
    </row>
    <row r="52" spans="1:12" ht="18" customHeight="1" x14ac:dyDescent="0.2">
      <c r="H52" s="99"/>
      <c r="I52" s="99"/>
      <c r="J52" s="99"/>
      <c r="K52" s="99"/>
      <c r="L52" s="99"/>
    </row>
    <row r="55" spans="1:12" ht="18" customHeight="1" x14ac:dyDescent="0.25">
      <c r="F55" s="42"/>
    </row>
  </sheetData>
  <mergeCells count="34">
    <mergeCell ref="A1:L1"/>
    <mergeCell ref="H2:L2"/>
    <mergeCell ref="H3:L3"/>
    <mergeCell ref="H4:L4"/>
    <mergeCell ref="H5:L5"/>
    <mergeCell ref="H6:L6"/>
    <mergeCell ref="H7:L7"/>
    <mergeCell ref="H9:L9"/>
    <mergeCell ref="H10:L10"/>
    <mergeCell ref="H11:L11"/>
    <mergeCell ref="H8:L8"/>
    <mergeCell ref="H21:L21"/>
    <mergeCell ref="H22:L22"/>
    <mergeCell ref="H13:L13"/>
    <mergeCell ref="H14:L14"/>
    <mergeCell ref="H15:L15"/>
    <mergeCell ref="H16:L16"/>
    <mergeCell ref="H17:L17"/>
    <mergeCell ref="H52:L52"/>
    <mergeCell ref="A12:L12"/>
    <mergeCell ref="H20:L20"/>
    <mergeCell ref="A23:L23"/>
    <mergeCell ref="H32:L32"/>
    <mergeCell ref="H30:L30"/>
    <mergeCell ref="H31:L31"/>
    <mergeCell ref="H33:L33"/>
    <mergeCell ref="H24:L24"/>
    <mergeCell ref="H25:L25"/>
    <mergeCell ref="H26:L26"/>
    <mergeCell ref="H27:L27"/>
    <mergeCell ref="H28:L28"/>
    <mergeCell ref="H29:L29"/>
    <mergeCell ref="H18:L18"/>
    <mergeCell ref="H19:L19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0"/>
  <sheetViews>
    <sheetView workbookViewId="0">
      <selection activeCell="H18" sqref="H18:L18"/>
    </sheetView>
  </sheetViews>
  <sheetFormatPr baseColWidth="10" defaultRowHeight="15" x14ac:dyDescent="0.2"/>
  <cols>
    <col min="1" max="1" width="28.1640625" customWidth="1"/>
    <col min="4" max="4" width="4.1640625" customWidth="1"/>
    <col min="6" max="6" width="27.83203125" customWidth="1"/>
    <col min="7" max="7" width="31.1640625" customWidth="1"/>
  </cols>
  <sheetData>
    <row r="1" spans="1:12" s="57" customFormat="1" ht="22" customHeight="1" x14ac:dyDescent="0.2">
      <c r="A1" s="112" t="s">
        <v>553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5"/>
    </row>
    <row r="2" spans="1:12" s="57" customFormat="1" ht="18" customHeight="1" x14ac:dyDescent="0.2">
      <c r="A2" s="23" t="s">
        <v>5</v>
      </c>
      <c r="B2" s="23" t="s">
        <v>97</v>
      </c>
      <c r="C2" s="58" t="s">
        <v>7</v>
      </c>
      <c r="D2" s="58" t="s">
        <v>126</v>
      </c>
      <c r="E2" s="58" t="s">
        <v>8</v>
      </c>
      <c r="F2" s="58" t="s">
        <v>9</v>
      </c>
      <c r="G2" s="31" t="s">
        <v>10</v>
      </c>
      <c r="H2" s="116" t="s">
        <v>11</v>
      </c>
      <c r="I2" s="117"/>
      <c r="J2" s="117"/>
      <c r="K2" s="117"/>
      <c r="L2" s="118"/>
    </row>
    <row r="3" spans="1:12" x14ac:dyDescent="0.2">
      <c r="A3" t="s">
        <v>518</v>
      </c>
      <c r="B3" t="s">
        <v>475</v>
      </c>
      <c r="C3">
        <f>'Initial Estimates'!$C$4</f>
        <v>72445</v>
      </c>
      <c r="D3" t="s">
        <v>126</v>
      </c>
      <c r="E3" t="s">
        <v>224</v>
      </c>
      <c r="F3" t="s">
        <v>519</v>
      </c>
      <c r="G3" t="s">
        <v>520</v>
      </c>
      <c r="H3" s="132" t="s">
        <v>521</v>
      </c>
      <c r="I3" s="132"/>
      <c r="J3" s="132"/>
      <c r="K3" s="132"/>
      <c r="L3" s="132"/>
    </row>
    <row r="4" spans="1:12" x14ac:dyDescent="0.2">
      <c r="A4" t="s">
        <v>557</v>
      </c>
      <c r="B4" t="s">
        <v>522</v>
      </c>
      <c r="C4">
        <f>$C$3/CFD!D3/'Initial Estimates'!$C$5</f>
        <v>0.10374842180735959</v>
      </c>
      <c r="D4" t="s">
        <v>126</v>
      </c>
      <c r="E4" t="s">
        <v>138</v>
      </c>
      <c r="F4" t="s">
        <v>21</v>
      </c>
      <c r="G4" t="s">
        <v>537</v>
      </c>
      <c r="H4" s="131" t="s">
        <v>538</v>
      </c>
      <c r="I4" s="131"/>
      <c r="J4" s="131"/>
      <c r="K4" s="131"/>
      <c r="L4" s="131"/>
    </row>
    <row r="5" spans="1:12" s="56" customFormat="1" x14ac:dyDescent="0.2">
      <c r="A5" s="68">
        <v>42000</v>
      </c>
      <c r="B5" s="56" t="s">
        <v>522</v>
      </c>
      <c r="C5" s="56">
        <f>$C$3/CFD!D4/'Initial Estimates'!$C$5</f>
        <v>0.10884251598155902</v>
      </c>
      <c r="D5" s="56" t="s">
        <v>126</v>
      </c>
      <c r="E5" s="56" t="s">
        <v>138</v>
      </c>
      <c r="F5" s="56" t="s">
        <v>21</v>
      </c>
      <c r="G5" s="56" t="s">
        <v>537</v>
      </c>
      <c r="H5" s="131" t="s">
        <v>538</v>
      </c>
      <c r="I5" s="131"/>
      <c r="J5" s="131"/>
      <c r="K5" s="131"/>
      <c r="L5" s="131"/>
    </row>
    <row r="6" spans="1:12" s="56" customFormat="1" x14ac:dyDescent="0.2">
      <c r="A6" s="68">
        <v>43000</v>
      </c>
      <c r="B6" s="56" t="s">
        <v>522</v>
      </c>
      <c r="C6" s="56">
        <f>$C$3/CFD!D5/'Initial Estimates'!$C$5</f>
        <v>0.11417017206164713</v>
      </c>
      <c r="D6" s="56" t="s">
        <v>126</v>
      </c>
      <c r="E6" s="56" t="s">
        <v>138</v>
      </c>
      <c r="F6" s="56" t="s">
        <v>21</v>
      </c>
      <c r="G6" s="56" t="s">
        <v>537</v>
      </c>
      <c r="H6" s="131" t="s">
        <v>538</v>
      </c>
      <c r="I6" s="131"/>
      <c r="J6" s="131"/>
      <c r="K6" s="131"/>
      <c r="L6" s="131"/>
    </row>
    <row r="7" spans="1:12" s="56" customFormat="1" x14ac:dyDescent="0.2">
      <c r="A7" s="68">
        <v>44000</v>
      </c>
      <c r="B7" s="56" t="s">
        <v>522</v>
      </c>
      <c r="C7" s="56">
        <f>$C$3/CFD!D6/'Initial Estimates'!$C$5</f>
        <v>0.11977390498609999</v>
      </c>
      <c r="D7" s="56" t="s">
        <v>126</v>
      </c>
      <c r="E7" s="56" t="s">
        <v>138</v>
      </c>
      <c r="F7" s="56" t="s">
        <v>21</v>
      </c>
      <c r="G7" s="56" t="s">
        <v>537</v>
      </c>
      <c r="H7" s="131" t="s">
        <v>538</v>
      </c>
      <c r="I7" s="131"/>
      <c r="J7" s="131"/>
      <c r="K7" s="131"/>
      <c r="L7" s="131"/>
    </row>
    <row r="8" spans="1:12" s="56" customFormat="1" x14ac:dyDescent="0.2">
      <c r="A8" s="68">
        <v>45000</v>
      </c>
      <c r="B8" s="56" t="s">
        <v>522</v>
      </c>
      <c r="C8" s="56">
        <f>$C$3/CFD!D7/'Initial Estimates'!$C$5</f>
        <v>0.1256291726752323</v>
      </c>
      <c r="D8" s="56" t="s">
        <v>126</v>
      </c>
      <c r="E8" s="56" t="s">
        <v>138</v>
      </c>
      <c r="F8" s="56" t="s">
        <v>21</v>
      </c>
      <c r="G8" s="56" t="s">
        <v>537</v>
      </c>
      <c r="H8" s="131" t="s">
        <v>538</v>
      </c>
      <c r="I8" s="131"/>
      <c r="J8" s="131"/>
      <c r="K8" s="131"/>
      <c r="L8" s="131"/>
    </row>
    <row r="9" spans="1:12" s="56" customFormat="1" x14ac:dyDescent="0.2">
      <c r="A9" s="68">
        <v>46000</v>
      </c>
      <c r="B9" s="56" t="s">
        <v>522</v>
      </c>
      <c r="C9" s="56">
        <f>$C$3/CFD!D8/'Initial Estimates'!$C$5</f>
        <v>0.13178662702010416</v>
      </c>
      <c r="D9" s="56" t="s">
        <v>126</v>
      </c>
      <c r="E9" s="56" t="s">
        <v>138</v>
      </c>
      <c r="F9" s="56" t="s">
        <v>21</v>
      </c>
      <c r="G9" s="56" t="s">
        <v>537</v>
      </c>
      <c r="H9" s="131" t="s">
        <v>538</v>
      </c>
      <c r="I9" s="131"/>
      <c r="J9" s="131"/>
      <c r="K9" s="131"/>
      <c r="L9" s="131"/>
    </row>
    <row r="10" spans="1:12" s="56" customFormat="1" x14ac:dyDescent="0.2">
      <c r="A10" s="68">
        <v>47000</v>
      </c>
      <c r="B10" s="56" t="s">
        <v>522</v>
      </c>
      <c r="C10" s="56">
        <f>$C$3/CFD!D9/'Initial Estimates'!$C$5</f>
        <v>0.13824890865927134</v>
      </c>
      <c r="D10" s="56" t="s">
        <v>126</v>
      </c>
      <c r="E10" s="56" t="s">
        <v>138</v>
      </c>
      <c r="F10" s="56" t="s">
        <v>21</v>
      </c>
      <c r="G10" s="56" t="s">
        <v>537</v>
      </c>
      <c r="H10" s="131" t="s">
        <v>538</v>
      </c>
      <c r="I10" s="131"/>
      <c r="J10" s="131"/>
      <c r="K10" s="131"/>
      <c r="L10" s="131"/>
    </row>
    <row r="11" spans="1:12" s="56" customFormat="1" x14ac:dyDescent="0.2">
      <c r="A11" s="68">
        <v>48000</v>
      </c>
      <c r="B11" s="56" t="s">
        <v>522</v>
      </c>
      <c r="C11" s="56">
        <f>$C$3/CFD!D10/'Initial Estimates'!$C$5</f>
        <v>0.14501464800938801</v>
      </c>
      <c r="D11" s="56" t="s">
        <v>126</v>
      </c>
      <c r="E11" s="56" t="s">
        <v>138</v>
      </c>
      <c r="F11" s="56" t="s">
        <v>21</v>
      </c>
      <c r="G11" s="56" t="s">
        <v>537</v>
      </c>
      <c r="H11" s="131" t="s">
        <v>538</v>
      </c>
      <c r="I11" s="131"/>
      <c r="J11" s="131"/>
      <c r="K11" s="131"/>
      <c r="L11" s="131"/>
    </row>
    <row r="12" spans="1:12" s="56" customFormat="1" x14ac:dyDescent="0.2">
      <c r="A12" s="68">
        <v>49000</v>
      </c>
      <c r="B12" s="56" t="s">
        <v>522</v>
      </c>
      <c r="C12" s="56">
        <f>$C$3/CFD!D11/'Initial Estimates'!$C$5</f>
        <v>0.15215710381912467</v>
      </c>
      <c r="D12" s="56" t="s">
        <v>126</v>
      </c>
      <c r="E12" s="56" t="s">
        <v>138</v>
      </c>
      <c r="F12" s="56" t="s">
        <v>21</v>
      </c>
      <c r="G12" s="56" t="s">
        <v>537</v>
      </c>
      <c r="H12" s="131" t="s">
        <v>538</v>
      </c>
      <c r="I12" s="131"/>
      <c r="J12" s="131"/>
      <c r="K12" s="131"/>
      <c r="L12" s="131"/>
    </row>
    <row r="13" spans="1:12" x14ac:dyDescent="0.2">
      <c r="A13" t="s">
        <v>558</v>
      </c>
      <c r="B13" t="s">
        <v>551</v>
      </c>
      <c r="C13" s="73">
        <f xml:space="preserve"> ABS((C4-CFD!$B$19)/(CFD!$B$20-CFD!$B$19)*(CFD!$E$20-CFD!$E$19) + CFD!$E$19)</f>
        <v>1.3922480665541321E-2</v>
      </c>
      <c r="D13" t="s">
        <v>126</v>
      </c>
      <c r="E13" t="s">
        <v>138</v>
      </c>
      <c r="F13" t="s">
        <v>21</v>
      </c>
      <c r="G13" t="s">
        <v>552</v>
      </c>
      <c r="H13" s="131" t="s">
        <v>528</v>
      </c>
      <c r="I13" s="131"/>
      <c r="J13" s="131"/>
      <c r="K13" s="131"/>
      <c r="L13" s="131"/>
    </row>
    <row r="14" spans="1:12" s="56" customFormat="1" x14ac:dyDescent="0.2">
      <c r="A14" s="68">
        <v>42000</v>
      </c>
      <c r="B14" s="56" t="s">
        <v>551</v>
      </c>
      <c r="C14" s="73">
        <f xml:space="preserve"> ABS((C5-CFD!$B$19)/(CFD!$B$20-CFD!$B$19)*(CFD!$E$20-CFD!$E$19) + CFD!$E$19)</f>
        <v>1.4338532181760795E-2</v>
      </c>
      <c r="D14" s="56" t="s">
        <v>126</v>
      </c>
      <c r="E14" s="56" t="s">
        <v>138</v>
      </c>
      <c r="F14" s="56" t="s">
        <v>21</v>
      </c>
      <c r="G14" s="56" t="s">
        <v>552</v>
      </c>
      <c r="H14" s="131" t="s">
        <v>528</v>
      </c>
      <c r="I14" s="131"/>
      <c r="J14" s="131"/>
      <c r="K14" s="131"/>
      <c r="L14" s="131"/>
    </row>
    <row r="15" spans="1:12" s="56" customFormat="1" x14ac:dyDescent="0.2">
      <c r="A15" s="68">
        <v>43000</v>
      </c>
      <c r="B15" s="56" t="s">
        <v>551</v>
      </c>
      <c r="C15" s="73">
        <f xml:space="preserve"> ABS((C6-CFD!$B$19)/(CFD!$B$20-CFD!$B$19)*(CFD!$E$20-CFD!$E$19) + CFD!$E$19)</f>
        <v>1.4773659471170384E-2</v>
      </c>
      <c r="D15" s="56" t="s">
        <v>126</v>
      </c>
      <c r="E15" s="56" t="s">
        <v>138</v>
      </c>
      <c r="F15" s="56" t="s">
        <v>21</v>
      </c>
      <c r="G15" s="56" t="s">
        <v>552</v>
      </c>
      <c r="H15" s="131" t="s">
        <v>528</v>
      </c>
      <c r="I15" s="131"/>
      <c r="J15" s="131"/>
      <c r="K15" s="131"/>
      <c r="L15" s="131"/>
    </row>
    <row r="16" spans="1:12" s="56" customFormat="1" x14ac:dyDescent="0.2">
      <c r="A16" s="68">
        <v>44000</v>
      </c>
      <c r="B16" s="56" t="s">
        <v>551</v>
      </c>
      <c r="C16" s="73">
        <f xml:space="preserve"> ABS((C7-CFD!$B$19)/(CFD!$B$20-CFD!$B$19)*(CFD!$E$20-CFD!$E$19) + CFD!$E$19)</f>
        <v>1.5231334869382669E-2</v>
      </c>
      <c r="D16" s="56" t="s">
        <v>126</v>
      </c>
      <c r="E16" s="56" t="s">
        <v>138</v>
      </c>
      <c r="F16" s="56" t="s">
        <v>21</v>
      </c>
      <c r="G16" s="56" t="s">
        <v>552</v>
      </c>
      <c r="H16" s="131" t="s">
        <v>528</v>
      </c>
      <c r="I16" s="131"/>
      <c r="J16" s="131"/>
      <c r="K16" s="131"/>
      <c r="L16" s="131"/>
    </row>
    <row r="17" spans="1:12" s="56" customFormat="1" x14ac:dyDescent="0.2">
      <c r="A17" s="68">
        <v>45000</v>
      </c>
      <c r="B17" s="56" t="s">
        <v>551</v>
      </c>
      <c r="C17" s="73">
        <f xml:space="preserve"> ABS((C8-CFD!$B$19)/(CFD!$B$20-CFD!$B$19)*(CFD!$E$20-CFD!$E$19) + CFD!$E$19)</f>
        <v>1.5709553943594669E-2</v>
      </c>
      <c r="D17" s="56" t="s">
        <v>126</v>
      </c>
      <c r="E17" s="56" t="s">
        <v>138</v>
      </c>
      <c r="F17" s="56" t="s">
        <v>21</v>
      </c>
      <c r="G17" s="56" t="s">
        <v>552</v>
      </c>
      <c r="H17" s="131" t="s">
        <v>528</v>
      </c>
      <c r="I17" s="131"/>
      <c r="J17" s="131"/>
      <c r="K17" s="131"/>
      <c r="L17" s="131"/>
    </row>
    <row r="18" spans="1:12" s="56" customFormat="1" x14ac:dyDescent="0.2">
      <c r="A18" s="68">
        <v>46000</v>
      </c>
      <c r="B18" s="56" t="s">
        <v>551</v>
      </c>
      <c r="C18" s="73">
        <f xml:space="preserve"> ABS((C9-CFD!$B$19)/(CFD!$B$20-CFD!$B$19)*(CFD!$E$20-CFD!$E$19) + CFD!$E$19)</f>
        <v>1.6212453601243567E-2</v>
      </c>
      <c r="D18" s="56" t="s">
        <v>126</v>
      </c>
      <c r="E18" s="56" t="s">
        <v>138</v>
      </c>
      <c r="F18" s="56" t="s">
        <v>21</v>
      </c>
      <c r="G18" s="56" t="s">
        <v>552</v>
      </c>
      <c r="H18" s="131" t="s">
        <v>528</v>
      </c>
      <c r="I18" s="131"/>
      <c r="J18" s="131"/>
      <c r="K18" s="131"/>
      <c r="L18" s="131"/>
    </row>
    <row r="19" spans="1:12" s="56" customFormat="1" x14ac:dyDescent="0.2">
      <c r="A19" s="68">
        <v>47000</v>
      </c>
      <c r="B19" s="56" t="s">
        <v>551</v>
      </c>
      <c r="C19" s="73">
        <f xml:space="preserve"> ABS((C10-CFD!$B$19)/(CFD!$B$20-CFD!$B$19)*(CFD!$E$20-CFD!$E$19) + CFD!$E$19)</f>
        <v>1.6740249512012202E-2</v>
      </c>
      <c r="D19" s="56" t="s">
        <v>126</v>
      </c>
      <c r="E19" s="56" t="s">
        <v>138</v>
      </c>
      <c r="F19" s="56" t="s">
        <v>21</v>
      </c>
      <c r="G19" s="56" t="s">
        <v>552</v>
      </c>
      <c r="H19" s="131" t="s">
        <v>528</v>
      </c>
      <c r="I19" s="131"/>
      <c r="J19" s="131"/>
      <c r="K19" s="131"/>
      <c r="L19" s="131"/>
    </row>
    <row r="20" spans="1:12" s="56" customFormat="1" x14ac:dyDescent="0.2">
      <c r="A20" s="68">
        <v>48000</v>
      </c>
      <c r="B20" s="56" t="s">
        <v>551</v>
      </c>
      <c r="C20" s="73">
        <f xml:space="preserve"> ABS((C11-CFD!$B$19)/(CFD!$B$20-CFD!$B$19)*(CFD!$E$20-CFD!$E$19) + CFD!$E$19)</f>
        <v>1.729282981749982E-2</v>
      </c>
      <c r="D20" s="56" t="s">
        <v>126</v>
      </c>
      <c r="E20" s="56" t="s">
        <v>138</v>
      </c>
      <c r="F20" s="56" t="s">
        <v>21</v>
      </c>
      <c r="G20" s="56" t="s">
        <v>552</v>
      </c>
      <c r="H20" s="131" t="s">
        <v>528</v>
      </c>
      <c r="I20" s="131"/>
      <c r="J20" s="131"/>
      <c r="K20" s="131"/>
      <c r="L20" s="131"/>
    </row>
    <row r="21" spans="1:12" s="56" customFormat="1" x14ac:dyDescent="0.2">
      <c r="A21" s="68">
        <v>49000</v>
      </c>
      <c r="B21" s="56" t="s">
        <v>551</v>
      </c>
      <c r="C21" s="73">
        <f xml:space="preserve"> ABS((C12-CFD!$B$19)/(CFD!$B$20-CFD!$B$19)*(CFD!$E$20-CFD!$E$19) + CFD!$E$19)</f>
        <v>1.7876177801960384E-2</v>
      </c>
      <c r="D21" s="56" t="s">
        <v>126</v>
      </c>
      <c r="E21" s="56" t="s">
        <v>138</v>
      </c>
      <c r="F21" s="56" t="s">
        <v>21</v>
      </c>
      <c r="G21" s="56" t="s">
        <v>552</v>
      </c>
      <c r="H21" s="131" t="s">
        <v>528</v>
      </c>
      <c r="I21" s="131"/>
      <c r="J21" s="131"/>
      <c r="K21" s="131"/>
      <c r="L21" s="131"/>
    </row>
    <row r="22" spans="1:12" x14ac:dyDescent="0.2">
      <c r="A22" t="s">
        <v>555</v>
      </c>
      <c r="B22" t="s">
        <v>554</v>
      </c>
      <c r="C22" s="73">
        <f>CFD!D3*'Initial Estimates'!$C$5*'Final Aircraft Checkouts'!C13</f>
        <v>9721.7296826735255</v>
      </c>
      <c r="D22" t="s">
        <v>126</v>
      </c>
      <c r="E22" t="s">
        <v>138</v>
      </c>
      <c r="F22" t="s">
        <v>21</v>
      </c>
      <c r="G22" s="56" t="s">
        <v>556</v>
      </c>
      <c r="H22" s="131" t="s">
        <v>538</v>
      </c>
      <c r="I22" s="131"/>
      <c r="J22" s="131"/>
      <c r="K22" s="131"/>
      <c r="L22" s="131"/>
    </row>
    <row r="23" spans="1:12" x14ac:dyDescent="0.2">
      <c r="A23" s="68">
        <v>42000</v>
      </c>
      <c r="B23" s="56" t="s">
        <v>554</v>
      </c>
      <c r="C23" s="73">
        <f>CFD!D4*'Initial Estimates'!$C$5*'Final Aircraft Checkouts'!C14</f>
        <v>9543.650792523531</v>
      </c>
      <c r="D23" s="56" t="s">
        <v>126</v>
      </c>
      <c r="E23" s="56" t="s">
        <v>138</v>
      </c>
      <c r="F23" s="56" t="s">
        <v>21</v>
      </c>
      <c r="G23" s="56" t="s">
        <v>556</v>
      </c>
      <c r="H23" s="131" t="s">
        <v>538</v>
      </c>
      <c r="I23" s="131"/>
      <c r="J23" s="131"/>
      <c r="K23" s="131"/>
      <c r="L23" s="131"/>
    </row>
    <row r="24" spans="1:12" x14ac:dyDescent="0.2">
      <c r="A24" s="68">
        <v>43000</v>
      </c>
      <c r="B24" s="56" t="s">
        <v>554</v>
      </c>
      <c r="C24" s="73">
        <f>CFD!D5*'Initial Estimates'!$C$5*'Final Aircraft Checkouts'!C15</f>
        <v>9374.4078778389958</v>
      </c>
      <c r="D24" s="56" t="s">
        <v>126</v>
      </c>
      <c r="E24" s="56" t="s">
        <v>138</v>
      </c>
      <c r="F24" s="56" t="s">
        <v>21</v>
      </c>
      <c r="G24" s="56" t="s">
        <v>556</v>
      </c>
      <c r="H24" s="131" t="s">
        <v>538</v>
      </c>
      <c r="I24" s="131"/>
      <c r="J24" s="131"/>
      <c r="K24" s="131"/>
      <c r="L24" s="131"/>
    </row>
    <row r="25" spans="1:12" x14ac:dyDescent="0.2">
      <c r="A25" s="68">
        <v>44000</v>
      </c>
      <c r="B25" s="56" t="s">
        <v>554</v>
      </c>
      <c r="C25" s="73">
        <f>CFD!D6*'Initial Estimates'!$C$5*'Final Aircraft Checkouts'!C16</f>
        <v>9212.6415577790776</v>
      </c>
      <c r="D25" s="56" t="s">
        <v>126</v>
      </c>
      <c r="E25" s="56" t="s">
        <v>138</v>
      </c>
      <c r="F25" s="56" t="s">
        <v>21</v>
      </c>
      <c r="G25" s="56" t="s">
        <v>556</v>
      </c>
      <c r="H25" s="131" t="s">
        <v>538</v>
      </c>
      <c r="I25" s="131"/>
      <c r="J25" s="131"/>
      <c r="K25" s="131"/>
      <c r="L25" s="131"/>
    </row>
    <row r="26" spans="1:12" x14ac:dyDescent="0.2">
      <c r="A26" s="68">
        <v>45000</v>
      </c>
      <c r="B26" s="56" t="s">
        <v>554</v>
      </c>
      <c r="C26" s="73">
        <f>CFD!D7*'Initial Estimates'!$C$5*'Final Aircraft Checkouts'!C17</f>
        <v>9059.031522764195</v>
      </c>
      <c r="D26" s="56" t="s">
        <v>126</v>
      </c>
      <c r="E26" s="56" t="s">
        <v>138</v>
      </c>
      <c r="F26" s="56" t="s">
        <v>21</v>
      </c>
      <c r="G26" s="56" t="s">
        <v>556</v>
      </c>
      <c r="H26" s="131" t="s">
        <v>538</v>
      </c>
      <c r="I26" s="131"/>
      <c r="J26" s="131"/>
      <c r="K26" s="131"/>
      <c r="L26" s="131"/>
    </row>
    <row r="27" spans="1:12" x14ac:dyDescent="0.2">
      <c r="A27" s="68">
        <v>46000</v>
      </c>
      <c r="B27" s="56" t="s">
        <v>554</v>
      </c>
      <c r="C27" s="73">
        <f>CFD!D8*'Initial Estimates'!$C$5*'Final Aircraft Checkouts'!C18</f>
        <v>8912.2183919535146</v>
      </c>
      <c r="D27" s="56" t="s">
        <v>126</v>
      </c>
      <c r="E27" s="56" t="s">
        <v>138</v>
      </c>
      <c r="F27" s="56" t="s">
        <v>21</v>
      </c>
      <c r="G27" s="56" t="s">
        <v>556</v>
      </c>
      <c r="H27" s="131" t="s">
        <v>538</v>
      </c>
      <c r="I27" s="131"/>
      <c r="J27" s="131"/>
      <c r="K27" s="131"/>
      <c r="L27" s="131"/>
    </row>
    <row r="28" spans="1:12" x14ac:dyDescent="0.2">
      <c r="A28" s="68">
        <v>47000</v>
      </c>
      <c r="B28" s="56" t="s">
        <v>554</v>
      </c>
      <c r="C28" s="73">
        <f>CFD!D9*'Initial Estimates'!$C$5*'Final Aircraft Checkouts'!C19</f>
        <v>8772.202165347031</v>
      </c>
      <c r="D28" s="56" t="s">
        <v>126</v>
      </c>
      <c r="E28" s="56" t="s">
        <v>138</v>
      </c>
      <c r="F28" s="56" t="s">
        <v>21</v>
      </c>
      <c r="G28" s="56" t="s">
        <v>556</v>
      </c>
      <c r="H28" s="131" t="s">
        <v>538</v>
      </c>
      <c r="I28" s="131"/>
      <c r="J28" s="131"/>
      <c r="K28" s="131"/>
      <c r="L28" s="131"/>
    </row>
    <row r="29" spans="1:12" x14ac:dyDescent="0.2">
      <c r="A29" s="68">
        <v>48000</v>
      </c>
      <c r="B29" s="56" t="s">
        <v>554</v>
      </c>
      <c r="C29" s="73">
        <f>CFD!D10*'Initial Estimates'!$C$5*'Final Aircraft Checkouts'!C20</f>
        <v>8638.9828429447462</v>
      </c>
      <c r="D29" s="56" t="s">
        <v>126</v>
      </c>
      <c r="E29" s="56" t="s">
        <v>138</v>
      </c>
      <c r="F29" s="56" t="s">
        <v>21</v>
      </c>
      <c r="G29" s="56" t="s">
        <v>556</v>
      </c>
      <c r="H29" s="131" t="s">
        <v>538</v>
      </c>
      <c r="I29" s="131"/>
      <c r="J29" s="131"/>
      <c r="K29" s="131"/>
      <c r="L29" s="131"/>
    </row>
    <row r="30" spans="1:12" x14ac:dyDescent="0.2">
      <c r="A30" s="68">
        <v>49000</v>
      </c>
      <c r="B30" s="56" t="s">
        <v>554</v>
      </c>
      <c r="C30" s="73">
        <f>CFD!D11*'Initial Estimates'!$C$5*'Final Aircraft Checkouts'!C21</f>
        <v>8511.2010439058195</v>
      </c>
      <c r="D30" s="56" t="s">
        <v>126</v>
      </c>
      <c r="E30" s="56" t="s">
        <v>138</v>
      </c>
      <c r="F30" s="56" t="s">
        <v>21</v>
      </c>
      <c r="G30" s="56" t="s">
        <v>556</v>
      </c>
      <c r="H30" s="131" t="s">
        <v>538</v>
      </c>
      <c r="I30" s="131"/>
      <c r="J30" s="131"/>
      <c r="K30" s="131"/>
      <c r="L30" s="131"/>
    </row>
    <row r="31" spans="1:12" ht="21" x14ac:dyDescent="0.2">
      <c r="A31" s="112" t="s">
        <v>563</v>
      </c>
      <c r="B31" s="114"/>
      <c r="C31" s="114"/>
      <c r="D31" s="114"/>
      <c r="E31" s="114"/>
      <c r="F31" s="114"/>
      <c r="G31" s="114"/>
      <c r="H31" s="114"/>
      <c r="I31" s="114"/>
      <c r="J31" s="114"/>
      <c r="K31" s="114"/>
      <c r="L31" s="115"/>
    </row>
    <row r="32" spans="1:12" ht="16" x14ac:dyDescent="0.2">
      <c r="A32" s="23" t="s">
        <v>5</v>
      </c>
      <c r="B32" s="23" t="s">
        <v>97</v>
      </c>
      <c r="C32" s="64" t="s">
        <v>7</v>
      </c>
      <c r="D32" s="64" t="s">
        <v>126</v>
      </c>
      <c r="E32" s="64" t="s">
        <v>8</v>
      </c>
      <c r="F32" s="64" t="s">
        <v>9</v>
      </c>
      <c r="G32" s="31" t="s">
        <v>10</v>
      </c>
      <c r="H32" s="116" t="s">
        <v>11</v>
      </c>
      <c r="I32" s="117"/>
      <c r="J32" s="117"/>
      <c r="K32" s="117"/>
      <c r="L32" s="118"/>
    </row>
    <row r="33" spans="1:12" x14ac:dyDescent="0.2">
      <c r="A33" s="62" t="s">
        <v>518</v>
      </c>
      <c r="B33" s="62" t="s">
        <v>475</v>
      </c>
      <c r="C33" s="62">
        <f>'Initial Estimates'!$C$4</f>
        <v>72445</v>
      </c>
      <c r="D33" s="62" t="s">
        <v>126</v>
      </c>
      <c r="E33" s="62" t="s">
        <v>224</v>
      </c>
      <c r="F33" s="62" t="s">
        <v>519</v>
      </c>
      <c r="G33" s="62" t="s">
        <v>520</v>
      </c>
      <c r="H33" s="132" t="s">
        <v>521</v>
      </c>
      <c r="I33" s="132"/>
      <c r="J33" s="132"/>
      <c r="K33" s="132"/>
      <c r="L33" s="132"/>
    </row>
    <row r="34" spans="1:12" x14ac:dyDescent="0.2">
      <c r="A34" s="62" t="s">
        <v>557</v>
      </c>
      <c r="B34" s="62" t="s">
        <v>522</v>
      </c>
      <c r="C34" s="62">
        <f>$C$3/CFD!D4/'Initial Estimates'!$C$5</f>
        <v>0.10884251598155902</v>
      </c>
      <c r="D34" s="62" t="s">
        <v>126</v>
      </c>
      <c r="E34" s="62" t="s">
        <v>138</v>
      </c>
      <c r="F34" s="62" t="s">
        <v>21</v>
      </c>
      <c r="G34" s="62" t="s">
        <v>537</v>
      </c>
      <c r="H34" s="131" t="s">
        <v>538</v>
      </c>
      <c r="I34" s="131"/>
      <c r="J34" s="131"/>
      <c r="K34" s="131"/>
      <c r="L34" s="131"/>
    </row>
    <row r="35" spans="1:12" x14ac:dyDescent="0.2">
      <c r="A35" s="68">
        <v>42000</v>
      </c>
      <c r="B35" s="62" t="s">
        <v>522</v>
      </c>
      <c r="C35" s="62">
        <f>$C$3/CFD!D4/'Initial Estimates'!$C$5</f>
        <v>0.10884251598155902</v>
      </c>
      <c r="D35" s="62" t="s">
        <v>126</v>
      </c>
      <c r="E35" s="62" t="s">
        <v>138</v>
      </c>
      <c r="F35" s="62" t="s">
        <v>21</v>
      </c>
      <c r="G35" s="62" t="s">
        <v>537</v>
      </c>
      <c r="H35" s="131" t="s">
        <v>538</v>
      </c>
      <c r="I35" s="131"/>
      <c r="J35" s="131"/>
      <c r="K35" s="131"/>
      <c r="L35" s="131"/>
    </row>
    <row r="36" spans="1:12" x14ac:dyDescent="0.2">
      <c r="A36" s="68">
        <v>43000</v>
      </c>
      <c r="B36" s="62" t="s">
        <v>522</v>
      </c>
      <c r="C36" s="62">
        <f>$C$3/CFD!D5/'Initial Estimates'!$C$5</f>
        <v>0.11417017206164713</v>
      </c>
      <c r="D36" s="62" t="s">
        <v>126</v>
      </c>
      <c r="E36" s="62" t="s">
        <v>138</v>
      </c>
      <c r="F36" s="62" t="s">
        <v>21</v>
      </c>
      <c r="G36" s="62" t="s">
        <v>537</v>
      </c>
      <c r="H36" s="131" t="s">
        <v>538</v>
      </c>
      <c r="I36" s="131"/>
      <c r="J36" s="131"/>
      <c r="K36" s="131"/>
      <c r="L36" s="131"/>
    </row>
    <row r="37" spans="1:12" x14ac:dyDescent="0.2">
      <c r="A37" s="68">
        <v>44000</v>
      </c>
      <c r="B37" s="62" t="s">
        <v>522</v>
      </c>
      <c r="C37" s="62">
        <f>$C$3/CFD!D6/'Initial Estimates'!$C$5</f>
        <v>0.11977390498609999</v>
      </c>
      <c r="D37" s="62" t="s">
        <v>126</v>
      </c>
      <c r="E37" s="62" t="s">
        <v>138</v>
      </c>
      <c r="F37" s="62" t="s">
        <v>21</v>
      </c>
      <c r="G37" s="62" t="s">
        <v>537</v>
      </c>
      <c r="H37" s="131" t="s">
        <v>538</v>
      </c>
      <c r="I37" s="131"/>
      <c r="J37" s="131"/>
      <c r="K37" s="131"/>
      <c r="L37" s="131"/>
    </row>
    <row r="38" spans="1:12" x14ac:dyDescent="0.2">
      <c r="A38" s="68">
        <v>45000</v>
      </c>
      <c r="B38" s="62" t="s">
        <v>522</v>
      </c>
      <c r="C38" s="62">
        <f>$C$3/CFD!D7/'Initial Estimates'!$C$5</f>
        <v>0.1256291726752323</v>
      </c>
      <c r="D38" s="62" t="s">
        <v>126</v>
      </c>
      <c r="E38" s="62" t="s">
        <v>138</v>
      </c>
      <c r="F38" s="62" t="s">
        <v>21</v>
      </c>
      <c r="G38" s="62" t="s">
        <v>537</v>
      </c>
      <c r="H38" s="131" t="s">
        <v>538</v>
      </c>
      <c r="I38" s="131"/>
      <c r="J38" s="131"/>
      <c r="K38" s="131"/>
      <c r="L38" s="131"/>
    </row>
    <row r="39" spans="1:12" x14ac:dyDescent="0.2">
      <c r="A39" s="68">
        <v>46000</v>
      </c>
      <c r="B39" s="62" t="s">
        <v>522</v>
      </c>
      <c r="C39" s="62">
        <f>$C$3/CFD!D8/'Initial Estimates'!$C$5</f>
        <v>0.13178662702010416</v>
      </c>
      <c r="D39" s="62" t="s">
        <v>126</v>
      </c>
      <c r="E39" s="62" t="s">
        <v>138</v>
      </c>
      <c r="F39" s="62" t="s">
        <v>21</v>
      </c>
      <c r="G39" s="62" t="s">
        <v>537</v>
      </c>
      <c r="H39" s="131" t="s">
        <v>538</v>
      </c>
      <c r="I39" s="131"/>
      <c r="J39" s="131"/>
      <c r="K39" s="131"/>
      <c r="L39" s="131"/>
    </row>
    <row r="40" spans="1:12" x14ac:dyDescent="0.2">
      <c r="A40" s="68">
        <v>47000</v>
      </c>
      <c r="B40" s="62" t="s">
        <v>522</v>
      </c>
      <c r="C40" s="62">
        <f>$C$3/CFD!D9/'Initial Estimates'!$C$5</f>
        <v>0.13824890865927134</v>
      </c>
      <c r="D40" s="62" t="s">
        <v>126</v>
      </c>
      <c r="E40" s="62" t="s">
        <v>138</v>
      </c>
      <c r="F40" s="62" t="s">
        <v>21</v>
      </c>
      <c r="G40" s="62" t="s">
        <v>537</v>
      </c>
      <c r="H40" s="131" t="s">
        <v>538</v>
      </c>
      <c r="I40" s="131"/>
      <c r="J40" s="131"/>
      <c r="K40" s="131"/>
      <c r="L40" s="131"/>
    </row>
    <row r="41" spans="1:12" x14ac:dyDescent="0.2">
      <c r="A41" s="68">
        <v>48000</v>
      </c>
      <c r="B41" s="62" t="s">
        <v>522</v>
      </c>
      <c r="C41" s="62">
        <f>$C$3/CFD!D10/'Initial Estimates'!$C$5</f>
        <v>0.14501464800938801</v>
      </c>
      <c r="D41" s="62" t="s">
        <v>126</v>
      </c>
      <c r="E41" s="62" t="s">
        <v>138</v>
      </c>
      <c r="F41" s="62" t="s">
        <v>21</v>
      </c>
      <c r="G41" s="62" t="s">
        <v>537</v>
      </c>
      <c r="H41" s="131" t="s">
        <v>538</v>
      </c>
      <c r="I41" s="131"/>
      <c r="J41" s="131"/>
      <c r="K41" s="131"/>
      <c r="L41" s="131"/>
    </row>
    <row r="42" spans="1:12" x14ac:dyDescent="0.2">
      <c r="A42" s="68">
        <v>49000</v>
      </c>
      <c r="B42" s="62" t="s">
        <v>522</v>
      </c>
      <c r="C42" s="62">
        <f>$C$3/CFD!D11/'Initial Estimates'!$C$5</f>
        <v>0.15215710381912467</v>
      </c>
      <c r="D42" s="62" t="s">
        <v>126</v>
      </c>
      <c r="E42" s="62" t="s">
        <v>138</v>
      </c>
      <c r="F42" s="62" t="s">
        <v>21</v>
      </c>
      <c r="G42" s="62" t="s">
        <v>537</v>
      </c>
      <c r="H42" s="131" t="s">
        <v>538</v>
      </c>
      <c r="I42" s="131"/>
      <c r="J42" s="131"/>
      <c r="K42" s="131"/>
      <c r="L42" s="131"/>
    </row>
    <row r="43" spans="1:12" x14ac:dyDescent="0.2">
      <c r="A43" s="62" t="s">
        <v>558</v>
      </c>
      <c r="B43" s="62" t="s">
        <v>551</v>
      </c>
      <c r="C43" s="73">
        <f xml:space="preserve"> ABS((C34-CFD!$B$25)/(CFD!$B$26-CFD!$B$25)*(CFD!$E$26-CFD!$E$25) + CFD!$E$25)</f>
        <v>1.4267119887501841E-2</v>
      </c>
      <c r="D43" s="62" t="s">
        <v>126</v>
      </c>
      <c r="E43" s="62" t="s">
        <v>138</v>
      </c>
      <c r="F43" s="62" t="s">
        <v>21</v>
      </c>
      <c r="G43" s="62" t="s">
        <v>552</v>
      </c>
      <c r="H43" s="131" t="s">
        <v>528</v>
      </c>
      <c r="I43" s="131"/>
      <c r="J43" s="131"/>
      <c r="K43" s="131"/>
      <c r="L43" s="131"/>
    </row>
    <row r="44" spans="1:12" x14ac:dyDescent="0.2">
      <c r="A44" s="68">
        <v>42000</v>
      </c>
      <c r="B44" s="62" t="s">
        <v>551</v>
      </c>
      <c r="C44" s="73">
        <f xml:space="preserve"> ABS((C35-CFD!$B$25)/(CFD!$B$26-CFD!$B$25)*(CFD!$E$26-CFD!$E$25) + CFD!$E$25)</f>
        <v>1.4267119887501841E-2</v>
      </c>
      <c r="D44" s="62" t="s">
        <v>126</v>
      </c>
      <c r="E44" s="62" t="s">
        <v>138</v>
      </c>
      <c r="F44" s="62" t="s">
        <v>21</v>
      </c>
      <c r="G44" s="62" t="s">
        <v>552</v>
      </c>
      <c r="H44" s="131" t="s">
        <v>528</v>
      </c>
      <c r="I44" s="131"/>
      <c r="J44" s="131"/>
      <c r="K44" s="131"/>
      <c r="L44" s="131"/>
    </row>
    <row r="45" spans="1:12" x14ac:dyDescent="0.2">
      <c r="A45" s="68">
        <v>43000</v>
      </c>
      <c r="B45" s="62" t="s">
        <v>551</v>
      </c>
      <c r="C45" s="73">
        <f xml:space="preserve"> ABS((C36-CFD!$B$25)/(CFD!$B$26-CFD!$B$25)*(CFD!$E$26-CFD!$E$25) + CFD!$E$25)</f>
        <v>1.4530072869995459E-2</v>
      </c>
      <c r="D45" s="62" t="s">
        <v>126</v>
      </c>
      <c r="E45" s="62" t="s">
        <v>138</v>
      </c>
      <c r="F45" s="62" t="s">
        <v>21</v>
      </c>
      <c r="G45" s="62" t="s">
        <v>552</v>
      </c>
      <c r="H45" s="131" t="s">
        <v>528</v>
      </c>
      <c r="I45" s="131"/>
      <c r="J45" s="131"/>
      <c r="K45" s="131"/>
      <c r="L45" s="131"/>
    </row>
    <row r="46" spans="1:12" x14ac:dyDescent="0.2">
      <c r="A46" s="68">
        <v>44000</v>
      </c>
      <c r="B46" s="62" t="s">
        <v>551</v>
      </c>
      <c r="C46" s="73">
        <f xml:space="preserve"> ABS((C37-CFD!$B$25)/(CFD!$B$26-CFD!$B$25)*(CFD!$E$26-CFD!$E$25) + CFD!$E$25)</f>
        <v>1.4806651962833262E-2</v>
      </c>
      <c r="D46" s="62" t="s">
        <v>126</v>
      </c>
      <c r="E46" s="62" t="s">
        <v>138</v>
      </c>
      <c r="F46" s="62" t="s">
        <v>21</v>
      </c>
      <c r="G46" s="62" t="s">
        <v>552</v>
      </c>
      <c r="H46" s="131" t="s">
        <v>528</v>
      </c>
      <c r="I46" s="131"/>
      <c r="J46" s="131"/>
      <c r="K46" s="131"/>
      <c r="L46" s="131"/>
    </row>
    <row r="47" spans="1:12" x14ac:dyDescent="0.2">
      <c r="A47" s="68">
        <v>45000</v>
      </c>
      <c r="B47" s="62" t="s">
        <v>551</v>
      </c>
      <c r="C47" s="73">
        <f xml:space="preserve"> ABS((C38-CFD!$B$25)/(CFD!$B$26-CFD!$B$25)*(CFD!$E$26-CFD!$E$25) + CFD!$E$25)</f>
        <v>1.5095645861653097E-2</v>
      </c>
      <c r="D47" s="62" t="s">
        <v>126</v>
      </c>
      <c r="E47" s="62" t="s">
        <v>138</v>
      </c>
      <c r="F47" s="62" t="s">
        <v>21</v>
      </c>
      <c r="G47" s="62" t="s">
        <v>552</v>
      </c>
      <c r="H47" s="131" t="s">
        <v>528</v>
      </c>
      <c r="I47" s="131"/>
      <c r="J47" s="131"/>
      <c r="K47" s="131"/>
      <c r="L47" s="131"/>
    </row>
    <row r="48" spans="1:12" x14ac:dyDescent="0.2">
      <c r="A48" s="68">
        <v>46000</v>
      </c>
      <c r="B48" s="62" t="s">
        <v>551</v>
      </c>
      <c r="C48" s="73">
        <f xml:space="preserve"> ABS((C39-CFD!$B$25)/(CFD!$B$26-CFD!$B$25)*(CFD!$E$26-CFD!$E$25) + CFD!$E$25)</f>
        <v>1.5399554552494412E-2</v>
      </c>
      <c r="D48" s="62" t="s">
        <v>126</v>
      </c>
      <c r="E48" s="62" t="s">
        <v>138</v>
      </c>
      <c r="F48" s="62" t="s">
        <v>21</v>
      </c>
      <c r="G48" s="62" t="s">
        <v>552</v>
      </c>
      <c r="H48" s="131" t="s">
        <v>528</v>
      </c>
      <c r="I48" s="131"/>
      <c r="J48" s="131"/>
      <c r="K48" s="131"/>
      <c r="L48" s="131"/>
    </row>
    <row r="49" spans="1:12" x14ac:dyDescent="0.2">
      <c r="A49" s="68">
        <v>47000</v>
      </c>
      <c r="B49" s="62" t="s">
        <v>551</v>
      </c>
      <c r="C49" s="73">
        <f xml:space="preserve"> ABS((C40-CFD!$B$25)/(CFD!$B$26-CFD!$B$25)*(CFD!$E$26-CFD!$E$25) + CFD!$E$25)</f>
        <v>1.5718508367303093E-2</v>
      </c>
      <c r="D49" s="62" t="s">
        <v>126</v>
      </c>
      <c r="E49" s="62" t="s">
        <v>138</v>
      </c>
      <c r="F49" s="62" t="s">
        <v>21</v>
      </c>
      <c r="G49" s="62" t="s">
        <v>552</v>
      </c>
      <c r="H49" s="131" t="s">
        <v>528</v>
      </c>
      <c r="I49" s="131"/>
      <c r="J49" s="131"/>
      <c r="K49" s="131"/>
      <c r="L49" s="131"/>
    </row>
    <row r="50" spans="1:12" x14ac:dyDescent="0.2">
      <c r="A50" s="68">
        <v>48000</v>
      </c>
      <c r="B50" s="62" t="s">
        <v>551</v>
      </c>
      <c r="C50" s="73">
        <f xml:space="preserve"> ABS((C41-CFD!$B$25)/(CFD!$B$26-CFD!$B$25)*(CFD!$E$26-CFD!$E$25) + CFD!$E$25)</f>
        <v>1.6052439708617864E-2</v>
      </c>
      <c r="D50" s="62" t="s">
        <v>126</v>
      </c>
      <c r="E50" s="62" t="s">
        <v>138</v>
      </c>
      <c r="F50" s="62" t="s">
        <v>21</v>
      </c>
      <c r="G50" s="62" t="s">
        <v>552</v>
      </c>
      <c r="H50" s="131" t="s">
        <v>528</v>
      </c>
      <c r="I50" s="131"/>
      <c r="J50" s="131"/>
      <c r="K50" s="131"/>
      <c r="L50" s="131"/>
    </row>
    <row r="51" spans="1:12" x14ac:dyDescent="0.2">
      <c r="A51" s="68">
        <v>49000</v>
      </c>
      <c r="B51" s="62" t="s">
        <v>551</v>
      </c>
      <c r="C51" s="73">
        <f xml:space="preserve"> ABS((C42-CFD!$B$25)/(CFD!$B$26-CFD!$B$25)*(CFD!$E$26-CFD!$E$25) + CFD!$E$25)</f>
        <v>1.6404964351587698E-2</v>
      </c>
      <c r="D51" s="62" t="s">
        <v>126</v>
      </c>
      <c r="E51" s="62" t="s">
        <v>138</v>
      </c>
      <c r="F51" s="62" t="s">
        <v>21</v>
      </c>
      <c r="G51" s="62" t="s">
        <v>552</v>
      </c>
      <c r="H51" s="131" t="s">
        <v>528</v>
      </c>
      <c r="I51" s="131"/>
      <c r="J51" s="131"/>
      <c r="K51" s="131"/>
      <c r="L51" s="131"/>
    </row>
    <row r="52" spans="1:12" x14ac:dyDescent="0.2">
      <c r="A52" s="62" t="s">
        <v>555</v>
      </c>
      <c r="B52" s="62" t="s">
        <v>554</v>
      </c>
      <c r="C52" s="73">
        <f>CFD!D3*'Initial Estimates'!$C$5*'Final Aircraft Checkouts'!C43</f>
        <v>9962.3828704520292</v>
      </c>
      <c r="D52" s="62" t="s">
        <v>126</v>
      </c>
      <c r="E52" s="62" t="s">
        <v>138</v>
      </c>
      <c r="F52" s="62" t="s">
        <v>21</v>
      </c>
      <c r="G52" s="62" t="s">
        <v>556</v>
      </c>
      <c r="H52" s="131" t="s">
        <v>538</v>
      </c>
      <c r="I52" s="131"/>
      <c r="J52" s="131"/>
      <c r="K52" s="131"/>
      <c r="L52" s="131"/>
    </row>
    <row r="53" spans="1:12" x14ac:dyDescent="0.2">
      <c r="A53" s="68">
        <v>42000</v>
      </c>
      <c r="B53" s="62" t="s">
        <v>554</v>
      </c>
      <c r="C53" s="73">
        <f>CFD!D4*'Initial Estimates'!$C$5*'Final Aircraft Checkouts'!C44</f>
        <v>9496.1191491125446</v>
      </c>
      <c r="D53" s="62" t="s">
        <v>126</v>
      </c>
      <c r="E53" s="62" t="s">
        <v>138</v>
      </c>
      <c r="F53" s="62" t="s">
        <v>21</v>
      </c>
      <c r="G53" s="62" t="s">
        <v>556</v>
      </c>
      <c r="H53" s="131" t="s">
        <v>538</v>
      </c>
      <c r="I53" s="131"/>
      <c r="J53" s="131"/>
      <c r="K53" s="131"/>
      <c r="L53" s="131"/>
    </row>
    <row r="54" spans="1:12" x14ac:dyDescent="0.2">
      <c r="A54" s="68">
        <v>43000</v>
      </c>
      <c r="B54" s="62" t="s">
        <v>554</v>
      </c>
      <c r="C54" s="73">
        <f>CFD!D5*'Initial Estimates'!$C$5*'Final Aircraft Checkouts'!C45</f>
        <v>9219.8435901317916</v>
      </c>
      <c r="D54" s="62" t="s">
        <v>126</v>
      </c>
      <c r="E54" s="62" t="s">
        <v>138</v>
      </c>
      <c r="F54" s="62" t="s">
        <v>21</v>
      </c>
      <c r="G54" s="62" t="s">
        <v>556</v>
      </c>
      <c r="H54" s="131" t="s">
        <v>538</v>
      </c>
      <c r="I54" s="131"/>
      <c r="J54" s="131"/>
      <c r="K54" s="131"/>
      <c r="L54" s="131"/>
    </row>
    <row r="55" spans="1:12" x14ac:dyDescent="0.2">
      <c r="A55" s="68">
        <v>44000</v>
      </c>
      <c r="B55" s="62" t="s">
        <v>554</v>
      </c>
      <c r="C55" s="73">
        <f>CFD!D6*'Initial Estimates'!$C$5*'Final Aircraft Checkouts'!C46</f>
        <v>8955.7729755236833</v>
      </c>
      <c r="D55" s="62" t="s">
        <v>126</v>
      </c>
      <c r="E55" s="62" t="s">
        <v>138</v>
      </c>
      <c r="F55" s="62" t="s">
        <v>21</v>
      </c>
      <c r="G55" s="62" t="s">
        <v>556</v>
      </c>
      <c r="H55" s="131" t="s">
        <v>538</v>
      </c>
      <c r="I55" s="131"/>
      <c r="J55" s="131"/>
      <c r="K55" s="131"/>
      <c r="L55" s="131"/>
    </row>
    <row r="56" spans="1:12" x14ac:dyDescent="0.2">
      <c r="A56" s="68">
        <v>45000</v>
      </c>
      <c r="B56" s="62" t="s">
        <v>554</v>
      </c>
      <c r="C56" s="73">
        <f>CFD!D7*'Initial Estimates'!$C$5*'Final Aircraft Checkouts'!C47</f>
        <v>8705.01684568573</v>
      </c>
      <c r="D56" s="62" t="s">
        <v>126</v>
      </c>
      <c r="E56" s="62" t="s">
        <v>138</v>
      </c>
      <c r="F56" s="62" t="s">
        <v>21</v>
      </c>
      <c r="G56" s="62" t="s">
        <v>556</v>
      </c>
      <c r="H56" s="131" t="s">
        <v>538</v>
      </c>
      <c r="I56" s="131"/>
      <c r="J56" s="131"/>
      <c r="K56" s="131"/>
      <c r="L56" s="131"/>
    </row>
    <row r="57" spans="1:12" x14ac:dyDescent="0.2">
      <c r="A57" s="68">
        <v>46000</v>
      </c>
      <c r="B57" s="62" t="s">
        <v>554</v>
      </c>
      <c r="C57" s="73">
        <f>CFD!D8*'Initial Estimates'!$C$5*'Final Aircraft Checkouts'!C48</f>
        <v>8465.3561198229072</v>
      </c>
      <c r="D57" s="62" t="s">
        <v>126</v>
      </c>
      <c r="E57" s="62" t="s">
        <v>138</v>
      </c>
      <c r="F57" s="62" t="s">
        <v>21</v>
      </c>
      <c r="G57" s="62" t="s">
        <v>556</v>
      </c>
      <c r="H57" s="131" t="s">
        <v>538</v>
      </c>
      <c r="I57" s="131"/>
      <c r="J57" s="131"/>
      <c r="K57" s="131"/>
      <c r="L57" s="131"/>
    </row>
    <row r="58" spans="1:12" x14ac:dyDescent="0.2">
      <c r="A58" s="68">
        <v>47000</v>
      </c>
      <c r="B58" s="62" t="s">
        <v>554</v>
      </c>
      <c r="C58" s="73">
        <f>CFD!D9*'Initial Estimates'!$C$5*'Final Aircraft Checkouts'!C49</f>
        <v>8236.7907979352185</v>
      </c>
      <c r="D58" s="62" t="s">
        <v>126</v>
      </c>
      <c r="E58" s="62" t="s">
        <v>138</v>
      </c>
      <c r="F58" s="62" t="s">
        <v>21</v>
      </c>
      <c r="G58" s="62" t="s">
        <v>556</v>
      </c>
      <c r="H58" s="131" t="s">
        <v>538</v>
      </c>
      <c r="I58" s="131"/>
      <c r="J58" s="131"/>
      <c r="K58" s="131"/>
      <c r="L58" s="131"/>
    </row>
    <row r="59" spans="1:12" x14ac:dyDescent="0.2">
      <c r="A59" s="68">
        <v>48000</v>
      </c>
      <c r="B59" s="62" t="s">
        <v>554</v>
      </c>
      <c r="C59" s="73">
        <f>CFD!D10*'Initial Estimates'!$C$5*'Final Aircraft Checkouts'!C50</f>
        <v>8019.3208800226566</v>
      </c>
      <c r="D59" s="62" t="s">
        <v>126</v>
      </c>
      <c r="E59" s="62" t="s">
        <v>138</v>
      </c>
      <c r="F59" s="62" t="s">
        <v>21</v>
      </c>
      <c r="G59" s="62" t="s">
        <v>556</v>
      </c>
      <c r="H59" s="131" t="s">
        <v>538</v>
      </c>
      <c r="I59" s="131"/>
      <c r="J59" s="131"/>
      <c r="K59" s="131"/>
      <c r="L59" s="131"/>
    </row>
    <row r="60" spans="1:12" x14ac:dyDescent="0.2">
      <c r="A60" s="68">
        <v>49000</v>
      </c>
      <c r="B60" s="62" t="s">
        <v>554</v>
      </c>
      <c r="C60" s="73">
        <f>CFD!D11*'Initial Estimates'!$C$5*'Final Aircraft Checkouts'!C51</f>
        <v>7810.7272852901997</v>
      </c>
      <c r="D60" s="62" t="s">
        <v>126</v>
      </c>
      <c r="E60" s="62" t="s">
        <v>138</v>
      </c>
      <c r="F60" s="62" t="s">
        <v>21</v>
      </c>
      <c r="G60" s="62" t="s">
        <v>556</v>
      </c>
      <c r="H60" s="131" t="s">
        <v>538</v>
      </c>
      <c r="I60" s="131"/>
      <c r="J60" s="131"/>
      <c r="K60" s="131"/>
      <c r="L60" s="131"/>
    </row>
  </sheetData>
  <mergeCells count="60">
    <mergeCell ref="H56:L56"/>
    <mergeCell ref="H57:L57"/>
    <mergeCell ref="H58:L58"/>
    <mergeCell ref="H59:L59"/>
    <mergeCell ref="H60:L60"/>
    <mergeCell ref="H51:L51"/>
    <mergeCell ref="H52:L52"/>
    <mergeCell ref="H53:L53"/>
    <mergeCell ref="H54:L54"/>
    <mergeCell ref="H55:L55"/>
    <mergeCell ref="H46:L46"/>
    <mergeCell ref="H47:L47"/>
    <mergeCell ref="H48:L48"/>
    <mergeCell ref="H49:L49"/>
    <mergeCell ref="H50:L50"/>
    <mergeCell ref="H41:L41"/>
    <mergeCell ref="H42:L42"/>
    <mergeCell ref="H43:L43"/>
    <mergeCell ref="H44:L44"/>
    <mergeCell ref="H45:L45"/>
    <mergeCell ref="H36:L36"/>
    <mergeCell ref="H37:L37"/>
    <mergeCell ref="H38:L38"/>
    <mergeCell ref="H39:L39"/>
    <mergeCell ref="H40:L40"/>
    <mergeCell ref="A31:L31"/>
    <mergeCell ref="H32:L32"/>
    <mergeCell ref="H33:L33"/>
    <mergeCell ref="H34:L34"/>
    <mergeCell ref="H35:L35"/>
    <mergeCell ref="A1:L1"/>
    <mergeCell ref="H2:L2"/>
    <mergeCell ref="H3:L3"/>
    <mergeCell ref="H4:L4"/>
    <mergeCell ref="H13:L13"/>
    <mergeCell ref="H5:L5"/>
    <mergeCell ref="H6:L6"/>
    <mergeCell ref="H7:L7"/>
    <mergeCell ref="H8:L8"/>
    <mergeCell ref="H9:L9"/>
    <mergeCell ref="H10:L10"/>
    <mergeCell ref="H11:L11"/>
    <mergeCell ref="H12:L12"/>
    <mergeCell ref="H29:L29"/>
    <mergeCell ref="H30:L30"/>
    <mergeCell ref="H23:L23"/>
    <mergeCell ref="H14:L14"/>
    <mergeCell ref="H15:L15"/>
    <mergeCell ref="H16:L16"/>
    <mergeCell ref="H17:L17"/>
    <mergeCell ref="H22:L22"/>
    <mergeCell ref="H18:L18"/>
    <mergeCell ref="H19:L19"/>
    <mergeCell ref="H20:L20"/>
    <mergeCell ref="H21:L21"/>
    <mergeCell ref="H25:L25"/>
    <mergeCell ref="H24:L24"/>
    <mergeCell ref="H26:L26"/>
    <mergeCell ref="H27:L27"/>
    <mergeCell ref="H28:L2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Design Constraints</vt:lpstr>
      <vt:lpstr>Initial Estimates</vt:lpstr>
      <vt:lpstr>Cg Calcs</vt:lpstr>
      <vt:lpstr>Stability Constants</vt:lpstr>
      <vt:lpstr>Subsonic Stability</vt:lpstr>
      <vt:lpstr>Supersonic Stability</vt:lpstr>
      <vt:lpstr>CFD</vt:lpstr>
      <vt:lpstr>Overall Drag Values</vt:lpstr>
      <vt:lpstr>Final Aircraft Checkouts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2017-02-12T20:58:49Z</dcterms:created>
  <dcterms:modified xsi:type="dcterms:W3CDTF">2017-03-13T04:14:17Z</dcterms:modified>
</cp:coreProperties>
</file>