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154Design/"/>
    </mc:Choice>
  </mc:AlternateContent>
  <bookViews>
    <workbookView xWindow="0" yWindow="0" windowWidth="38400" windowHeight="21600" tabRatio="500" activeTab="7"/>
  </bookViews>
  <sheets>
    <sheet name="Design Constraints" sheetId="2" r:id="rId1"/>
    <sheet name="Initial Estimates" sheetId="6" r:id="rId2"/>
    <sheet name="Cg Calcs Subsonic" sheetId="20" r:id="rId3"/>
    <sheet name="Stability Constants Subsonic" sheetId="8" r:id="rId4"/>
    <sheet name="Subsonic Stability" sheetId="9" r:id="rId5"/>
    <sheet name="Cg Calcs Supersonic" sheetId="7" r:id="rId6"/>
    <sheet name="Stability Constants Supersonic" sheetId="21" r:id="rId7"/>
    <sheet name="Supersonic Stability" sheetId="12" r:id="rId8"/>
    <sheet name="CFD" sheetId="19" r:id="rId9"/>
    <sheet name="Final Aircraft Checkouts" sheetId="13" r:id="rId10"/>
    <sheet name="Parasite Drag" sheetId="18" r:id="rId11"/>
  </sheets>
  <definedNames>
    <definedName name="solver_adj" localSheetId="9" hidden="1">'Final Aircraft Checkouts'!$C$26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ng" localSheetId="1" hidden="1">1</definedName>
    <definedName name="solver_itr" localSheetId="9" hidden="1">2147483647</definedName>
    <definedName name="solver_lin" localSheetId="9" hidden="1">2</definedName>
    <definedName name="solver_lin" localSheetId="1" hidden="1">2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1</definedName>
    <definedName name="solver_neg" localSheetId="1" hidden="1">1</definedName>
    <definedName name="solver_nod" localSheetId="9" hidden="1">2147483647</definedName>
    <definedName name="solver_num" localSheetId="9" hidden="1">0</definedName>
    <definedName name="solver_num" localSheetId="1" hidden="1">0</definedName>
    <definedName name="solver_opt" localSheetId="9" hidden="1">'Final Aircraft Checkouts'!$C$26</definedName>
    <definedName name="solver_opt" localSheetId="1" hidden="1">'Initial Estimates'!$C$14</definedName>
    <definedName name="solver_pre" localSheetId="9" hidden="1">0.000001</definedName>
    <definedName name="solver_rbv" localSheetId="9" hidden="1">1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3</definedName>
    <definedName name="solver_typ" localSheetId="1" hidden="1">1</definedName>
    <definedName name="solver_val" localSheetId="9" hidden="1">0</definedName>
    <definedName name="solver_val" localSheetId="1" hidden="1">0</definedName>
    <definedName name="solver_ver" localSheetId="9" hidden="1">2</definedName>
    <definedName name="solver_ver" localSheetId="1" hidden="1">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6" i="9" l="1"/>
  <c r="C1245" i="12"/>
  <c r="C1238" i="12"/>
  <c r="C1239" i="12"/>
  <c r="C1240" i="12"/>
  <c r="C1241" i="12"/>
  <c r="C1242" i="12"/>
  <c r="C1243" i="12"/>
  <c r="C1244" i="12"/>
  <c r="C1237" i="12"/>
  <c r="C1229" i="12"/>
  <c r="C1230" i="12"/>
  <c r="C1231" i="12"/>
  <c r="C1232" i="12"/>
  <c r="C1233" i="12"/>
  <c r="C1234" i="12"/>
  <c r="C1235" i="12"/>
  <c r="C1236" i="12"/>
  <c r="C1228" i="12"/>
  <c r="C1220" i="12"/>
  <c r="C1221" i="12"/>
  <c r="C1222" i="12"/>
  <c r="C1223" i="12"/>
  <c r="C1224" i="12"/>
  <c r="C1225" i="12"/>
  <c r="C1226" i="12"/>
  <c r="C1227" i="12"/>
  <c r="C1219" i="12"/>
  <c r="C1211" i="12"/>
  <c r="C1212" i="12"/>
  <c r="C1213" i="12"/>
  <c r="C1214" i="12"/>
  <c r="C1215" i="12"/>
  <c r="C1216" i="12"/>
  <c r="C1217" i="12"/>
  <c r="C1218" i="12"/>
  <c r="C1210" i="12"/>
  <c r="C1202" i="12"/>
  <c r="C1203" i="12"/>
  <c r="C1204" i="12"/>
  <c r="C1205" i="12"/>
  <c r="C1206" i="12"/>
  <c r="C1207" i="12"/>
  <c r="C1208" i="12"/>
  <c r="C1209" i="12"/>
  <c r="C1201" i="12"/>
  <c r="C1193" i="12"/>
  <c r="C1194" i="12"/>
  <c r="C1195" i="12"/>
  <c r="C1196" i="12"/>
  <c r="C1197" i="12"/>
  <c r="C1198" i="12"/>
  <c r="C1199" i="12"/>
  <c r="C1200" i="12"/>
  <c r="C1192" i="12"/>
  <c r="C1110" i="12"/>
  <c r="C1111" i="12"/>
  <c r="C1112" i="12"/>
  <c r="C1113" i="12"/>
  <c r="C1114" i="12"/>
  <c r="C1115" i="12"/>
  <c r="C1116" i="12"/>
  <c r="C1117" i="12"/>
  <c r="C1109" i="12"/>
  <c r="C1026" i="12"/>
  <c r="C1027" i="12"/>
  <c r="C1028" i="12"/>
  <c r="C1029" i="12"/>
  <c r="C1030" i="12"/>
  <c r="C1031" i="12"/>
  <c r="C1032" i="12"/>
  <c r="C1033" i="12"/>
  <c r="C1025" i="12"/>
  <c r="C942" i="12"/>
  <c r="C943" i="12"/>
  <c r="C944" i="12"/>
  <c r="C945" i="12"/>
  <c r="C946" i="12"/>
  <c r="C947" i="12"/>
  <c r="C948" i="12"/>
  <c r="C949" i="12"/>
  <c r="C941" i="12"/>
  <c r="C1135" i="12"/>
  <c r="C1153" i="12"/>
  <c r="C1162" i="12"/>
  <c r="C11" i="12"/>
  <c r="C7" i="12"/>
  <c r="C1171" i="12"/>
  <c r="C3" i="12"/>
  <c r="C1134" i="12"/>
  <c r="C1152" i="12"/>
  <c r="C1161" i="12"/>
  <c r="C1170" i="12"/>
  <c r="C1133" i="12"/>
  <c r="C1151" i="12"/>
  <c r="C1160" i="12"/>
  <c r="C1169" i="12"/>
  <c r="C1132" i="12"/>
  <c r="C1150" i="12"/>
  <c r="C1159" i="12"/>
  <c r="C1168" i="12"/>
  <c r="C1131" i="12"/>
  <c r="C1149" i="12"/>
  <c r="C1158" i="12"/>
  <c r="C1167" i="12"/>
  <c r="C1130" i="12"/>
  <c r="C1148" i="12"/>
  <c r="C1157" i="12"/>
  <c r="C1166" i="12"/>
  <c r="C1129" i="12"/>
  <c r="C1147" i="12"/>
  <c r="C1156" i="12"/>
  <c r="C1165" i="12"/>
  <c r="C1128" i="12"/>
  <c r="C1146" i="12"/>
  <c r="C1155" i="12"/>
  <c r="C1164" i="12"/>
  <c r="C1127" i="12"/>
  <c r="C1145" i="12"/>
  <c r="C1154" i="12"/>
  <c r="C1163" i="12"/>
  <c r="C1180" i="12"/>
  <c r="C1189" i="12"/>
  <c r="C1179" i="12"/>
  <c r="C1188" i="12"/>
  <c r="C1178" i="12"/>
  <c r="C1187" i="12"/>
  <c r="C1177" i="12"/>
  <c r="C1186" i="12"/>
  <c r="C1176" i="12"/>
  <c r="C1185" i="12"/>
  <c r="C1175" i="12"/>
  <c r="C1184" i="12"/>
  <c r="C1174" i="12"/>
  <c r="C1183" i="12"/>
  <c r="C1173" i="12"/>
  <c r="C1182" i="12"/>
  <c r="C1172" i="12"/>
  <c r="C1181" i="12"/>
  <c r="C1051" i="12"/>
  <c r="C1069" i="12"/>
  <c r="C1078" i="12"/>
  <c r="C1087" i="12"/>
  <c r="C1050" i="12"/>
  <c r="C1068" i="12"/>
  <c r="C1077" i="12"/>
  <c r="C1086" i="12"/>
  <c r="C1049" i="12"/>
  <c r="C1067" i="12"/>
  <c r="C1076" i="12"/>
  <c r="C1085" i="12"/>
  <c r="C1048" i="12"/>
  <c r="C1066" i="12"/>
  <c r="C1075" i="12"/>
  <c r="C1084" i="12"/>
  <c r="C1047" i="12"/>
  <c r="C1065" i="12"/>
  <c r="C1074" i="12"/>
  <c r="C1083" i="12"/>
  <c r="C1046" i="12"/>
  <c r="C1064" i="12"/>
  <c r="C1073" i="12"/>
  <c r="C1082" i="12"/>
  <c r="C1045" i="12"/>
  <c r="C1063" i="12"/>
  <c r="C1072" i="12"/>
  <c r="C1081" i="12"/>
  <c r="C1044" i="12"/>
  <c r="C1062" i="12"/>
  <c r="C1071" i="12"/>
  <c r="C1080" i="12"/>
  <c r="C1043" i="12"/>
  <c r="C1061" i="12"/>
  <c r="C1070" i="12"/>
  <c r="C1079" i="12"/>
  <c r="C1096" i="12"/>
  <c r="C1105" i="12"/>
  <c r="C1095" i="12"/>
  <c r="C1104" i="12"/>
  <c r="C1094" i="12"/>
  <c r="C1103" i="12"/>
  <c r="C1093" i="12"/>
  <c r="C1102" i="12"/>
  <c r="C1092" i="12"/>
  <c r="C1101" i="12"/>
  <c r="C1091" i="12"/>
  <c r="C1100" i="12"/>
  <c r="C1090" i="12"/>
  <c r="C1099" i="12"/>
  <c r="C1089" i="12"/>
  <c r="C1098" i="12"/>
  <c r="C1088" i="12"/>
  <c r="C1097" i="12"/>
  <c r="C967" i="12"/>
  <c r="C985" i="12"/>
  <c r="C994" i="12"/>
  <c r="C1003" i="12"/>
  <c r="C966" i="12"/>
  <c r="C984" i="12"/>
  <c r="C993" i="12"/>
  <c r="C1002" i="12"/>
  <c r="C965" i="12"/>
  <c r="C983" i="12"/>
  <c r="C992" i="12"/>
  <c r="C1001" i="12"/>
  <c r="C964" i="12"/>
  <c r="C982" i="12"/>
  <c r="C991" i="12"/>
  <c r="C1000" i="12"/>
  <c r="C963" i="12"/>
  <c r="C981" i="12"/>
  <c r="C990" i="12"/>
  <c r="C999" i="12"/>
  <c r="C962" i="12"/>
  <c r="C980" i="12"/>
  <c r="C989" i="12"/>
  <c r="C998" i="12"/>
  <c r="C961" i="12"/>
  <c r="C979" i="12"/>
  <c r="C988" i="12"/>
  <c r="C997" i="12"/>
  <c r="C960" i="12"/>
  <c r="C978" i="12"/>
  <c r="C987" i="12"/>
  <c r="C996" i="12"/>
  <c r="C959" i="12"/>
  <c r="C977" i="12"/>
  <c r="C986" i="12"/>
  <c r="C995" i="12"/>
  <c r="C1012" i="12"/>
  <c r="C1021" i="12"/>
  <c r="C1011" i="12"/>
  <c r="C1020" i="12"/>
  <c r="C1010" i="12"/>
  <c r="C1019" i="12"/>
  <c r="C1009" i="12"/>
  <c r="C1018" i="12"/>
  <c r="C1008" i="12"/>
  <c r="C1017" i="12"/>
  <c r="C1007" i="12"/>
  <c r="C1016" i="12"/>
  <c r="C1006" i="12"/>
  <c r="C1015" i="12"/>
  <c r="C1005" i="12"/>
  <c r="C1014" i="12"/>
  <c r="C1004" i="12"/>
  <c r="C1013" i="12"/>
  <c r="C1144" i="12"/>
  <c r="C1143" i="12"/>
  <c r="C1142" i="12"/>
  <c r="C1141" i="12"/>
  <c r="C1140" i="12"/>
  <c r="C1139" i="12"/>
  <c r="C1138" i="12"/>
  <c r="C1137" i="12"/>
  <c r="C1136" i="12"/>
  <c r="C1060" i="12"/>
  <c r="C1059" i="12"/>
  <c r="C1058" i="12"/>
  <c r="C1057" i="12"/>
  <c r="C1056" i="12"/>
  <c r="C1055" i="12"/>
  <c r="C1054" i="12"/>
  <c r="C1053" i="12"/>
  <c r="C1052" i="12"/>
  <c r="C976" i="12"/>
  <c r="C975" i="12"/>
  <c r="C974" i="12"/>
  <c r="C973" i="12"/>
  <c r="C972" i="12"/>
  <c r="C971" i="12"/>
  <c r="C970" i="12"/>
  <c r="C969" i="12"/>
  <c r="C968" i="12"/>
  <c r="C801" i="12"/>
  <c r="C819" i="12"/>
  <c r="C837" i="12"/>
  <c r="C846" i="12"/>
  <c r="C855" i="12"/>
  <c r="C929" i="12"/>
  <c r="C802" i="12"/>
  <c r="C820" i="12"/>
  <c r="C838" i="12"/>
  <c r="C847" i="12"/>
  <c r="C856" i="12"/>
  <c r="C930" i="12"/>
  <c r="C803" i="12"/>
  <c r="C821" i="12"/>
  <c r="C839" i="12"/>
  <c r="C848" i="12"/>
  <c r="C857" i="12"/>
  <c r="C931" i="12"/>
  <c r="C804" i="12"/>
  <c r="C822" i="12"/>
  <c r="C840" i="12"/>
  <c r="C849" i="12"/>
  <c r="C858" i="12"/>
  <c r="C932" i="12"/>
  <c r="C805" i="12"/>
  <c r="C823" i="12"/>
  <c r="C841" i="12"/>
  <c r="C850" i="12"/>
  <c r="C859" i="12"/>
  <c r="C933" i="12"/>
  <c r="C806" i="12"/>
  <c r="C824" i="12"/>
  <c r="C842" i="12"/>
  <c r="C851" i="12"/>
  <c r="C860" i="12"/>
  <c r="C934" i="12"/>
  <c r="C807" i="12"/>
  <c r="C825" i="12"/>
  <c r="C843" i="12"/>
  <c r="C852" i="12"/>
  <c r="C861" i="12"/>
  <c r="C935" i="12"/>
  <c r="C808" i="12"/>
  <c r="C826" i="12"/>
  <c r="C844" i="12"/>
  <c r="C853" i="12"/>
  <c r="C862" i="12"/>
  <c r="C936" i="12"/>
  <c r="C800" i="12"/>
  <c r="C818" i="12"/>
  <c r="C836" i="12"/>
  <c r="C845" i="12"/>
  <c r="C854" i="12"/>
  <c r="C928" i="12"/>
  <c r="C864" i="12"/>
  <c r="C873" i="12"/>
  <c r="C920" i="12"/>
  <c r="C865" i="12"/>
  <c r="C874" i="12"/>
  <c r="C921" i="12"/>
  <c r="C866" i="12"/>
  <c r="C875" i="12"/>
  <c r="C922" i="12"/>
  <c r="C867" i="12"/>
  <c r="C876" i="12"/>
  <c r="C923" i="12"/>
  <c r="C868" i="12"/>
  <c r="C877" i="12"/>
  <c r="C924" i="12"/>
  <c r="C869" i="12"/>
  <c r="C878" i="12"/>
  <c r="C925" i="12"/>
  <c r="C870" i="12"/>
  <c r="C879" i="12"/>
  <c r="C926" i="12"/>
  <c r="C871" i="12"/>
  <c r="C880" i="12"/>
  <c r="C927" i="12"/>
  <c r="C863" i="12"/>
  <c r="C872" i="12"/>
  <c r="C919" i="12"/>
  <c r="C716" i="12"/>
  <c r="C734" i="12"/>
  <c r="C752" i="12"/>
  <c r="C761" i="12"/>
  <c r="C770" i="12"/>
  <c r="C910" i="12"/>
  <c r="C717" i="12"/>
  <c r="C735" i="12"/>
  <c r="C753" i="12"/>
  <c r="C762" i="12"/>
  <c r="C771" i="12"/>
  <c r="C911" i="12"/>
  <c r="C718" i="12"/>
  <c r="C736" i="12"/>
  <c r="C754" i="12"/>
  <c r="C763" i="12"/>
  <c r="C772" i="12"/>
  <c r="C912" i="12"/>
  <c r="C719" i="12"/>
  <c r="C737" i="12"/>
  <c r="C755" i="12"/>
  <c r="C764" i="12"/>
  <c r="C773" i="12"/>
  <c r="C913" i="12"/>
  <c r="C720" i="12"/>
  <c r="C738" i="12"/>
  <c r="C756" i="12"/>
  <c r="C765" i="12"/>
  <c r="C774" i="12"/>
  <c r="C914" i="12"/>
  <c r="C721" i="12"/>
  <c r="C739" i="12"/>
  <c r="C757" i="12"/>
  <c r="C766" i="12"/>
  <c r="C775" i="12"/>
  <c r="C915" i="12"/>
  <c r="C722" i="12"/>
  <c r="C740" i="12"/>
  <c r="C758" i="12"/>
  <c r="C767" i="12"/>
  <c r="C776" i="12"/>
  <c r="C916" i="12"/>
  <c r="C723" i="12"/>
  <c r="C741" i="12"/>
  <c r="C759" i="12"/>
  <c r="C768" i="12"/>
  <c r="C777" i="12"/>
  <c r="C917" i="12"/>
  <c r="C724" i="12"/>
  <c r="C742" i="12"/>
  <c r="C760" i="12"/>
  <c r="C769" i="12"/>
  <c r="C778" i="12"/>
  <c r="C918" i="12"/>
  <c r="C780" i="12"/>
  <c r="C789" i="12"/>
  <c r="C902" i="12"/>
  <c r="C781" i="12"/>
  <c r="C790" i="12"/>
  <c r="C903" i="12"/>
  <c r="C782" i="12"/>
  <c r="C791" i="12"/>
  <c r="C904" i="12"/>
  <c r="C783" i="12"/>
  <c r="C792" i="12"/>
  <c r="C905" i="12"/>
  <c r="C784" i="12"/>
  <c r="C793" i="12"/>
  <c r="C906" i="12"/>
  <c r="C785" i="12"/>
  <c r="C794" i="12"/>
  <c r="C907" i="12"/>
  <c r="C786" i="12"/>
  <c r="C795" i="12"/>
  <c r="C908" i="12"/>
  <c r="C787" i="12"/>
  <c r="C796" i="12"/>
  <c r="C909" i="12"/>
  <c r="C779" i="12"/>
  <c r="C788" i="12"/>
  <c r="C901" i="12"/>
  <c r="C632" i="12"/>
  <c r="C650" i="12"/>
  <c r="C668" i="12"/>
  <c r="C677" i="12"/>
  <c r="C686" i="12"/>
  <c r="C892" i="12"/>
  <c r="C695" i="12"/>
  <c r="C704" i="12"/>
  <c r="C883" i="12"/>
  <c r="C633" i="12"/>
  <c r="C651" i="12"/>
  <c r="C669" i="12"/>
  <c r="C678" i="12"/>
  <c r="C687" i="12"/>
  <c r="C893" i="12"/>
  <c r="C634" i="12"/>
  <c r="C652" i="12"/>
  <c r="C670" i="12"/>
  <c r="C679" i="12"/>
  <c r="C688" i="12"/>
  <c r="C894" i="12"/>
  <c r="C635" i="12"/>
  <c r="C653" i="12"/>
  <c r="C671" i="12"/>
  <c r="C680" i="12"/>
  <c r="C689" i="12"/>
  <c r="C895" i="12"/>
  <c r="C636" i="12"/>
  <c r="C654" i="12"/>
  <c r="C672" i="12"/>
  <c r="C681" i="12"/>
  <c r="C690" i="12"/>
  <c r="C896" i="12"/>
  <c r="C637" i="12"/>
  <c r="C655" i="12"/>
  <c r="C673" i="12"/>
  <c r="C682" i="12"/>
  <c r="C691" i="12"/>
  <c r="C897" i="12"/>
  <c r="C638" i="12"/>
  <c r="C656" i="12"/>
  <c r="C674" i="12"/>
  <c r="C683" i="12"/>
  <c r="C692" i="12"/>
  <c r="C898" i="12"/>
  <c r="C639" i="12"/>
  <c r="C657" i="12"/>
  <c r="C675" i="12"/>
  <c r="C684" i="12"/>
  <c r="C693" i="12"/>
  <c r="C899" i="12"/>
  <c r="C640" i="12"/>
  <c r="C658" i="12"/>
  <c r="C676" i="12"/>
  <c r="C685" i="12"/>
  <c r="C694" i="12"/>
  <c r="C900" i="12"/>
  <c r="C696" i="12"/>
  <c r="C705" i="12"/>
  <c r="C884" i="12"/>
  <c r="C697" i="12"/>
  <c r="C706" i="12"/>
  <c r="C885" i="12"/>
  <c r="C698" i="12"/>
  <c r="C707" i="12"/>
  <c r="C886" i="12"/>
  <c r="C699" i="12"/>
  <c r="C708" i="12"/>
  <c r="C887" i="12"/>
  <c r="C700" i="12"/>
  <c r="C709" i="12"/>
  <c r="C888" i="12"/>
  <c r="C701" i="12"/>
  <c r="C710" i="12"/>
  <c r="C889" i="12"/>
  <c r="C702" i="12"/>
  <c r="C711" i="12"/>
  <c r="C890" i="12"/>
  <c r="C703" i="12"/>
  <c r="C712" i="12"/>
  <c r="C891" i="12"/>
  <c r="C321" i="12"/>
  <c r="C339" i="12"/>
  <c r="C384" i="12"/>
  <c r="C393" i="12"/>
  <c r="C572" i="12"/>
  <c r="C490" i="12"/>
  <c r="C508" i="12"/>
  <c r="C526" i="12"/>
  <c r="C535" i="12"/>
  <c r="C544" i="12"/>
  <c r="C618" i="12"/>
  <c r="C491" i="12"/>
  <c r="C509" i="12"/>
  <c r="C527" i="12"/>
  <c r="C536" i="12"/>
  <c r="C545" i="12"/>
  <c r="C619" i="12"/>
  <c r="C492" i="12"/>
  <c r="C510" i="12"/>
  <c r="C528" i="12"/>
  <c r="C537" i="12"/>
  <c r="C546" i="12"/>
  <c r="C620" i="12"/>
  <c r="C493" i="12"/>
  <c r="C511" i="12"/>
  <c r="C529" i="12"/>
  <c r="C538" i="12"/>
  <c r="C547" i="12"/>
  <c r="C621" i="12"/>
  <c r="C494" i="12"/>
  <c r="C512" i="12"/>
  <c r="C530" i="12"/>
  <c r="C539" i="12"/>
  <c r="C548" i="12"/>
  <c r="C622" i="12"/>
  <c r="C495" i="12"/>
  <c r="C513" i="12"/>
  <c r="C531" i="12"/>
  <c r="C540" i="12"/>
  <c r="C549" i="12"/>
  <c r="C623" i="12"/>
  <c r="C496" i="12"/>
  <c r="C514" i="12"/>
  <c r="C532" i="12"/>
  <c r="C541" i="12"/>
  <c r="C550" i="12"/>
  <c r="C624" i="12"/>
  <c r="C497" i="12"/>
  <c r="C515" i="12"/>
  <c r="C533" i="12"/>
  <c r="C542" i="12"/>
  <c r="C551" i="12"/>
  <c r="C625" i="12"/>
  <c r="C489" i="12"/>
  <c r="C507" i="12"/>
  <c r="C525" i="12"/>
  <c r="C534" i="12"/>
  <c r="C543" i="12"/>
  <c r="C617" i="12"/>
  <c r="C406" i="12"/>
  <c r="C424" i="12"/>
  <c r="C442" i="12"/>
  <c r="C451" i="12"/>
  <c r="C460" i="12"/>
  <c r="C600" i="12"/>
  <c r="C407" i="12"/>
  <c r="C425" i="12"/>
  <c r="C443" i="12"/>
  <c r="C452" i="12"/>
  <c r="C461" i="12"/>
  <c r="C601" i="12"/>
  <c r="C408" i="12"/>
  <c r="C426" i="12"/>
  <c r="C444" i="12"/>
  <c r="C453" i="12"/>
  <c r="C462" i="12"/>
  <c r="C602" i="12"/>
  <c r="C409" i="12"/>
  <c r="C427" i="12"/>
  <c r="C445" i="12"/>
  <c r="C454" i="12"/>
  <c r="C463" i="12"/>
  <c r="C603" i="12"/>
  <c r="C410" i="12"/>
  <c r="C428" i="12"/>
  <c r="C446" i="12"/>
  <c r="C455" i="12"/>
  <c r="C464" i="12"/>
  <c r="C604" i="12"/>
  <c r="C411" i="12"/>
  <c r="C429" i="12"/>
  <c r="C447" i="12"/>
  <c r="C456" i="12"/>
  <c r="C465" i="12"/>
  <c r="C605" i="12"/>
  <c r="C412" i="12"/>
  <c r="C430" i="12"/>
  <c r="C448" i="12"/>
  <c r="C457" i="12"/>
  <c r="C466" i="12"/>
  <c r="C606" i="12"/>
  <c r="C413" i="12"/>
  <c r="C431" i="12"/>
  <c r="C449" i="12"/>
  <c r="C458" i="12"/>
  <c r="C467" i="12"/>
  <c r="C607" i="12"/>
  <c r="C405" i="12"/>
  <c r="C423" i="12"/>
  <c r="C441" i="12"/>
  <c r="C450" i="12"/>
  <c r="C459" i="12"/>
  <c r="C599" i="12"/>
  <c r="C322" i="12"/>
  <c r="C340" i="12"/>
  <c r="C358" i="12"/>
  <c r="C367" i="12"/>
  <c r="C376" i="12"/>
  <c r="C582" i="12"/>
  <c r="C323" i="12"/>
  <c r="C341" i="12"/>
  <c r="C359" i="12"/>
  <c r="C368" i="12"/>
  <c r="C377" i="12"/>
  <c r="C583" i="12"/>
  <c r="C324" i="12"/>
  <c r="C342" i="12"/>
  <c r="C360" i="12"/>
  <c r="C369" i="12"/>
  <c r="C378" i="12"/>
  <c r="C584" i="12"/>
  <c r="C325" i="12"/>
  <c r="C343" i="12"/>
  <c r="C361" i="12"/>
  <c r="C370" i="12"/>
  <c r="C379" i="12"/>
  <c r="C585" i="12"/>
  <c r="C326" i="12"/>
  <c r="C344" i="12"/>
  <c r="C362" i="12"/>
  <c r="C371" i="12"/>
  <c r="C380" i="12"/>
  <c r="C586" i="12"/>
  <c r="C327" i="12"/>
  <c r="C345" i="12"/>
  <c r="C363" i="12"/>
  <c r="C372" i="12"/>
  <c r="C381" i="12"/>
  <c r="C587" i="12"/>
  <c r="C328" i="12"/>
  <c r="C346" i="12"/>
  <c r="C364" i="12"/>
  <c r="C373" i="12"/>
  <c r="C382" i="12"/>
  <c r="C588" i="12"/>
  <c r="C329" i="12"/>
  <c r="C347" i="12"/>
  <c r="C365" i="12"/>
  <c r="C374" i="12"/>
  <c r="C383" i="12"/>
  <c r="C589" i="12"/>
  <c r="C357" i="12"/>
  <c r="C366" i="12"/>
  <c r="C375" i="12"/>
  <c r="C581" i="12"/>
  <c r="C553" i="12"/>
  <c r="C562" i="12"/>
  <c r="C609" i="12"/>
  <c r="C554" i="12"/>
  <c r="C563" i="12"/>
  <c r="C610" i="12"/>
  <c r="C555" i="12"/>
  <c r="C564" i="12"/>
  <c r="C611" i="12"/>
  <c r="C556" i="12"/>
  <c r="C565" i="12"/>
  <c r="C612" i="12"/>
  <c r="C557" i="12"/>
  <c r="C566" i="12"/>
  <c r="C613" i="12"/>
  <c r="C558" i="12"/>
  <c r="C567" i="12"/>
  <c r="C614" i="12"/>
  <c r="C559" i="12"/>
  <c r="C568" i="12"/>
  <c r="C615" i="12"/>
  <c r="C560" i="12"/>
  <c r="C569" i="12"/>
  <c r="C616" i="12"/>
  <c r="C552" i="12"/>
  <c r="C561" i="12"/>
  <c r="C608" i="12"/>
  <c r="C469" i="12"/>
  <c r="C478" i="12"/>
  <c r="C591" i="12"/>
  <c r="C470" i="12"/>
  <c r="C479" i="12"/>
  <c r="C592" i="12"/>
  <c r="C471" i="12"/>
  <c r="C480" i="12"/>
  <c r="C593" i="12"/>
  <c r="C472" i="12"/>
  <c r="C481" i="12"/>
  <c r="C594" i="12"/>
  <c r="C473" i="12"/>
  <c r="C482" i="12"/>
  <c r="C595" i="12"/>
  <c r="C474" i="12"/>
  <c r="C483" i="12"/>
  <c r="C596" i="12"/>
  <c r="C475" i="12"/>
  <c r="C484" i="12"/>
  <c r="C597" i="12"/>
  <c r="C476" i="12"/>
  <c r="C485" i="12"/>
  <c r="C598" i="12"/>
  <c r="C468" i="12"/>
  <c r="C477" i="12"/>
  <c r="C590" i="12"/>
  <c r="C835" i="12"/>
  <c r="C834" i="12"/>
  <c r="C833" i="12"/>
  <c r="C832" i="12"/>
  <c r="C831" i="12"/>
  <c r="C830" i="12"/>
  <c r="C829" i="12"/>
  <c r="C828" i="12"/>
  <c r="C827" i="12"/>
  <c r="C751" i="12"/>
  <c r="C750" i="12"/>
  <c r="C749" i="12"/>
  <c r="C748" i="12"/>
  <c r="C747" i="12"/>
  <c r="C746" i="12"/>
  <c r="C745" i="12"/>
  <c r="C744" i="12"/>
  <c r="C743" i="12"/>
  <c r="C667" i="12"/>
  <c r="C666" i="12"/>
  <c r="C665" i="12"/>
  <c r="C664" i="12"/>
  <c r="C663" i="12"/>
  <c r="C662" i="12"/>
  <c r="C661" i="12"/>
  <c r="C660" i="12"/>
  <c r="C659" i="12"/>
  <c r="C388" i="12"/>
  <c r="C397" i="12"/>
  <c r="C576" i="12"/>
  <c r="C385" i="12"/>
  <c r="C394" i="12"/>
  <c r="C573" i="12"/>
  <c r="C386" i="12"/>
  <c r="C395" i="12"/>
  <c r="C574" i="12"/>
  <c r="C387" i="12"/>
  <c r="C396" i="12"/>
  <c r="C575" i="12"/>
  <c r="C389" i="12"/>
  <c r="C398" i="12"/>
  <c r="C577" i="12"/>
  <c r="C390" i="12"/>
  <c r="C399" i="12"/>
  <c r="C578" i="12"/>
  <c r="C391" i="12"/>
  <c r="C400" i="12"/>
  <c r="C579" i="12"/>
  <c r="C392" i="12"/>
  <c r="C401" i="12"/>
  <c r="C580" i="12"/>
  <c r="C366" i="13"/>
  <c r="C359" i="13"/>
  <c r="C360" i="13"/>
  <c r="C361" i="13"/>
  <c r="C362" i="13"/>
  <c r="C363" i="13"/>
  <c r="C364" i="13"/>
  <c r="C365" i="13"/>
  <c r="C358" i="13"/>
  <c r="C341" i="13"/>
  <c r="C342" i="13"/>
  <c r="C343" i="13"/>
  <c r="C344" i="13"/>
  <c r="C345" i="13"/>
  <c r="C346" i="13"/>
  <c r="C347" i="13"/>
  <c r="C348" i="13"/>
  <c r="C340" i="13"/>
  <c r="C329" i="13"/>
  <c r="C330" i="13"/>
  <c r="C331" i="13"/>
  <c r="C332" i="13"/>
  <c r="C333" i="13"/>
  <c r="C334" i="13"/>
  <c r="C335" i="13"/>
  <c r="C336" i="13"/>
  <c r="C328" i="13"/>
  <c r="C311" i="13"/>
  <c r="C312" i="13"/>
  <c r="C313" i="13"/>
  <c r="C314" i="13"/>
  <c r="C315" i="13"/>
  <c r="C316" i="13"/>
  <c r="C317" i="13"/>
  <c r="C318" i="13"/>
  <c r="C310" i="13"/>
  <c r="C299" i="13"/>
  <c r="C300" i="13"/>
  <c r="C301" i="13"/>
  <c r="C302" i="13"/>
  <c r="C303" i="13"/>
  <c r="C304" i="13"/>
  <c r="C305" i="13"/>
  <c r="C306" i="13"/>
  <c r="C298" i="13"/>
  <c r="C281" i="13"/>
  <c r="C282" i="13"/>
  <c r="C283" i="13"/>
  <c r="C284" i="13"/>
  <c r="C285" i="13"/>
  <c r="C286" i="13"/>
  <c r="C287" i="13"/>
  <c r="C288" i="13"/>
  <c r="C279" i="13"/>
  <c r="C280" i="13"/>
  <c r="C357" i="13"/>
  <c r="C356" i="13"/>
  <c r="C355" i="13"/>
  <c r="C354" i="13"/>
  <c r="C353" i="13"/>
  <c r="C352" i="13"/>
  <c r="C351" i="13"/>
  <c r="C350" i="13"/>
  <c r="C349" i="13"/>
  <c r="C339" i="13"/>
  <c r="C327" i="13"/>
  <c r="C326" i="13"/>
  <c r="C325" i="13"/>
  <c r="C324" i="13"/>
  <c r="C323" i="13"/>
  <c r="C322" i="13"/>
  <c r="C321" i="13"/>
  <c r="C320" i="13"/>
  <c r="C319" i="13"/>
  <c r="C309" i="13"/>
  <c r="C297" i="13"/>
  <c r="C296" i="13"/>
  <c r="C295" i="13"/>
  <c r="C294" i="13"/>
  <c r="C293" i="13"/>
  <c r="C292" i="13"/>
  <c r="C291" i="13"/>
  <c r="C290" i="13"/>
  <c r="C289" i="13"/>
  <c r="C267" i="13"/>
  <c r="C268" i="13"/>
  <c r="C269" i="13"/>
  <c r="C270" i="13"/>
  <c r="C271" i="13"/>
  <c r="C272" i="13"/>
  <c r="C273" i="13"/>
  <c r="C274" i="13"/>
  <c r="C266" i="13"/>
  <c r="C249" i="13"/>
  <c r="C250" i="13"/>
  <c r="C251" i="13"/>
  <c r="C252" i="13"/>
  <c r="C253" i="13"/>
  <c r="C254" i="13"/>
  <c r="C255" i="13"/>
  <c r="C256" i="13"/>
  <c r="C248" i="13"/>
  <c r="C237" i="13"/>
  <c r="C238" i="13"/>
  <c r="C239" i="13"/>
  <c r="C240" i="13"/>
  <c r="C241" i="13"/>
  <c r="C242" i="13"/>
  <c r="C243" i="13"/>
  <c r="C244" i="13"/>
  <c r="C236" i="13"/>
  <c r="C219" i="13"/>
  <c r="C220" i="13"/>
  <c r="C221" i="13"/>
  <c r="C222" i="13"/>
  <c r="C223" i="13"/>
  <c r="C224" i="13"/>
  <c r="C225" i="13"/>
  <c r="C226" i="13"/>
  <c r="C218" i="13"/>
  <c r="C207" i="13"/>
  <c r="C208" i="13"/>
  <c r="C209" i="13"/>
  <c r="C210" i="13"/>
  <c r="C211" i="13"/>
  <c r="C212" i="13"/>
  <c r="C213" i="13"/>
  <c r="C214" i="13"/>
  <c r="C206" i="13"/>
  <c r="C189" i="13"/>
  <c r="C190" i="13"/>
  <c r="C191" i="13"/>
  <c r="C192" i="13"/>
  <c r="C193" i="13"/>
  <c r="C194" i="13"/>
  <c r="C195" i="13"/>
  <c r="C196" i="13"/>
  <c r="C188" i="13"/>
  <c r="C187" i="13"/>
  <c r="C265" i="13"/>
  <c r="C264" i="13"/>
  <c r="C263" i="13"/>
  <c r="C262" i="13"/>
  <c r="C261" i="13"/>
  <c r="C260" i="13"/>
  <c r="C259" i="13"/>
  <c r="C258" i="13"/>
  <c r="C257" i="13"/>
  <c r="C247" i="13"/>
  <c r="C235" i="13"/>
  <c r="C234" i="13"/>
  <c r="C233" i="13"/>
  <c r="C232" i="13"/>
  <c r="C231" i="13"/>
  <c r="C230" i="13"/>
  <c r="C229" i="13"/>
  <c r="C228" i="13"/>
  <c r="C227" i="13"/>
  <c r="C217" i="13"/>
  <c r="C205" i="13"/>
  <c r="C204" i="13"/>
  <c r="C203" i="13"/>
  <c r="C202" i="13"/>
  <c r="C201" i="13"/>
  <c r="C200" i="13"/>
  <c r="C199" i="13"/>
  <c r="C198" i="13"/>
  <c r="C197" i="13"/>
  <c r="C175" i="13"/>
  <c r="C176" i="13"/>
  <c r="C177" i="13"/>
  <c r="C178" i="13"/>
  <c r="C179" i="13"/>
  <c r="C180" i="13"/>
  <c r="C181" i="13"/>
  <c r="C182" i="13"/>
  <c r="C174" i="13"/>
  <c r="C164" i="13"/>
  <c r="C157" i="13"/>
  <c r="C158" i="13"/>
  <c r="C159" i="13"/>
  <c r="C160" i="13"/>
  <c r="C161" i="13"/>
  <c r="C162" i="13"/>
  <c r="C163" i="13"/>
  <c r="C156" i="13"/>
  <c r="C145" i="13"/>
  <c r="C146" i="13"/>
  <c r="C147" i="13"/>
  <c r="C148" i="13"/>
  <c r="C149" i="13"/>
  <c r="C150" i="13"/>
  <c r="C151" i="13"/>
  <c r="C152" i="13"/>
  <c r="C144" i="13"/>
  <c r="C127" i="13"/>
  <c r="C128" i="13"/>
  <c r="C129" i="13"/>
  <c r="C130" i="13"/>
  <c r="C131" i="13"/>
  <c r="C132" i="13"/>
  <c r="C133" i="13"/>
  <c r="C134" i="13"/>
  <c r="C126" i="13"/>
  <c r="C97" i="13"/>
  <c r="C98" i="13"/>
  <c r="C99" i="13"/>
  <c r="C100" i="13"/>
  <c r="C101" i="13"/>
  <c r="C102" i="13"/>
  <c r="C103" i="13"/>
  <c r="C104" i="13"/>
  <c r="C96" i="13"/>
  <c r="C95" i="13"/>
  <c r="C106" i="13"/>
  <c r="C115" i="13"/>
  <c r="C107" i="13"/>
  <c r="C116" i="13"/>
  <c r="C108" i="13"/>
  <c r="C117" i="13"/>
  <c r="C109" i="13"/>
  <c r="C118" i="13"/>
  <c r="C110" i="13"/>
  <c r="C119" i="13"/>
  <c r="C111" i="13"/>
  <c r="C120" i="13"/>
  <c r="C112" i="13"/>
  <c r="C121" i="13"/>
  <c r="C113" i="13"/>
  <c r="C122" i="13"/>
  <c r="C105" i="13"/>
  <c r="C114" i="13"/>
  <c r="C173" i="13"/>
  <c r="C172" i="13"/>
  <c r="C171" i="13"/>
  <c r="C170" i="13"/>
  <c r="C169" i="13"/>
  <c r="C168" i="13"/>
  <c r="C167" i="13"/>
  <c r="C166" i="13"/>
  <c r="C165" i="13"/>
  <c r="C155" i="13"/>
  <c r="C143" i="13"/>
  <c r="C142" i="13"/>
  <c r="C141" i="13"/>
  <c r="C140" i="13"/>
  <c r="C139" i="13"/>
  <c r="C138" i="13"/>
  <c r="C137" i="13"/>
  <c r="C136" i="13"/>
  <c r="C135" i="13"/>
  <c r="C125" i="13"/>
  <c r="C4" i="13"/>
  <c r="C524" i="12"/>
  <c r="C523" i="12"/>
  <c r="C522" i="12"/>
  <c r="C521" i="12"/>
  <c r="C520" i="12"/>
  <c r="C519" i="12"/>
  <c r="C518" i="12"/>
  <c r="C517" i="12"/>
  <c r="C516" i="12"/>
  <c r="C440" i="12"/>
  <c r="C439" i="12"/>
  <c r="C438" i="12"/>
  <c r="C437" i="12"/>
  <c r="C436" i="12"/>
  <c r="C435" i="12"/>
  <c r="C434" i="12"/>
  <c r="C433" i="12"/>
  <c r="C432" i="12"/>
  <c r="C356" i="12"/>
  <c r="C355" i="12"/>
  <c r="C354" i="12"/>
  <c r="C353" i="12"/>
  <c r="C352" i="12"/>
  <c r="C351" i="12"/>
  <c r="C350" i="12"/>
  <c r="C349" i="12"/>
  <c r="C348" i="12"/>
  <c r="C1249" i="12"/>
  <c r="C1248" i="12"/>
  <c r="C28" i="21"/>
  <c r="C23" i="21"/>
  <c r="C18" i="21"/>
  <c r="C30" i="21"/>
  <c r="C29" i="21"/>
  <c r="C31" i="21"/>
  <c r="C25" i="21"/>
  <c r="C24" i="21"/>
  <c r="C26" i="21"/>
  <c r="C20" i="21"/>
  <c r="C19" i="21"/>
  <c r="C21" i="21"/>
  <c r="C8" i="21"/>
  <c r="C9" i="21"/>
  <c r="C10" i="21"/>
  <c r="C29" i="12"/>
  <c r="C65" i="12"/>
  <c r="C47" i="12"/>
  <c r="C56" i="12"/>
  <c r="C271" i="12"/>
  <c r="C183" i="12"/>
  <c r="C201" i="12"/>
  <c r="C246" i="12"/>
  <c r="C255" i="12"/>
  <c r="C302" i="12"/>
  <c r="C99" i="12"/>
  <c r="C117" i="12"/>
  <c r="C162" i="12"/>
  <c r="C171" i="12"/>
  <c r="C284" i="12"/>
  <c r="C15" i="12"/>
  <c r="C33" i="12"/>
  <c r="C78" i="12"/>
  <c r="C87" i="12"/>
  <c r="C266" i="12"/>
  <c r="C187" i="12"/>
  <c r="C205" i="12"/>
  <c r="C241" i="12"/>
  <c r="C223" i="12"/>
  <c r="C232" i="12"/>
  <c r="C315" i="12"/>
  <c r="C186" i="12"/>
  <c r="C204" i="12"/>
  <c r="C240" i="12"/>
  <c r="C222" i="12"/>
  <c r="C231" i="12"/>
  <c r="C314" i="12"/>
  <c r="C185" i="12"/>
  <c r="C203" i="12"/>
  <c r="C239" i="12"/>
  <c r="C221" i="12"/>
  <c r="C230" i="12"/>
  <c r="C313" i="12"/>
  <c r="C184" i="12"/>
  <c r="C202" i="12"/>
  <c r="C238" i="12"/>
  <c r="C220" i="12"/>
  <c r="C229" i="12"/>
  <c r="C312" i="12"/>
  <c r="C237" i="12"/>
  <c r="C219" i="12"/>
  <c r="C228" i="12"/>
  <c r="C311" i="12"/>
  <c r="C182" i="12"/>
  <c r="C200" i="12"/>
  <c r="C236" i="12"/>
  <c r="C218" i="12"/>
  <c r="C227" i="12"/>
  <c r="C310" i="12"/>
  <c r="C181" i="12"/>
  <c r="C199" i="12"/>
  <c r="C235" i="12"/>
  <c r="C217" i="12"/>
  <c r="C226" i="12"/>
  <c r="C309" i="12"/>
  <c r="C180" i="12"/>
  <c r="C198" i="12"/>
  <c r="C234" i="12"/>
  <c r="C216" i="12"/>
  <c r="C225" i="12"/>
  <c r="C308" i="12"/>
  <c r="C179" i="12"/>
  <c r="C197" i="12"/>
  <c r="C233" i="12"/>
  <c r="C215" i="12"/>
  <c r="C224" i="12"/>
  <c r="C307" i="12"/>
  <c r="C153" i="12"/>
  <c r="C135" i="12"/>
  <c r="C144" i="12"/>
  <c r="C293" i="12"/>
  <c r="C69" i="12"/>
  <c r="C51" i="12"/>
  <c r="C60" i="12"/>
  <c r="C275" i="12"/>
  <c r="C35" i="8"/>
  <c r="C29" i="8"/>
  <c r="C22" i="8"/>
  <c r="C8" i="8"/>
  <c r="C28" i="8"/>
  <c r="C37" i="8"/>
  <c r="C38" i="8"/>
  <c r="C30" i="8"/>
  <c r="C31" i="8"/>
  <c r="C21" i="8"/>
  <c r="C23" i="8"/>
  <c r="C7" i="8"/>
  <c r="C9" i="8"/>
  <c r="C12" i="8"/>
  <c r="C24" i="8"/>
  <c r="C11" i="8"/>
  <c r="C13" i="8"/>
  <c r="C14" i="8"/>
  <c r="C15" i="8"/>
  <c r="C31" i="7"/>
  <c r="C32" i="7"/>
  <c r="C5" i="7"/>
  <c r="C41" i="7"/>
  <c r="C42" i="7"/>
  <c r="C37" i="7"/>
  <c r="C38" i="7"/>
  <c r="C33" i="7"/>
  <c r="C88" i="7"/>
  <c r="C90" i="7"/>
  <c r="C252" i="12"/>
  <c r="C243" i="12"/>
  <c r="C299" i="12"/>
  <c r="C253" i="12"/>
  <c r="C244" i="12"/>
  <c r="C300" i="12"/>
  <c r="C254" i="12"/>
  <c r="C245" i="12"/>
  <c r="C301" i="12"/>
  <c r="C256" i="12"/>
  <c r="C247" i="12"/>
  <c r="C303" i="12"/>
  <c r="C257" i="12"/>
  <c r="C248" i="12"/>
  <c r="C304" i="12"/>
  <c r="C258" i="12"/>
  <c r="C249" i="12"/>
  <c r="C305" i="12"/>
  <c r="C259" i="12"/>
  <c r="C250" i="12"/>
  <c r="C306" i="12"/>
  <c r="C251" i="12"/>
  <c r="C242" i="12"/>
  <c r="C298" i="12"/>
  <c r="C103" i="12"/>
  <c r="C121" i="12"/>
  <c r="C175" i="12"/>
  <c r="C166" i="12"/>
  <c r="C288" i="12"/>
  <c r="C102" i="12"/>
  <c r="C120" i="12"/>
  <c r="C174" i="12"/>
  <c r="C165" i="12"/>
  <c r="C287" i="12"/>
  <c r="C101" i="12"/>
  <c r="C119" i="12"/>
  <c r="C173" i="12"/>
  <c r="C164" i="12"/>
  <c r="C286" i="12"/>
  <c r="C100" i="12"/>
  <c r="C118" i="12"/>
  <c r="C172" i="12"/>
  <c r="C163" i="12"/>
  <c r="C285" i="12"/>
  <c r="C98" i="12"/>
  <c r="C116" i="12"/>
  <c r="C170" i="12"/>
  <c r="C161" i="12"/>
  <c r="C283" i="12"/>
  <c r="C97" i="12"/>
  <c r="C115" i="12"/>
  <c r="C169" i="12"/>
  <c r="C160" i="12"/>
  <c r="C282" i="12"/>
  <c r="C96" i="12"/>
  <c r="C114" i="12"/>
  <c r="C168" i="12"/>
  <c r="C159" i="12"/>
  <c r="C281" i="12"/>
  <c r="C95" i="12"/>
  <c r="C113" i="12"/>
  <c r="C167" i="12"/>
  <c r="C158" i="12"/>
  <c r="C280" i="12"/>
  <c r="C5" i="20"/>
  <c r="C41" i="20"/>
  <c r="C42" i="20"/>
  <c r="C4" i="20"/>
  <c r="C37" i="20"/>
  <c r="C38" i="20"/>
  <c r="C88" i="20"/>
  <c r="C90" i="20"/>
  <c r="C10" i="8"/>
  <c r="C83" i="12"/>
  <c r="C74" i="12"/>
  <c r="C262" i="12"/>
  <c r="C12" i="12"/>
  <c r="C30" i="12"/>
  <c r="C84" i="12"/>
  <c r="C75" i="12"/>
  <c r="C263" i="12"/>
  <c r="C13" i="12"/>
  <c r="C31" i="12"/>
  <c r="C85" i="12"/>
  <c r="C76" i="12"/>
  <c r="C264" i="12"/>
  <c r="C14" i="12"/>
  <c r="C32" i="12"/>
  <c r="C86" i="12"/>
  <c r="C77" i="12"/>
  <c r="C265" i="12"/>
  <c r="C16" i="12"/>
  <c r="C34" i="12"/>
  <c r="C88" i="12"/>
  <c r="C79" i="12"/>
  <c r="C267" i="12"/>
  <c r="C17" i="12"/>
  <c r="C35" i="12"/>
  <c r="C89" i="12"/>
  <c r="C80" i="12"/>
  <c r="C268" i="12"/>
  <c r="C18" i="12"/>
  <c r="C36" i="12"/>
  <c r="C90" i="12"/>
  <c r="C81" i="12"/>
  <c r="C269" i="12"/>
  <c r="C19" i="12"/>
  <c r="C37" i="12"/>
  <c r="C91" i="12"/>
  <c r="C82" i="12"/>
  <c r="C270" i="12"/>
  <c r="C20" i="7"/>
  <c r="C22" i="7"/>
  <c r="C19" i="7"/>
  <c r="C21" i="7"/>
  <c r="C23" i="7"/>
  <c r="C3" i="20"/>
  <c r="C20" i="20"/>
  <c r="C22" i="20"/>
  <c r="C19" i="20"/>
  <c r="C21" i="20"/>
  <c r="C23" i="20"/>
  <c r="C31" i="20"/>
  <c r="C33" i="20"/>
  <c r="C150" i="12"/>
  <c r="C132" i="12"/>
  <c r="C141" i="12"/>
  <c r="C290" i="12"/>
  <c r="C151" i="12"/>
  <c r="C133" i="12"/>
  <c r="C142" i="12"/>
  <c r="C291" i="12"/>
  <c r="C152" i="12"/>
  <c r="C134" i="12"/>
  <c r="C143" i="12"/>
  <c r="C292" i="12"/>
  <c r="C154" i="12"/>
  <c r="C136" i="12"/>
  <c r="C145" i="12"/>
  <c r="C294" i="12"/>
  <c r="C155" i="12"/>
  <c r="C137" i="12"/>
  <c r="C146" i="12"/>
  <c r="C295" i="12"/>
  <c r="C156" i="12"/>
  <c r="C138" i="12"/>
  <c r="C147" i="12"/>
  <c r="C296" i="12"/>
  <c r="C157" i="12"/>
  <c r="C139" i="12"/>
  <c r="C148" i="12"/>
  <c r="C297" i="12"/>
  <c r="C149" i="12"/>
  <c r="C131" i="12"/>
  <c r="C140" i="12"/>
  <c r="C289" i="12"/>
  <c r="C66" i="12"/>
  <c r="C48" i="12"/>
  <c r="C57" i="12"/>
  <c r="C272" i="12"/>
  <c r="C67" i="12"/>
  <c r="C49" i="12"/>
  <c r="C58" i="12"/>
  <c r="C273" i="12"/>
  <c r="C68" i="12"/>
  <c r="C50" i="12"/>
  <c r="C59" i="12"/>
  <c r="C274" i="12"/>
  <c r="C70" i="12"/>
  <c r="C52" i="12"/>
  <c r="C61" i="12"/>
  <c r="C276" i="12"/>
  <c r="C71" i="12"/>
  <c r="C53" i="12"/>
  <c r="C62" i="12"/>
  <c r="C277" i="12"/>
  <c r="C72" i="12"/>
  <c r="C54" i="12"/>
  <c r="C63" i="12"/>
  <c r="C278" i="12"/>
  <c r="C73" i="12"/>
  <c r="C55" i="12"/>
  <c r="C64" i="12"/>
  <c r="C279" i="12"/>
  <c r="C34" i="7"/>
  <c r="C106" i="7"/>
  <c r="C108" i="7"/>
  <c r="C109" i="7"/>
  <c r="C100" i="7"/>
  <c r="C102" i="7"/>
  <c r="C103" i="7"/>
  <c r="C94" i="7"/>
  <c r="C96" i="7"/>
  <c r="C97" i="7"/>
  <c r="C91" i="7"/>
  <c r="C34" i="20"/>
  <c r="C106" i="20"/>
  <c r="C108" i="20"/>
  <c r="C109" i="20"/>
  <c r="C100" i="20"/>
  <c r="C102" i="20"/>
  <c r="C103" i="20"/>
  <c r="C94" i="20"/>
  <c r="C96" i="20"/>
  <c r="C97" i="20"/>
  <c r="C91" i="20"/>
  <c r="C6" i="20"/>
  <c r="C7" i="20"/>
  <c r="C8" i="20"/>
  <c r="C9" i="20"/>
  <c r="C10" i="20"/>
  <c r="C11" i="20"/>
  <c r="C12" i="20"/>
  <c r="C13" i="20"/>
  <c r="C14" i="20"/>
  <c r="C15" i="20"/>
  <c r="C16" i="20"/>
  <c r="C15" i="21"/>
  <c r="C14" i="21"/>
  <c r="C12" i="21"/>
  <c r="C13" i="21"/>
  <c r="C11" i="21"/>
  <c r="C7" i="21"/>
  <c r="C76" i="20"/>
  <c r="C73" i="20"/>
  <c r="C81" i="20"/>
  <c r="C77" i="20"/>
  <c r="C74" i="20"/>
  <c r="C82" i="20"/>
  <c r="C78" i="20"/>
  <c r="C75" i="20"/>
  <c r="C83" i="20"/>
  <c r="C79" i="20"/>
  <c r="C84" i="20"/>
  <c r="C80" i="20"/>
  <c r="C85" i="20"/>
  <c r="C54" i="20"/>
  <c r="C55" i="20"/>
  <c r="C50" i="20"/>
  <c r="C51" i="20"/>
  <c r="C46" i="20"/>
  <c r="C47" i="20"/>
  <c r="C27" i="20"/>
  <c r="C32" i="20"/>
  <c r="C107" i="20"/>
  <c r="C28" i="20"/>
  <c r="C101" i="20"/>
  <c r="C61" i="20"/>
  <c r="C58" i="20"/>
  <c r="C66" i="20"/>
  <c r="C62" i="20"/>
  <c r="C59" i="20"/>
  <c r="C67" i="20"/>
  <c r="C63" i="20"/>
  <c r="C60" i="20"/>
  <c r="C68" i="20"/>
  <c r="C64" i="20"/>
  <c r="C69" i="20"/>
  <c r="C65" i="20"/>
  <c r="C70" i="20"/>
  <c r="C95" i="20"/>
  <c r="C89" i="20"/>
  <c r="C45" i="20"/>
  <c r="R15" i="20"/>
  <c r="P15" i="20"/>
  <c r="O15" i="20"/>
  <c r="R14" i="20"/>
  <c r="P14" i="20"/>
  <c r="O14" i="20"/>
  <c r="R13" i="20"/>
  <c r="P13" i="20"/>
  <c r="O13" i="20"/>
  <c r="R12" i="20"/>
  <c r="P12" i="20"/>
  <c r="O12" i="20"/>
  <c r="R11" i="20"/>
  <c r="P11" i="20"/>
  <c r="O11" i="20"/>
  <c r="R10" i="20"/>
  <c r="P10" i="20"/>
  <c r="O10" i="20"/>
  <c r="R9" i="20"/>
  <c r="P9" i="20"/>
  <c r="O9" i="20"/>
  <c r="R8" i="20"/>
  <c r="P8" i="20"/>
  <c r="O8" i="20"/>
  <c r="R7" i="20"/>
  <c r="P7" i="20"/>
  <c r="O7" i="20"/>
  <c r="R6" i="20"/>
  <c r="P6" i="20"/>
  <c r="O6" i="20"/>
  <c r="R5" i="20"/>
  <c r="P5" i="20"/>
  <c r="O5" i="20"/>
  <c r="R3" i="20"/>
  <c r="R4" i="20"/>
  <c r="P3" i="20"/>
  <c r="P4" i="20"/>
  <c r="O3" i="20"/>
  <c r="O4" i="20"/>
  <c r="R2" i="20"/>
  <c r="P2" i="20"/>
  <c r="O2" i="20"/>
  <c r="C6" i="6"/>
  <c r="P4" i="12"/>
  <c r="C3" i="13"/>
  <c r="C54" i="7"/>
  <c r="C55" i="7"/>
  <c r="C24" i="6"/>
  <c r="C27" i="6"/>
  <c r="C28" i="7"/>
  <c r="C89" i="7"/>
  <c r="C5" i="13"/>
  <c r="C6" i="13"/>
  <c r="C7" i="13"/>
  <c r="C8" i="13"/>
  <c r="C9" i="13"/>
  <c r="C10" i="13"/>
  <c r="C11" i="13"/>
  <c r="C12" i="13"/>
  <c r="C33" i="13"/>
  <c r="C34" i="13"/>
  <c r="C35" i="13"/>
  <c r="C36" i="13"/>
  <c r="C37" i="13"/>
  <c r="C38" i="13"/>
  <c r="C39" i="13"/>
  <c r="C40" i="13"/>
  <c r="C41" i="13"/>
  <c r="C42" i="13"/>
  <c r="C63" i="13"/>
  <c r="C64" i="13"/>
  <c r="C65" i="13"/>
  <c r="C66" i="13"/>
  <c r="C67" i="13"/>
  <c r="C68" i="13"/>
  <c r="C69" i="13"/>
  <c r="C70" i="13"/>
  <c r="C71" i="13"/>
  <c r="C72" i="13"/>
  <c r="C101" i="7"/>
  <c r="C66" i="6"/>
  <c r="C68" i="6"/>
  <c r="C12" i="7"/>
  <c r="C8" i="7"/>
  <c r="C9" i="7"/>
  <c r="C27" i="7"/>
  <c r="C50" i="7"/>
  <c r="C51" i="7"/>
  <c r="C61" i="7"/>
  <c r="C14" i="7"/>
  <c r="C58" i="7"/>
  <c r="C66" i="7"/>
  <c r="C62" i="7"/>
  <c r="C15" i="7"/>
  <c r="C59" i="7"/>
  <c r="C67" i="7"/>
  <c r="C63" i="7"/>
  <c r="C16" i="7"/>
  <c r="C60" i="7"/>
  <c r="C68" i="7"/>
  <c r="C64" i="7"/>
  <c r="C69" i="7"/>
  <c r="C65" i="7"/>
  <c r="C13" i="7"/>
  <c r="C70" i="7"/>
  <c r="C46" i="7"/>
  <c r="C47" i="7"/>
  <c r="C74" i="13"/>
  <c r="C75" i="13"/>
  <c r="C76" i="13"/>
  <c r="C77" i="13"/>
  <c r="C78" i="13"/>
  <c r="C79" i="13"/>
  <c r="C80" i="13"/>
  <c r="C81" i="13"/>
  <c r="C73" i="13"/>
  <c r="C83" i="13"/>
  <c r="C84" i="13"/>
  <c r="C85" i="13"/>
  <c r="C86" i="13"/>
  <c r="C87" i="13"/>
  <c r="C88" i="13"/>
  <c r="C89" i="13"/>
  <c r="C90" i="13"/>
  <c r="C82" i="13"/>
  <c r="C44" i="13"/>
  <c r="C53" i="13"/>
  <c r="C45" i="13"/>
  <c r="C54" i="13"/>
  <c r="C46" i="13"/>
  <c r="C55" i="13"/>
  <c r="C47" i="13"/>
  <c r="C56" i="13"/>
  <c r="C48" i="13"/>
  <c r="C57" i="13"/>
  <c r="C49" i="13"/>
  <c r="C58" i="13"/>
  <c r="C50" i="13"/>
  <c r="C59" i="13"/>
  <c r="C51" i="13"/>
  <c r="C60" i="13"/>
  <c r="C43" i="13"/>
  <c r="C52" i="13"/>
  <c r="C14" i="13"/>
  <c r="C23" i="13"/>
  <c r="C15" i="13"/>
  <c r="C24" i="13"/>
  <c r="C16" i="13"/>
  <c r="C25" i="13"/>
  <c r="C17" i="13"/>
  <c r="C26" i="13"/>
  <c r="C18" i="13"/>
  <c r="C27" i="13"/>
  <c r="C19" i="13"/>
  <c r="C28" i="13"/>
  <c r="C20" i="13"/>
  <c r="C29" i="13"/>
  <c r="C21" i="13"/>
  <c r="C30" i="13"/>
  <c r="C13" i="13"/>
  <c r="C22" i="13"/>
  <c r="C214" i="12"/>
  <c r="C213" i="12"/>
  <c r="C212" i="12"/>
  <c r="C211" i="12"/>
  <c r="C210" i="12"/>
  <c r="C209" i="12"/>
  <c r="C208" i="12"/>
  <c r="C207" i="12"/>
  <c r="C206" i="12"/>
  <c r="C39" i="12"/>
  <c r="C38" i="12"/>
  <c r="C40" i="12"/>
  <c r="C41" i="12"/>
  <c r="C42" i="12"/>
  <c r="C43" i="12"/>
  <c r="C44" i="12"/>
  <c r="C45" i="12"/>
  <c r="C46" i="12"/>
  <c r="C12" i="6"/>
  <c r="C1270" i="12"/>
  <c r="C1274" i="12"/>
  <c r="C1272" i="12"/>
  <c r="C1273" i="12"/>
  <c r="C1295" i="12"/>
  <c r="C122" i="12"/>
  <c r="C123" i="12"/>
  <c r="C124" i="12"/>
  <c r="C125" i="12"/>
  <c r="C126" i="12"/>
  <c r="C127" i="12"/>
  <c r="C128" i="12"/>
  <c r="C129" i="12"/>
  <c r="C130" i="12"/>
  <c r="C1252" i="12"/>
  <c r="C1258" i="12"/>
  <c r="C1260" i="12"/>
  <c r="C1261" i="12"/>
  <c r="C1259" i="12"/>
  <c r="C1262" i="12"/>
  <c r="C1263" i="12"/>
  <c r="C1264" i="12"/>
  <c r="C1271" i="12"/>
  <c r="G11" i="19"/>
  <c r="F11" i="19"/>
  <c r="E11" i="19"/>
  <c r="D11" i="19"/>
  <c r="G10" i="19"/>
  <c r="F10" i="19"/>
  <c r="E10" i="19"/>
  <c r="D10" i="19"/>
  <c r="G9" i="19"/>
  <c r="F9" i="19"/>
  <c r="E9" i="19"/>
  <c r="D9" i="19"/>
  <c r="G8" i="19"/>
  <c r="F8" i="19"/>
  <c r="E8" i="19"/>
  <c r="D8" i="19"/>
  <c r="G7" i="19"/>
  <c r="F7" i="19"/>
  <c r="E7" i="19"/>
  <c r="D7" i="19"/>
  <c r="G6" i="19"/>
  <c r="F6" i="19"/>
  <c r="E6" i="19"/>
  <c r="D6" i="19"/>
  <c r="G5" i="19"/>
  <c r="F5" i="19"/>
  <c r="E5" i="19"/>
  <c r="D5" i="19"/>
  <c r="G4" i="19"/>
  <c r="F4" i="19"/>
  <c r="E4" i="19"/>
  <c r="D4" i="19"/>
  <c r="G3" i="19"/>
  <c r="F3" i="19"/>
  <c r="E3" i="19"/>
  <c r="D3" i="19"/>
  <c r="C34" i="6"/>
  <c r="C7" i="6"/>
  <c r="C10" i="6"/>
  <c r="C33" i="6"/>
  <c r="C37" i="6"/>
  <c r="C28" i="6"/>
  <c r="C36" i="6"/>
  <c r="C35" i="6"/>
  <c r="C38" i="6"/>
  <c r="C9" i="6"/>
  <c r="C11" i="6"/>
  <c r="C4" i="9"/>
  <c r="C7" i="9"/>
  <c r="C17" i="9"/>
  <c r="C49" i="9"/>
  <c r="C39" i="9"/>
  <c r="M25" i="9"/>
  <c r="M26" i="9"/>
  <c r="C23" i="6"/>
  <c r="C1282" i="12"/>
  <c r="C1390" i="12"/>
  <c r="C1378" i="12"/>
  <c r="C1366" i="12"/>
  <c r="C1392" i="12"/>
  <c r="C1393" i="12"/>
  <c r="C1394" i="12"/>
  <c r="C1404" i="12"/>
  <c r="C1380" i="12"/>
  <c r="C1381" i="12"/>
  <c r="C1382" i="12"/>
  <c r="C1403" i="12"/>
  <c r="C1368" i="12"/>
  <c r="C1369" i="12"/>
  <c r="C1370" i="12"/>
  <c r="C1402" i="12"/>
  <c r="C1395" i="12"/>
  <c r="C1396" i="12"/>
  <c r="C1401" i="12"/>
  <c r="C1383" i="12"/>
  <c r="C1384" i="12"/>
  <c r="C1400" i="12"/>
  <c r="C1371" i="12"/>
  <c r="C1372" i="12"/>
  <c r="C1399" i="12"/>
  <c r="C1391" i="12"/>
  <c r="C1379" i="12"/>
  <c r="C1367" i="12"/>
  <c r="C1360" i="12"/>
  <c r="C1357" i="12"/>
  <c r="C1324" i="12"/>
  <c r="C1336" i="12"/>
  <c r="C1312" i="12"/>
  <c r="C1338" i="12"/>
  <c r="C1339" i="12"/>
  <c r="C1340" i="12"/>
  <c r="C1350" i="12"/>
  <c r="C1326" i="12"/>
  <c r="C1327" i="12"/>
  <c r="C1328" i="12"/>
  <c r="C1349" i="12"/>
  <c r="C1314" i="12"/>
  <c r="C1315" i="12"/>
  <c r="C1316" i="12"/>
  <c r="C1348" i="12"/>
  <c r="C1341" i="12"/>
  <c r="C1342" i="12"/>
  <c r="C1347" i="12"/>
  <c r="C1329" i="12"/>
  <c r="C1330" i="12"/>
  <c r="C1346" i="12"/>
  <c r="C1317" i="12"/>
  <c r="C1318" i="12"/>
  <c r="C1345" i="12"/>
  <c r="C1337" i="12"/>
  <c r="C1325" i="12"/>
  <c r="C1313" i="12"/>
  <c r="C1306" i="12"/>
  <c r="C1303" i="12"/>
  <c r="C1275" i="12"/>
  <c r="C1276" i="12"/>
  <c r="C1284" i="12"/>
  <c r="C1285" i="12"/>
  <c r="C1283" i="12"/>
  <c r="C1286" i="12"/>
  <c r="C1287" i="12"/>
  <c r="C1288" i="12"/>
  <c r="C1291" i="12"/>
  <c r="C1292" i="12"/>
  <c r="C1293" i="12"/>
  <c r="C1294" i="12"/>
  <c r="C1296" i="12"/>
  <c r="C17" i="6"/>
  <c r="C15" i="6"/>
  <c r="R15" i="7"/>
  <c r="R14" i="7"/>
  <c r="R13" i="7"/>
  <c r="R12" i="7"/>
  <c r="R11" i="7"/>
  <c r="R10" i="7"/>
  <c r="R9" i="7"/>
  <c r="R8" i="7"/>
  <c r="R7" i="7"/>
  <c r="R6" i="7"/>
  <c r="R5" i="7"/>
  <c r="R3" i="7"/>
  <c r="R4" i="7"/>
  <c r="R2" i="7"/>
  <c r="P15" i="7"/>
  <c r="P14" i="7"/>
  <c r="P13" i="7"/>
  <c r="P12" i="7"/>
  <c r="P11" i="7"/>
  <c r="P10" i="7"/>
  <c r="P9" i="7"/>
  <c r="P8" i="7"/>
  <c r="P7" i="7"/>
  <c r="P6" i="7"/>
  <c r="P5" i="7"/>
  <c r="P3" i="7"/>
  <c r="P4" i="7"/>
  <c r="P2" i="7"/>
  <c r="O8" i="7"/>
  <c r="O15" i="7"/>
  <c r="O14" i="7"/>
  <c r="O13" i="7"/>
  <c r="O12" i="7"/>
  <c r="O11" i="7"/>
  <c r="O10" i="7"/>
  <c r="O9" i="7"/>
  <c r="O7" i="7"/>
  <c r="O6" i="7"/>
  <c r="O5" i="7"/>
  <c r="O3" i="7"/>
  <c r="O4" i="7"/>
  <c r="O2" i="7"/>
  <c r="C18" i="9"/>
  <c r="C19" i="9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95" i="7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29" i="9"/>
  <c r="C41" i="9"/>
  <c r="C61" i="6"/>
  <c r="C62" i="6"/>
  <c r="C45" i="7"/>
  <c r="C16" i="6"/>
  <c r="H15" i="6"/>
  <c r="C48" i="9"/>
  <c r="C47" i="9"/>
  <c r="C65" i="6"/>
  <c r="C67" i="6"/>
  <c r="C51" i="9"/>
  <c r="C50" i="9"/>
  <c r="C60" i="6"/>
  <c r="C30" i="6"/>
</calcChain>
</file>

<file path=xl/sharedStrings.xml><?xml version="1.0" encoding="utf-8"?>
<sst xmlns="http://schemas.openxmlformats.org/spreadsheetml/2006/main" count="12518" uniqueCount="582">
  <si>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</si>
  <si>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</si>
  <si>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</si>
  <si>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</si>
  <si>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</si>
  <si>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Parameter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</si>
  <si>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</si>
  <si>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</si>
  <si>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</si>
  <si>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</si>
  <si>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</si>
  <si>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</si>
  <si>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</si>
  <si>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</si>
  <si>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</si>
  <si>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</si>
  <si>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</si>
  <si>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</si>
  <si>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</si>
  <si>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</si>
  <si>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</si>
  <si>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</si>
  <si>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</si>
  <si>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</si>
  <si>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</si>
  <si>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</si>
  <si>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</si>
  <si>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</si>
  <si>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</si>
  <si>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</si>
  <si>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</si>
  <si>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</si>
  <si>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</si>
  <si>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</si>
  <si>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</si>
  <si>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</si>
  <si>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</si>
  <si>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</si>
  <si>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</si>
  <si>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</si>
  <si>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</si>
  <si>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</si>
  <si>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</si>
  <si>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AR = b2/S : b/2 = 2.5Cr</t>
  </si>
  <si>
    <t>alpha</t>
  </si>
  <si>
    <t>48000ft</t>
  </si>
  <si>
    <t>49000ft</t>
  </si>
  <si>
    <t>Root Tail Chord Length [Cr_t]</t>
  </si>
  <si>
    <t>Calcuation</t>
  </si>
  <si>
    <t>Cr_t = W_t/W_w*Cr</t>
  </si>
  <si>
    <t>Torenbeek Weight Assumptions for similar Aircraft</t>
  </si>
  <si>
    <t>Superosonic Cruise Mach Range</t>
  </si>
  <si>
    <t>1.6 - 1.8</t>
  </si>
  <si>
    <t>Mean Aerodynamic Chord [MAC]</t>
  </si>
  <si>
    <t>unitless</t>
  </si>
  <si>
    <t>Mean Tail Chord</t>
  </si>
  <si>
    <t>Subsonic Cruise Mach Range</t>
  </si>
  <si>
    <t>0.9-0.95</t>
  </si>
  <si>
    <t>Tip Chord Length [Ct]</t>
  </si>
  <si>
    <t>1/hr</t>
  </si>
  <si>
    <t>BruinJet BJ205 Performance Data</t>
  </si>
  <si>
    <t>Altitude (ft)</t>
  </si>
  <si>
    <t>Maximum Operating Mach Number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</si>
  <si>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</si>
  <si>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</si>
  <si>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</si>
  <si>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</si>
  <si>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</si>
  <si>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</si>
  <si>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</si>
  <si>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</si>
  <si>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</si>
  <si>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</si>
  <si>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</si>
  <si>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</si>
  <si>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</si>
  <si>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</si>
  <si>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</si>
  <si>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</si>
  <si>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</si>
  <si>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</si>
  <si>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</si>
  <si>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</si>
  <si>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</si>
  <si>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</si>
  <si>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</si>
  <si>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</si>
  <si>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</si>
  <si>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</si>
  <si>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</si>
  <si>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</si>
  <si>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</si>
  <si>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</si>
  <si>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</si>
  <si>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</si>
  <si>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</si>
  <si>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</si>
  <si>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</si>
  <si>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</si>
  <si>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</si>
  <si>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</si>
  <si>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</si>
  <si>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</si>
  <si>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</si>
  <si>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</si>
  <si>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</si>
  <si>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</si>
  <si>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</si>
  <si>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</si>
  <si>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</si>
  <si>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</si>
  <si>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</si>
  <si>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</si>
  <si>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</si>
  <si>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</si>
  <si>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</si>
  <si>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</si>
  <si>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</si>
  <si>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</si>
  <si>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</si>
  <si>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</si>
  <si>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</si>
  <si>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</si>
  <si>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</si>
  <si>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</si>
  <si>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</si>
  <si>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</si>
  <si>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</si>
  <si>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</si>
  <si>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</si>
  <si>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</si>
  <si>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</si>
  <si>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</si>
  <si>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</si>
  <si>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</si>
  <si>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</si>
  <si>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</si>
  <si>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</si>
  <si>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</si>
  <si>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</si>
  <si>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</si>
  <si>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</si>
  <si>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</si>
  <si>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</si>
  <si>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</si>
  <si>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</si>
  <si>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</si>
  <si>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</si>
  <si>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</si>
  <si>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</si>
  <si>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</si>
  <si>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</si>
  <si>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</si>
  <si>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</si>
  <si>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</si>
  <si>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</si>
  <si>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</si>
  <si>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</si>
  <si>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</si>
  <si>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</si>
  <si>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</si>
  <si>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</si>
  <si>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</si>
  <si>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</si>
  <si>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</si>
  <si>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</si>
  <si>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</si>
  <si>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</si>
  <si>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</si>
  <si>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</si>
  <si>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</si>
  <si>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</si>
  <si>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</si>
  <si>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</si>
  <si>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</si>
  <si>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</si>
  <si>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</si>
  <si>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</si>
  <si>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</si>
  <si>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</si>
  <si>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</si>
  <si>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</si>
  <si>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</si>
  <si>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</si>
  <si>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</si>
  <si>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</si>
  <si>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</si>
  <si>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</si>
  <si>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</si>
  <si>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</si>
  <si>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</si>
  <si>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</si>
  <si>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</si>
  <si>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</si>
  <si>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</si>
  <si>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</si>
  <si>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</si>
  <si>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</si>
  <si>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</si>
  <si>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</si>
  <si>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</si>
  <si>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</si>
  <si>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</si>
  <si>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</si>
  <si>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</si>
  <si>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</si>
  <si>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</si>
  <si>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</si>
  <si>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</si>
  <si>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</si>
  <si>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</si>
  <si>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</si>
  <si>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</si>
  <si>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</si>
  <si>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</si>
  <si>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</si>
  <si>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</si>
  <si>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</si>
  <si>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</si>
  <si>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</si>
  <si>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</si>
  <si>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</si>
  <si>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</si>
  <si>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</si>
  <si>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</si>
  <si>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</si>
  <si>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</si>
  <si>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</si>
  <si>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</si>
  <si>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</si>
  <si>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</si>
  <si>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</si>
  <si>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</si>
  <si>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</si>
  <si>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</si>
  <si>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</si>
  <si>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</si>
  <si>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</si>
  <si>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</si>
  <si>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</si>
  <si>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</si>
  <si>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</si>
  <si>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</si>
  <si>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</si>
  <si>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</si>
  <si>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</si>
  <si>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</si>
  <si>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</si>
  <si>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</si>
  <si>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</si>
  <si>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</si>
  <si>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</si>
  <si>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</si>
  <si>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</si>
  <si>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</si>
  <si>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</si>
  <si>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</si>
  <si>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</si>
  <si>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</si>
  <si>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</si>
  <si>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</si>
  <si>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</si>
  <si>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</si>
  <si>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</si>
  <si>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</si>
  <si>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</si>
  <si>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</si>
  <si>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</si>
  <si>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</si>
  <si>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</si>
  <si>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</si>
  <si>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</si>
  <si>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</si>
  <si>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</si>
  <si>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</si>
  <si>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</si>
  <si>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</si>
  <si>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</si>
  <si>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</si>
  <si>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</si>
  <si>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</si>
  <si>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</si>
  <si>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</si>
  <si>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</si>
  <si>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</si>
  <si>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</si>
  <si>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</si>
  <si>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</si>
  <si>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</si>
  <si>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</si>
  <si>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</si>
  <si>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</si>
  <si>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</si>
  <si>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</si>
  <si>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</si>
  <si>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</si>
  <si>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</si>
  <si>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</si>
  <si>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</si>
  <si>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</si>
  <si>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</si>
  <si>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</si>
  <si>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</si>
  <si>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</si>
  <si>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</si>
  <si>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</si>
  <si>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</si>
  <si>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</si>
  <si>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</si>
  <si>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</si>
  <si>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</si>
  <si>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</si>
  <si>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</si>
  <si>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</si>
  <si>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</si>
  <si>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</si>
  <si>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</si>
  <si>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</si>
  <si>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</si>
  <si>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</si>
  <si>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</si>
  <si>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</si>
  <si>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</si>
  <si>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</si>
  <si>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</si>
  <si>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</si>
  <si>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</si>
  <si>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</si>
  <si>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</si>
  <si>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</si>
  <si>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</si>
  <si>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</si>
  <si>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</si>
  <si>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</si>
  <si>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</si>
  <si>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</si>
  <si>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</si>
  <si>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</si>
  <si>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</si>
  <si>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</si>
  <si>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</si>
  <si>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</si>
  <si>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</si>
  <si>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</si>
  <si>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</si>
  <si>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</si>
  <si>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</si>
  <si>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</si>
  <si>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</si>
  <si>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</si>
  <si>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</si>
  <si>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</si>
  <si>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</si>
  <si>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</si>
  <si>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</si>
  <si>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</si>
  <si>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</si>
  <si>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</si>
  <si>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</si>
  <si>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</si>
  <si>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</si>
  <si>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</si>
  <si>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</si>
  <si>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</si>
  <si>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</si>
  <si>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</si>
  <si>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</si>
  <si>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</si>
  <si>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</si>
  <si>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</si>
  <si>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</si>
  <si>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</si>
  <si>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</si>
  <si>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</si>
  <si>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</si>
  <si>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</si>
  <si>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</si>
  <si>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</si>
  <si>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</si>
  <si>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</si>
  <si>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</si>
  <si>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</si>
  <si>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</si>
  <si>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</si>
  <si>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</si>
  <si>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</si>
  <si>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</si>
  <si>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</si>
  <si>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</si>
  <si>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</si>
  <si>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</si>
  <si>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</si>
  <si>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</si>
  <si>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</si>
  <si>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</si>
  <si>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</si>
  <si>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</si>
  <si>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</si>
  <si>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</si>
  <si>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</si>
  <si>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</si>
  <si>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</si>
  <si>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</si>
  <si>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</si>
  <si>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</si>
  <si>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</si>
  <si>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</si>
  <si>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</si>
  <si>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</si>
  <si>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</si>
  <si>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</si>
  <si>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</si>
  <si>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</si>
  <si>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</si>
  <si>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</si>
  <si>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</si>
  <si>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</si>
  <si>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</si>
  <si>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</si>
  <si>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</si>
  <si>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</si>
  <si>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</si>
  <si>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</si>
  <si>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</si>
  <si>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</si>
  <si>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</si>
  <si>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</si>
  <si>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</si>
  <si>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</si>
  <si>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</si>
  <si>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</si>
  <si>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</si>
  <si>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</si>
  <si>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</si>
  <si>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</si>
  <si>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</si>
  <si>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</si>
  <si>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</si>
  <si>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</si>
  <si>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</si>
  <si>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</si>
  <si>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</si>
  <si>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</si>
  <si>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</si>
  <si>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</si>
  <si>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</si>
  <si>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</si>
  <si>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</si>
  <si>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</si>
  <si>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</si>
  <si>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</si>
  <si>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</si>
  <si>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</si>
  <si>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</si>
  <si>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</si>
  <si>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</si>
  <si>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</si>
  <si>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</si>
  <si>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</si>
  <si>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</si>
  <si>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</si>
  <si>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</si>
  <si>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</si>
  <si>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</si>
  <si>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</si>
  <si>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</si>
  <si>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</si>
  <si>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</si>
  <si>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</si>
  <si>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</si>
  <si>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</si>
  <si>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</si>
  <si>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</si>
  <si>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</si>
  <si>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</si>
  <si>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</si>
  <si>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</si>
  <si>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</si>
  <si>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</si>
  <si>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</si>
  <si>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</si>
  <si>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</si>
  <si>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</si>
  <si>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</si>
  <si>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</si>
  <si>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</si>
  <si>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</si>
  <si>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</si>
  <si>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</si>
  <si>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</si>
  <si>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</si>
  <si>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</si>
  <si>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</si>
  <si>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</si>
  <si>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</si>
  <si>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</si>
  <si>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Moment Coefficient and Derivatives: Loading Condition 1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</si>
  <si>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</si>
  <si>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</si>
  <si>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</si>
  <si>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</si>
  <si>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</si>
  <si>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</si>
  <si>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</si>
  <si>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</si>
  <si>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</si>
  <si>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</si>
  <si>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</si>
  <si>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Loading Condition 2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</si>
  <si>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</si>
  <si>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</si>
  <si>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</si>
  <si>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</si>
  <si>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</si>
  <si>
    <t>Input Parameter now</t>
  </si>
  <si>
    <t>up</t>
  </si>
  <si>
    <t>Weight</t>
  </si>
  <si>
    <t xml:space="preserve">Estimate </t>
  </si>
  <si>
    <t>N/A</t>
  </si>
  <si>
    <t>Sample SSBJ</t>
  </si>
  <si>
    <t>C_L</t>
  </si>
  <si>
    <t>Mach 1.6</t>
  </si>
  <si>
    <t>Paraiste Drag at 41,000</t>
  </si>
  <si>
    <t>D_p</t>
  </si>
  <si>
    <t>Lukas Calc</t>
  </si>
  <si>
    <t>Ask Lukas</t>
  </si>
  <si>
    <t>Lukas</t>
  </si>
  <si>
    <t>Mach 1.7</t>
  </si>
  <si>
    <t>Density (rho)</t>
  </si>
  <si>
    <t>Temperature
 (T)</t>
  </si>
  <si>
    <t>Dynamic Pressue
 (q) Mach  1.6</t>
  </si>
  <si>
    <t>Dynamic Pressue
 (q) MAch 1.7</t>
  </si>
  <si>
    <t>Dynamic Pressue
 (q) Mach 1.8</t>
  </si>
  <si>
    <t>Dynamic Viscosity
 (mu) lbs/ft^2</t>
  </si>
  <si>
    <t>Fluid Properties</t>
  </si>
  <si>
    <t>C_L = L/(q*S)</t>
  </si>
  <si>
    <t>Basic Aerodynamics</t>
  </si>
  <si>
    <t>Euler Calculations Mach 1.6</t>
  </si>
  <si>
    <t>CL</t>
  </si>
  <si>
    <t>CMcr/4</t>
  </si>
  <si>
    <t>CMmac/4</t>
  </si>
  <si>
    <t>CD</t>
  </si>
  <si>
    <t>L/Di+w</t>
  </si>
  <si>
    <t>MACHmax</t>
  </si>
  <si>
    <t>CL/Alpha</t>
  </si>
  <si>
    <t>X@CM=0</t>
  </si>
  <si>
    <t>X%mac@CM=0</t>
  </si>
  <si>
    <t>Euler Calculations Mach 1.7</t>
  </si>
  <si>
    <t>Euler Calculations Mach 1.8</t>
  </si>
  <si>
    <t>C_D</t>
  </si>
  <si>
    <t>CFD</t>
  </si>
  <si>
    <t>Loading Condition 1: Mach 1.6</t>
  </si>
  <si>
    <t>D</t>
  </si>
  <si>
    <t>Drag from lift</t>
  </si>
  <si>
    <t>D = qSC_D</t>
  </si>
  <si>
    <t>C_L necessary 41-49k feet</t>
  </si>
  <si>
    <t>C_D from CFD 41,000</t>
  </si>
  <si>
    <t>Lift Coefficient, 41,000</t>
  </si>
  <si>
    <t>Angle Of Attack, 41,000</t>
  </si>
  <si>
    <t>Lift Curve Slope for Wing, 41,000</t>
  </si>
  <si>
    <t>Angle of Atttack Tail, 41,000</t>
  </si>
  <si>
    <t>Loading Condition 1: Mach 1.7</t>
  </si>
  <si>
    <t>Moment Coeff at 1.7</t>
  </si>
  <si>
    <t>Moment Coefficient at 1.6</t>
  </si>
  <si>
    <t>Loading Condition 1: Mach 1.8</t>
  </si>
  <si>
    <t>Moment Coeff at 1.8</t>
  </si>
  <si>
    <t>Lift to Drag Ratio average [L/D]</t>
  </si>
  <si>
    <t>Loading 2</t>
  </si>
  <si>
    <t>Loading 3</t>
  </si>
  <si>
    <t>Loading 4</t>
  </si>
  <si>
    <t>Appendix B, Mach 1.6: Loading 2</t>
  </si>
  <si>
    <t>Loading Condition 2: Mach 1.6</t>
  </si>
  <si>
    <t>Loading Condition 2: Mach 1.7</t>
  </si>
  <si>
    <t>Loading Condition 2: Mach 1.8</t>
  </si>
  <si>
    <t>Loading Condition 3: Mach 1.6</t>
  </si>
  <si>
    <t>Loading Condition 3: Mach 1.7</t>
  </si>
  <si>
    <t>Loading Condition 3: Mach 1.8</t>
  </si>
  <si>
    <t>Loading Condition 4: Mach 1.6</t>
  </si>
  <si>
    <t>Loading Condition 4: Mach 1.7</t>
  </si>
  <si>
    <t>Loading Condition 4: Mach 1.8</t>
  </si>
  <si>
    <t>Appendix B, Mach 1.6: Loading 3</t>
  </si>
  <si>
    <t>Appendix B, Mach 1.6: Loading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</si>
</sst>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31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sz val="11"/>
      <color rgb="FF000000"/>
      <name val="Inconsolata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  <font>
      <sz val="12"/>
      <color rgb="FF000000"/>
      <name val="Times"/>
    </font>
    <font>
      <i/>
      <sz val="12"/>
      <color rgb="FF000000"/>
      <name val="Times"/>
    </font>
    <font>
      <b/>
      <sz val="12"/>
      <color rgb="FF000000"/>
      <name val="Times"/>
    </font>
    <font>
      <sz val="12"/>
      <name val="Times"/>
    </font>
    <font>
      <sz val="12.1"/>
      <color rgb="FF000000"/>
      <name val="Calibri"/>
    </font>
    <font>
      <sz val="12.1"/>
      <color rgb="FF000000"/>
      <name val="Arial"/>
    </font>
    <font>
      <sz val="13"/>
      <color rgb="FF000000"/>
      <name val="Arial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4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41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3" fillId="0" borderId="0" xfId="0" applyFont="1" applyAlignment="1"/>
    <xf numFmtId="0" fontId="0" fillId="0" borderId="0" xfId="0" applyFont="1" applyAlignment="1"/>
    <xf numFmtId="0" fontId="1" fillId="0" borderId="0" xfId="0" applyFont="1" applyBorder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3" borderId="0" xfId="0" applyFont="1" applyFill="1" applyBorder="1" applyAlignment="1"/>
    <xf numFmtId="0" fontId="10" fillId="0" borderId="0" xfId="0" applyFont="1" applyAlignment="1">
      <alignment horizontal="left"/>
    </xf>
    <xf numFmtId="164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/>
    </xf>
    <xf numFmtId="164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wrapText="1"/>
    </xf>
    <xf numFmtId="165" fontId="10" fillId="0" borderId="0" xfId="0" applyNumberFormat="1" applyFont="1" applyAlignment="1">
      <alignment horizontal="left"/>
    </xf>
    <xf numFmtId="0" fontId="9" fillId="5" borderId="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/>
    </xf>
    <xf numFmtId="0" fontId="9" fillId="5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/>
    </xf>
    <xf numFmtId="0" fontId="17" fillId="0" borderId="0" xfId="0" applyFont="1" applyAlignment="1"/>
    <xf numFmtId="0" fontId="18" fillId="5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10" fillId="0" borderId="0" xfId="0" applyFont="1" applyAlignment="1"/>
    <xf numFmtId="166" fontId="10" fillId="0" borderId="0" xfId="0" applyNumberFormat="1" applyFont="1" applyAlignment="1">
      <alignment horizontal="left"/>
    </xf>
    <xf numFmtId="167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21" fillId="0" borderId="0" xfId="0" applyFont="1" applyAlignment="1"/>
    <xf numFmtId="0" fontId="9" fillId="5" borderId="1" xfId="0" applyFont="1" applyFill="1" applyBorder="1" applyAlignment="1">
      <alignment horizontal="left" vertical="center"/>
    </xf>
    <xf numFmtId="3" fontId="10" fillId="0" borderId="0" xfId="0" applyNumberFormat="1" applyFont="1" applyAlignment="1">
      <alignment horizontal="left" vertical="center"/>
    </xf>
    <xf numFmtId="164" fontId="22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0" fillId="6" borderId="1" xfId="0" applyFont="1" applyFill="1" applyBorder="1" applyAlignment="1">
      <alignment horizontal="left"/>
    </xf>
    <xf numFmtId="167" fontId="10" fillId="6" borderId="1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Alignment="1"/>
    <xf numFmtId="0" fontId="10" fillId="5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horizontal="left"/>
    </xf>
    <xf numFmtId="2" fontId="23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164" fontId="10" fillId="8" borderId="1" xfId="0" applyNumberFormat="1" applyFont="1" applyFill="1" applyBorder="1" applyAlignment="1">
      <alignment horizontal="left"/>
    </xf>
    <xf numFmtId="164" fontId="10" fillId="9" borderId="1" xfId="0" applyNumberFormat="1" applyFont="1" applyFill="1" applyBorder="1" applyAlignment="1">
      <alignment horizontal="left"/>
    </xf>
    <xf numFmtId="164" fontId="11" fillId="9" borderId="1" xfId="0" applyNumberFormat="1" applyFont="1" applyFill="1" applyBorder="1" applyAlignment="1">
      <alignment horizontal="left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/>
    <xf numFmtId="164" fontId="10" fillId="8" borderId="0" xfId="0" applyNumberFormat="1" applyFont="1" applyFill="1" applyAlignment="1">
      <alignment horizontal="left"/>
    </xf>
    <xf numFmtId="0" fontId="10" fillId="6" borderId="0" xfId="0" applyFont="1" applyFill="1" applyBorder="1" applyAlignment="1">
      <alignment horizontal="left"/>
    </xf>
    <xf numFmtId="0" fontId="25" fillId="0" borderId="0" xfId="0" applyFont="1" applyAlignment="1">
      <alignment horizontal="left"/>
    </xf>
    <xf numFmtId="3" fontId="0" fillId="0" borderId="0" xfId="0" applyNumberFormat="1" applyFont="1" applyAlignment="1"/>
    <xf numFmtId="0" fontId="24" fillId="0" borderId="0" xfId="0" applyFont="1" applyAlignment="1">
      <alignment horizontal="left"/>
    </xf>
    <xf numFmtId="0" fontId="9" fillId="5" borderId="9" xfId="0" applyFont="1" applyFill="1" applyBorder="1" applyAlignment="1">
      <alignment horizontal="left"/>
    </xf>
    <xf numFmtId="0" fontId="18" fillId="5" borderId="9" xfId="0" applyFont="1" applyFill="1" applyBorder="1" applyAlignment="1">
      <alignment horizontal="left"/>
    </xf>
    <xf numFmtId="0" fontId="0" fillId="0" borderId="0" xfId="0" applyFont="1" applyBorder="1" applyAlignment="1"/>
    <xf numFmtId="11" fontId="0" fillId="0" borderId="0" xfId="0" applyNumberFormat="1" applyFont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164" fontId="27" fillId="0" borderId="0" xfId="0" applyNumberFormat="1" applyFont="1" applyFill="1" applyAlignment="1">
      <alignment horizontal="left"/>
    </xf>
    <xf numFmtId="164" fontId="24" fillId="0" borderId="0" xfId="0" applyNumberFormat="1" applyFont="1" applyFill="1" applyAlignment="1">
      <alignment horizontal="left"/>
    </xf>
    <xf numFmtId="164" fontId="5" fillId="0" borderId="0" xfId="0" applyNumberFormat="1" applyFont="1" applyFill="1"/>
    <xf numFmtId="0" fontId="14" fillId="2" borderId="6" xfId="0" applyFont="1" applyFill="1" applyBorder="1" applyAlignment="1">
      <alignment vertical="center"/>
    </xf>
    <xf numFmtId="0" fontId="14" fillId="2" borderId="11" xfId="0" applyFont="1" applyFill="1" applyBorder="1" applyAlignment="1">
      <alignment vertical="center"/>
    </xf>
    <xf numFmtId="0" fontId="26" fillId="10" borderId="12" xfId="0" applyFont="1" applyFill="1" applyBorder="1" applyAlignment="1">
      <alignment horizontal="left" wrapText="1"/>
    </xf>
    <xf numFmtId="0" fontId="26" fillId="10" borderId="12" xfId="0" applyFont="1" applyFill="1" applyBorder="1" applyAlignment="1">
      <alignment horizontal="left"/>
    </xf>
    <xf numFmtId="0" fontId="28" fillId="0" borderId="0" xfId="0" applyFont="1" applyAlignment="1"/>
    <xf numFmtId="0" fontId="29" fillId="0" borderId="0" xfId="0" applyFont="1" applyAlignment="1"/>
    <xf numFmtId="0" fontId="30" fillId="0" borderId="0" xfId="0" applyFont="1" applyAlignment="1"/>
    <xf numFmtId="11" fontId="28" fillId="0" borderId="0" xfId="0" applyNumberFormat="1" applyFont="1" applyAlignment="1"/>
    <xf numFmtId="0" fontId="28" fillId="10" borderId="1" xfId="0" applyFont="1" applyFill="1" applyBorder="1" applyAlignment="1"/>
    <xf numFmtId="0" fontId="29" fillId="10" borderId="1" xfId="0" applyFont="1" applyFill="1" applyBorder="1" applyAlignment="1"/>
    <xf numFmtId="0" fontId="30" fillId="10" borderId="1" xfId="0" applyFont="1" applyFill="1" applyBorder="1" applyAlignment="1"/>
    <xf numFmtId="3" fontId="10" fillId="0" borderId="0" xfId="0" applyNumberFormat="1" applyFont="1" applyAlignment="1">
      <alignment horizontal="left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10" fillId="0" borderId="0" xfId="0" applyFont="1" applyAlignment="1"/>
    <xf numFmtId="0" fontId="7" fillId="2" borderId="0" xfId="0" applyFont="1" applyFill="1" applyBorder="1" applyAlignment="1">
      <alignment horizontal="left"/>
    </xf>
    <xf numFmtId="0" fontId="8" fillId="4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7" fillId="2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4" fillId="2" borderId="2" xfId="0" applyFont="1" applyFill="1" applyBorder="1" applyAlignment="1">
      <alignment horizontal="left"/>
    </xf>
    <xf numFmtId="0" fontId="14" fillId="2" borderId="3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5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0" fillId="0" borderId="0" xfId="0" applyFont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14" fillId="2" borderId="8" xfId="0" applyFont="1" applyFill="1" applyBorder="1" applyAlignment="1">
      <alignment horizontal="left" vertical="center"/>
    </xf>
    <xf numFmtId="0" fontId="10" fillId="0" borderId="6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0" xfId="0" applyFont="1" applyAlignment="1"/>
    <xf numFmtId="0" fontId="10" fillId="7" borderId="0" xfId="0" applyFont="1" applyFill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 vertical="center"/>
    </xf>
    <xf numFmtId="0" fontId="10" fillId="0" borderId="6" xfId="0" applyFont="1" applyBorder="1" applyAlignment="1"/>
    <xf numFmtId="0" fontId="14" fillId="2" borderId="13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left" vertical="center"/>
    </xf>
    <xf numFmtId="0" fontId="9" fillId="5" borderId="10" xfId="0" applyFont="1" applyFill="1" applyBorder="1" applyAlignment="1">
      <alignment horizontal="left"/>
    </xf>
    <xf numFmtId="0" fontId="9" fillId="5" borderId="6" xfId="0" applyFont="1" applyFill="1" applyBorder="1" applyAlignment="1">
      <alignment horizontal="left"/>
    </xf>
    <xf numFmtId="0" fontId="9" fillId="5" borderId="11" xfId="0" applyFont="1" applyFill="1" applyBorder="1" applyAlignment="1">
      <alignment horizontal="left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</cellXfs>
  <cellStyles count="44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CFD!$A$18:$A$20</c:f>
              <c:numCache>
                <c:formatCode>General</c:formatCode>
                <c:ptCount val="3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</c:numCache>
            </c:numRef>
          </c:xVal>
          <c:yVal>
            <c:numRef>
              <c:f>CFD!$B$18:$B$20</c:f>
              <c:numCache>
                <c:formatCode>0.00E+00</c:formatCode>
                <c:ptCount val="3"/>
                <c:pt idx="0">
                  <c:v>0.0499</c:v>
                </c:pt>
                <c:pt idx="1">
                  <c:v>0.0998</c:v>
                </c:pt>
                <c:pt idx="2">
                  <c:v>0.15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89296"/>
        <c:axId val="1162466528"/>
      </c:scatterChart>
      <c:valAx>
        <c:axId val="116498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466528"/>
        <c:crosses val="autoZero"/>
        <c:crossBetween val="midCat"/>
      </c:valAx>
      <c:valAx>
        <c:axId val="11624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8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1397000</xdr:colOff>
      <xdr:row>20</xdr:row>
      <xdr:rowOff>12700</xdr:rowOff>
    </xdr:from>
    <xdr:to>
      <xdr:col>8</xdr:col>
      <xdr:colOff>177800</xdr:colOff>
      <xdr:row>32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11" t="s">
        <v>0</v>
      </c>
      <c r="B1" s="1"/>
      <c r="C1" s="1"/>
      <c r="D1" s="2"/>
      <c r="E1" s="2"/>
      <c r="F1" s="2"/>
      <c r="G1" s="2"/>
    </row>
    <row r="2" spans="1:8" x14ac:dyDescent="0.2">
      <c r="A2" s="97" t="s">
        <v>1</v>
      </c>
      <c r="B2" s="98"/>
      <c r="C2" s="98"/>
      <c r="D2" s="98"/>
      <c r="E2" s="98"/>
      <c r="F2" s="98"/>
      <c r="G2" s="2"/>
      <c r="H2" s="7"/>
    </row>
    <row r="3" spans="1:8" x14ac:dyDescent="0.2">
      <c r="A3" s="4" t="s">
        <v>3</v>
      </c>
      <c r="B3" s="99" t="s">
        <v>4</v>
      </c>
      <c r="C3" s="100"/>
      <c r="D3" s="100"/>
      <c r="E3" s="100"/>
      <c r="F3" s="100"/>
      <c r="G3" s="2"/>
    </row>
    <row r="4" spans="1:8" x14ac:dyDescent="0.2">
      <c r="A4" s="2"/>
      <c r="B4" s="99" t="s">
        <v>12</v>
      </c>
      <c r="C4" s="99"/>
      <c r="D4" s="99"/>
      <c r="E4" s="99"/>
      <c r="F4" s="99"/>
      <c r="G4" s="2"/>
    </row>
    <row r="5" spans="1:8" x14ac:dyDescent="0.2">
      <c r="A5" s="4" t="s">
        <v>18</v>
      </c>
      <c r="B5" s="99" t="s">
        <v>19</v>
      </c>
      <c r="C5" s="99"/>
      <c r="D5" s="99"/>
      <c r="E5" s="99"/>
      <c r="F5" s="99"/>
      <c r="G5" s="2"/>
    </row>
    <row r="6" spans="1:8" x14ac:dyDescent="0.2">
      <c r="A6" s="2"/>
      <c r="B6" s="99" t="s">
        <v>24</v>
      </c>
      <c r="C6" s="99"/>
      <c r="D6" s="99"/>
      <c r="E6" s="99"/>
      <c r="F6" s="99"/>
      <c r="G6" s="2"/>
    </row>
    <row r="7" spans="1:8" x14ac:dyDescent="0.2">
      <c r="A7" s="4" t="s">
        <v>36</v>
      </c>
      <c r="B7" s="102">
        <v>4500</v>
      </c>
      <c r="C7" s="102"/>
      <c r="D7" s="102"/>
      <c r="E7" s="102"/>
      <c r="F7" s="102"/>
      <c r="G7" s="2"/>
    </row>
    <row r="8" spans="1:8" x14ac:dyDescent="0.2">
      <c r="A8" s="4" t="s">
        <v>51</v>
      </c>
      <c r="B8" s="99" t="s">
        <v>52</v>
      </c>
      <c r="C8" s="99"/>
      <c r="D8" s="99"/>
      <c r="E8" s="99"/>
      <c r="F8" s="99"/>
      <c r="G8" s="2"/>
    </row>
    <row r="9" spans="1:8" x14ac:dyDescent="0.2">
      <c r="A9" s="4" t="s">
        <v>56</v>
      </c>
      <c r="B9" s="99" t="s">
        <v>57</v>
      </c>
      <c r="C9" s="99"/>
      <c r="D9" s="99"/>
      <c r="E9" s="99"/>
      <c r="F9" s="99"/>
      <c r="G9" s="2"/>
    </row>
    <row r="10" spans="1:8" x14ac:dyDescent="0.2">
      <c r="A10" s="4" t="s">
        <v>62</v>
      </c>
      <c r="B10" s="99">
        <v>1.9</v>
      </c>
      <c r="C10" s="99"/>
      <c r="D10" s="99"/>
      <c r="E10" s="99"/>
      <c r="F10" s="99"/>
      <c r="G10" s="2"/>
    </row>
    <row r="11" spans="1:8" x14ac:dyDescent="0.2">
      <c r="A11" s="4" t="s">
        <v>65</v>
      </c>
      <c r="B11" s="99" t="s">
        <v>132</v>
      </c>
      <c r="C11" s="99"/>
      <c r="D11" s="99"/>
      <c r="E11" s="99"/>
      <c r="F11" s="99"/>
      <c r="G11" s="2"/>
    </row>
    <row r="12" spans="1:8" x14ac:dyDescent="0.2">
      <c r="A12" s="4" t="s">
        <v>70</v>
      </c>
      <c r="B12" s="102" t="s">
        <v>133</v>
      </c>
      <c r="C12" s="102"/>
      <c r="D12" s="102"/>
      <c r="E12" s="102"/>
      <c r="F12" s="102"/>
      <c r="G12" s="2"/>
    </row>
    <row r="13" spans="1:8" x14ac:dyDescent="0.2">
      <c r="A13" s="103" t="s">
        <v>74</v>
      </c>
      <c r="B13" s="102" t="s">
        <v>134</v>
      </c>
      <c r="C13" s="102"/>
      <c r="D13" s="102"/>
      <c r="E13" s="102"/>
      <c r="F13" s="102"/>
      <c r="G13" s="2"/>
    </row>
    <row r="14" spans="1:8" x14ac:dyDescent="0.2">
      <c r="A14" s="104"/>
      <c r="B14" s="102"/>
      <c r="C14" s="102"/>
      <c r="D14" s="102"/>
      <c r="E14" s="102"/>
      <c r="F14" s="102"/>
      <c r="G14" s="2"/>
    </row>
    <row r="15" spans="1:8" x14ac:dyDescent="0.2">
      <c r="A15" s="103" t="s">
        <v>79</v>
      </c>
      <c r="B15" s="2"/>
      <c r="C15" s="2"/>
      <c r="D15" s="2"/>
      <c r="E15" s="2"/>
      <c r="F15" s="2"/>
      <c r="G15" s="2"/>
    </row>
    <row r="16" spans="1:8" x14ac:dyDescent="0.2">
      <c r="A16" s="104"/>
      <c r="B16" s="2"/>
      <c r="C16" s="2"/>
      <c r="D16" s="2"/>
      <c r="E16" s="2"/>
      <c r="F16" s="2"/>
      <c r="G16" s="2"/>
    </row>
    <row r="17" spans="1:8" x14ac:dyDescent="0.2">
      <c r="A17" s="2"/>
      <c r="B17" s="2"/>
      <c r="C17" s="2"/>
      <c r="D17" s="2"/>
      <c r="E17" s="2"/>
      <c r="F17" s="2"/>
      <c r="G17" s="2"/>
      <c r="H17" s="6"/>
    </row>
    <row r="18" spans="1:8" x14ac:dyDescent="0.2">
      <c r="A18" s="101" t="s">
        <v>83</v>
      </c>
      <c r="B18" s="2"/>
      <c r="C18" s="2"/>
      <c r="D18" s="2"/>
      <c r="E18" s="5"/>
      <c r="F18" s="2"/>
      <c r="G18" s="2"/>
    </row>
    <row r="19" spans="1:8" x14ac:dyDescent="0.2">
      <c r="A19" s="98"/>
      <c r="B19" s="2"/>
      <c r="C19" s="2"/>
      <c r="D19" s="2"/>
      <c r="E19" s="2"/>
      <c r="F19" s="2"/>
      <c r="G19" s="2"/>
    </row>
    <row r="20" spans="1:8" x14ac:dyDescent="0.2">
      <c r="B20" s="2"/>
      <c r="C20" s="2"/>
      <c r="D20" s="2"/>
      <c r="E20" s="2"/>
      <c r="F20" s="2"/>
      <c r="G20" s="2"/>
    </row>
    <row r="21" spans="1:8" x14ac:dyDescent="0.2">
      <c r="A21" s="8"/>
      <c r="B21" s="8"/>
      <c r="C21" s="8"/>
      <c r="D21" s="8"/>
      <c r="F21" s="3"/>
    </row>
    <row r="22" spans="1:8" x14ac:dyDescent="0.2">
      <c r="A22" s="8"/>
      <c r="B22" s="8"/>
      <c r="C22" s="8"/>
      <c r="D22" s="8"/>
      <c r="F22" s="3"/>
    </row>
    <row r="23" spans="1:8" x14ac:dyDescent="0.2">
      <c r="A23" s="8"/>
      <c r="B23" s="8"/>
      <c r="C23" s="8"/>
      <c r="D23" s="8"/>
      <c r="F23" s="3"/>
    </row>
    <row r="24" spans="1:8" x14ac:dyDescent="0.2">
      <c r="A24" s="8"/>
      <c r="B24" s="8"/>
      <c r="C24" s="8"/>
      <c r="D24" s="8"/>
      <c r="F24" s="3"/>
    </row>
    <row r="25" spans="1:8" x14ac:dyDescent="0.2">
      <c r="A25" s="8"/>
      <c r="B25" s="8"/>
      <c r="C25" s="8"/>
      <c r="D25" s="8"/>
      <c r="F25" s="3"/>
    </row>
    <row r="26" spans="1:8" x14ac:dyDescent="0.2">
      <c r="A26" s="8"/>
      <c r="B26" s="8"/>
      <c r="C26" s="8"/>
      <c r="D26" s="8"/>
      <c r="F26" s="3"/>
    </row>
    <row r="27" spans="1:8" x14ac:dyDescent="0.2">
      <c r="A27" s="8"/>
      <c r="B27" s="8"/>
      <c r="C27" s="8"/>
      <c r="D27" s="8"/>
      <c r="F27" s="3"/>
    </row>
    <row r="28" spans="1:8" x14ac:dyDescent="0.2">
      <c r="A28" s="8"/>
      <c r="B28" s="8"/>
      <c r="C28" s="8"/>
      <c r="D28" s="8"/>
      <c r="F28" s="3"/>
    </row>
    <row r="29" spans="1:8" x14ac:dyDescent="0.2">
      <c r="A29" s="8"/>
      <c r="B29" s="8"/>
      <c r="C29" s="8"/>
      <c r="D29" s="8"/>
      <c r="F29" s="3"/>
    </row>
    <row r="30" spans="1:8" x14ac:dyDescent="0.2">
      <c r="A30" s="8"/>
      <c r="B30" s="8"/>
      <c r="C30" s="8"/>
      <c r="D30" s="8"/>
      <c r="F30" s="3"/>
    </row>
    <row r="31" spans="1:8" x14ac:dyDescent="0.2">
      <c r="A31" s="8"/>
      <c r="B31" s="8"/>
      <c r="C31" s="8"/>
      <c r="D31" s="8"/>
      <c r="F31" s="3"/>
    </row>
    <row r="32" spans="1:8" x14ac:dyDescent="0.2">
      <c r="A32" s="8"/>
      <c r="B32" s="8"/>
      <c r="C32" s="8"/>
      <c r="D32" s="8"/>
      <c r="F32" s="3"/>
    </row>
    <row r="33" spans="1:6" x14ac:dyDescent="0.2">
      <c r="A33" s="8"/>
      <c r="B33" s="8"/>
      <c r="C33" s="8"/>
      <c r="D33" s="8"/>
      <c r="F33" s="3"/>
    </row>
    <row r="34" spans="1:6" x14ac:dyDescent="0.2">
      <c r="A34" s="8"/>
      <c r="B34" s="8"/>
      <c r="C34" s="8"/>
      <c r="D34" s="8"/>
      <c r="F34" s="3"/>
    </row>
    <row r="35" spans="1:6" x14ac:dyDescent="0.2">
      <c r="A35" s="8"/>
      <c r="B35" s="8"/>
      <c r="C35" s="8"/>
      <c r="D35" s="8"/>
      <c r="F35" s="3"/>
    </row>
    <row r="36" spans="1:6" x14ac:dyDescent="0.2">
      <c r="A36" s="8"/>
      <c r="B36" s="8"/>
      <c r="C36" s="8"/>
      <c r="D36" s="8"/>
      <c r="F36" s="3"/>
    </row>
    <row r="37" spans="1:6" x14ac:dyDescent="0.2">
      <c r="A37" s="3"/>
      <c r="B37" s="3"/>
      <c r="F37" s="3"/>
    </row>
    <row r="38" spans="1:6" x14ac:dyDescent="0.2">
      <c r="A38" s="3"/>
      <c r="B38" s="3"/>
      <c r="F38" s="3"/>
    </row>
    <row r="39" spans="1:6" x14ac:dyDescent="0.2">
      <c r="A39" s="3"/>
      <c r="B39" s="3"/>
      <c r="F39" s="3"/>
    </row>
    <row r="40" spans="1:6" x14ac:dyDescent="0.2">
      <c r="A40" s="3"/>
      <c r="B40" s="3"/>
      <c r="F40" s="3"/>
    </row>
    <row r="41" spans="1:6" x14ac:dyDescent="0.2">
      <c r="A41" s="3"/>
      <c r="B41" s="3"/>
      <c r="F41" s="3"/>
    </row>
    <row r="42" spans="1:6" x14ac:dyDescent="0.2">
      <c r="A42" s="3"/>
      <c r="B42" s="3"/>
      <c r="F42" s="3"/>
    </row>
    <row r="43" spans="1:6" x14ac:dyDescent="0.2">
      <c r="A43" s="3"/>
      <c r="B43" s="3"/>
      <c r="F43" s="3"/>
    </row>
    <row r="44" spans="1:6" x14ac:dyDescent="0.2">
      <c r="A44" s="3"/>
      <c r="B44" s="3"/>
      <c r="F44" s="3"/>
    </row>
    <row r="45" spans="1:6" x14ac:dyDescent="0.2">
      <c r="A45" s="3"/>
      <c r="B45" s="3"/>
      <c r="F45" s="3"/>
    </row>
    <row r="46" spans="1:6" x14ac:dyDescent="0.2">
      <c r="A46" s="3"/>
      <c r="B46" s="3"/>
      <c r="F46" s="3"/>
    </row>
    <row r="47" spans="1:6" x14ac:dyDescent="0.2">
      <c r="A47" s="3"/>
      <c r="B47" s="3"/>
      <c r="F47" s="3"/>
    </row>
    <row r="48" spans="1:6" x14ac:dyDescent="0.2">
      <c r="A48" s="3"/>
      <c r="B48" s="3"/>
      <c r="F48" s="3"/>
    </row>
    <row r="49" spans="1:6" x14ac:dyDescent="0.2">
      <c r="A49" s="3"/>
      <c r="B49" s="3"/>
      <c r="F49" s="3"/>
    </row>
    <row r="50" spans="1:6" x14ac:dyDescent="0.2">
      <c r="A50" s="3"/>
      <c r="B50" s="3"/>
      <c r="F50" s="3"/>
    </row>
    <row r="51" spans="1:6" x14ac:dyDescent="0.2">
      <c r="A51" s="3"/>
      <c r="B51" s="3"/>
      <c r="F51" s="3"/>
    </row>
    <row r="52" spans="1:6" x14ac:dyDescent="0.2">
      <c r="A52" s="3"/>
      <c r="B52" s="3"/>
      <c r="F52" s="3"/>
    </row>
    <row r="53" spans="1:6" x14ac:dyDescent="0.2">
      <c r="A53" s="3"/>
      <c r="B53" s="3"/>
      <c r="F53" s="3"/>
    </row>
    <row r="54" spans="1:6" x14ac:dyDescent="0.2">
      <c r="A54" s="3"/>
      <c r="B54" s="3"/>
      <c r="F54" s="3"/>
    </row>
    <row r="55" spans="1:6" x14ac:dyDescent="0.2">
      <c r="A55" s="3"/>
      <c r="B55" s="3"/>
      <c r="F55" s="3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topLeftCell="A5" workbookViewId="0">
      <selection activeCell="C10" sqref="C10"/>
    </sheetView>
  </sheetViews>
  <sheetFormatPr baseColWidth="10" defaultColWidth="15.1640625" defaultRowHeight="18" customHeight="1" x14ac:dyDescent="0.2"/>
  <cols>
    <col min="1" max="1" width="51" style="9" customWidth="1"/>
    <col min="2" max="2" width="19.33203125" style="9" customWidth="1"/>
    <col min="3" max="3" width="15.1640625" style="9"/>
    <col min="4" max="4" width="2" style="38" customWidth="1"/>
    <col min="5" max="5" width="15.1640625" style="9"/>
    <col min="6" max="6" width="34.1640625" style="9" customWidth="1"/>
    <col min="7" max="7" width="53.83203125" style="33" customWidth="1"/>
    <col min="8" max="16384" width="15.1640625" style="9"/>
  </cols>
  <sheetData>
    <row r="1" spans="1:12" ht="22" customHeight="1" x14ac:dyDescent="0.25">
      <c r="A1" s="105" t="s">
        <v>2</v>
      </c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</row>
    <row r="2" spans="1:12" ht="18" customHeight="1" x14ac:dyDescent="0.2">
      <c r="A2" s="23" t="s">
        <v>5</v>
      </c>
      <c r="B2" s="23" t="s">
        <v>96</v>
      </c>
      <c r="C2" s="24" t="s">
        <v>7</v>
      </c>
      <c r="D2" s="43" t="s">
        <v>125</v>
      </c>
      <c r="E2" s="24" t="s">
        <v>8</v>
      </c>
      <c r="F2" s="24" t="s">
        <v>9</v>
      </c>
      <c r="G2" s="31" t="s">
        <v>10</v>
      </c>
      <c r="H2" s="111" t="s">
        <v>11</v>
      </c>
      <c r="I2" s="111"/>
      <c r="J2" s="111"/>
      <c r="K2" s="111"/>
      <c r="L2" s="111"/>
    </row>
    <row r="3" spans="1:12" ht="18" customHeight="1" x14ac:dyDescent="0.2">
      <c r="A3" s="12" t="s">
        <v>13</v>
      </c>
      <c r="B3" s="12" t="s">
        <v>97</v>
      </c>
      <c r="C3" s="59">
        <v>110</v>
      </c>
      <c r="D3" s="19" t="s">
        <v>125</v>
      </c>
      <c r="E3" s="12" t="s">
        <v>145</v>
      </c>
      <c r="F3" s="12" t="s">
        <v>14</v>
      </c>
      <c r="G3" s="29" t="s">
        <v>137</v>
      </c>
      <c r="H3" s="110" t="s">
        <v>15</v>
      </c>
      <c r="I3" s="110"/>
      <c r="J3" s="110"/>
      <c r="K3" s="110"/>
      <c r="L3" s="110"/>
    </row>
    <row r="4" spans="1:12" ht="18" customHeight="1" x14ac:dyDescent="0.2">
      <c r="A4" s="15" t="s">
        <v>16</v>
      </c>
      <c r="B4" s="15" t="s">
        <v>98</v>
      </c>
      <c r="C4" s="59">
        <v>72445</v>
      </c>
      <c r="D4" s="19" t="s">
        <v>125</v>
      </c>
      <c r="E4" s="12" t="s">
        <v>17</v>
      </c>
      <c r="F4" s="12" t="s">
        <v>14</v>
      </c>
      <c r="G4" s="29" t="s">
        <v>137</v>
      </c>
      <c r="H4" s="110" t="s">
        <v>15</v>
      </c>
      <c r="I4" s="110"/>
      <c r="J4" s="110"/>
      <c r="K4" s="110"/>
      <c r="L4" s="110"/>
    </row>
    <row r="5" spans="1:12" ht="18" customHeight="1" x14ac:dyDescent="0.2">
      <c r="A5" s="12" t="s">
        <v>20</v>
      </c>
      <c r="B5" s="12" t="s">
        <v>99</v>
      </c>
      <c r="C5" s="60">
        <v>1040</v>
      </c>
      <c r="D5" s="19" t="s">
        <v>125</v>
      </c>
      <c r="E5" s="12" t="s">
        <v>146</v>
      </c>
      <c r="F5" s="12" t="s">
        <v>21</v>
      </c>
      <c r="G5" s="29" t="s">
        <v>22</v>
      </c>
      <c r="H5" s="110" t="s">
        <v>23</v>
      </c>
      <c r="I5" s="110"/>
      <c r="J5" s="110"/>
      <c r="K5" s="110"/>
      <c r="L5" s="110"/>
    </row>
    <row r="6" spans="1:12" ht="18" customHeight="1" x14ac:dyDescent="0.2">
      <c r="A6" s="12" t="s">
        <v>25</v>
      </c>
      <c r="B6" s="12" t="s">
        <v>100</v>
      </c>
      <c r="C6" s="60">
        <f>(2*C7)^2/C5</f>
        <v>3.4781737846153842</v>
      </c>
      <c r="D6" s="19" t="s">
        <v>125</v>
      </c>
      <c r="E6" s="12" t="s">
        <v>104</v>
      </c>
      <c r="F6" s="12" t="s">
        <v>6</v>
      </c>
      <c r="G6" s="29" t="s">
        <v>147</v>
      </c>
      <c r="H6" s="109" t="s">
        <v>31</v>
      </c>
      <c r="I6" s="109"/>
      <c r="J6" s="109"/>
      <c r="K6" s="109"/>
      <c r="L6" s="109"/>
    </row>
    <row r="7" spans="1:12" ht="18" customHeight="1" x14ac:dyDescent="0.2">
      <c r="A7" s="12" t="s">
        <v>32</v>
      </c>
      <c r="B7" s="12" t="s">
        <v>478</v>
      </c>
      <c r="C7" s="60">
        <f>C8</f>
        <v>30.071999999999999</v>
      </c>
      <c r="D7" s="19" t="s">
        <v>125</v>
      </c>
      <c r="E7" s="12" t="s">
        <v>104</v>
      </c>
      <c r="F7" s="12" t="s">
        <v>21</v>
      </c>
      <c r="G7" s="29" t="s">
        <v>479</v>
      </c>
      <c r="H7" s="109" t="s">
        <v>31</v>
      </c>
      <c r="I7" s="109"/>
      <c r="J7" s="109"/>
      <c r="K7" s="109"/>
      <c r="L7" s="109"/>
    </row>
    <row r="8" spans="1:12" ht="18" customHeight="1" x14ac:dyDescent="0.2">
      <c r="A8" s="12" t="s">
        <v>148</v>
      </c>
      <c r="B8" s="12" t="s">
        <v>102</v>
      </c>
      <c r="C8" s="61">
        <v>30.071999999999999</v>
      </c>
      <c r="D8" s="19" t="s">
        <v>125</v>
      </c>
      <c r="E8" s="12" t="s">
        <v>29</v>
      </c>
      <c r="F8" s="12" t="s">
        <v>21</v>
      </c>
      <c r="G8" s="28" t="s">
        <v>43</v>
      </c>
      <c r="H8" s="109" t="s">
        <v>31</v>
      </c>
      <c r="I8" s="109"/>
      <c r="J8" s="109"/>
      <c r="K8" s="109"/>
      <c r="L8" s="109"/>
    </row>
    <row r="9" spans="1:12" ht="18" customHeight="1" x14ac:dyDescent="0.2">
      <c r="A9" s="12" t="s">
        <v>47</v>
      </c>
      <c r="B9" s="12" t="s">
        <v>103</v>
      </c>
      <c r="C9" s="60">
        <f>C34/C33*C8</f>
        <v>3.9721970149253725</v>
      </c>
      <c r="D9" s="19" t="s">
        <v>125</v>
      </c>
      <c r="E9" s="12" t="s">
        <v>29</v>
      </c>
      <c r="F9" s="12" t="s">
        <v>48</v>
      </c>
      <c r="G9" s="28" t="s">
        <v>49</v>
      </c>
      <c r="H9" s="109" t="s">
        <v>50</v>
      </c>
      <c r="I9" s="109"/>
      <c r="J9" s="109"/>
      <c r="K9" s="109"/>
      <c r="L9" s="109"/>
    </row>
    <row r="10" spans="1:12" ht="18" customHeight="1" x14ac:dyDescent="0.2">
      <c r="A10" s="12" t="s">
        <v>53</v>
      </c>
      <c r="B10" s="12" t="s">
        <v>101</v>
      </c>
      <c r="C10" s="60">
        <f>0.679*C8</f>
        <v>20.418888000000003</v>
      </c>
      <c r="D10" s="19" t="s">
        <v>125</v>
      </c>
      <c r="E10" s="12" t="s">
        <v>29</v>
      </c>
      <c r="F10" s="12" t="s">
        <v>21</v>
      </c>
      <c r="G10" s="29" t="s">
        <v>149</v>
      </c>
      <c r="H10" s="109" t="s">
        <v>31</v>
      </c>
      <c r="I10" s="109"/>
      <c r="J10" s="109"/>
      <c r="K10" s="109"/>
      <c r="L10" s="109"/>
    </row>
    <row r="11" spans="1:12" ht="18" customHeight="1" x14ac:dyDescent="0.2">
      <c r="A11" s="12" t="s">
        <v>55</v>
      </c>
      <c r="B11" s="12" t="s">
        <v>106</v>
      </c>
      <c r="C11" s="60">
        <f>0.679*C9</f>
        <v>2.6971217731343282</v>
      </c>
      <c r="D11" s="19" t="s">
        <v>125</v>
      </c>
      <c r="E11" s="12" t="s">
        <v>104</v>
      </c>
      <c r="F11" s="12" t="s">
        <v>21</v>
      </c>
      <c r="G11" s="29" t="s">
        <v>150</v>
      </c>
      <c r="H11" s="109" t="s">
        <v>115</v>
      </c>
      <c r="I11" s="109"/>
      <c r="J11" s="109"/>
      <c r="K11" s="109"/>
      <c r="L11" s="109"/>
    </row>
    <row r="12" spans="1:12" ht="18" customHeight="1" x14ac:dyDescent="0.2">
      <c r="A12" s="12" t="s">
        <v>58</v>
      </c>
      <c r="B12" s="12" t="s">
        <v>105</v>
      </c>
      <c r="C12" s="60">
        <f>0.15*C8</f>
        <v>4.5107999999999997</v>
      </c>
      <c r="D12" s="19" t="s">
        <v>125</v>
      </c>
      <c r="E12" s="12" t="s">
        <v>29</v>
      </c>
      <c r="F12" s="12" t="s">
        <v>21</v>
      </c>
      <c r="G12" s="29" t="s">
        <v>151</v>
      </c>
      <c r="H12" s="110" t="s">
        <v>31</v>
      </c>
      <c r="I12" s="110"/>
      <c r="J12" s="110"/>
      <c r="K12" s="110"/>
      <c r="L12" s="110"/>
    </row>
    <row r="13" spans="1:12" ht="18" customHeight="1" x14ac:dyDescent="0.2">
      <c r="A13" s="12" t="s">
        <v>152</v>
      </c>
      <c r="B13" s="12" t="s">
        <v>107</v>
      </c>
      <c r="C13" s="13">
        <v>0.66749999999999998</v>
      </c>
      <c r="D13" s="19" t="s">
        <v>125</v>
      </c>
      <c r="E13" s="12" t="s">
        <v>59</v>
      </c>
      <c r="F13" s="12" t="s">
        <v>6</v>
      </c>
      <c r="G13" s="29" t="s">
        <v>137</v>
      </c>
      <c r="H13" s="110" t="s">
        <v>60</v>
      </c>
      <c r="I13" s="110"/>
      <c r="J13" s="110"/>
      <c r="K13" s="110"/>
      <c r="L13" s="110"/>
    </row>
    <row r="14" spans="1:12" ht="18" customHeight="1" x14ac:dyDescent="0.2">
      <c r="A14" s="12" t="s">
        <v>566</v>
      </c>
      <c r="B14" s="12" t="s">
        <v>108</v>
      </c>
      <c r="C14" s="66">
        <v>6.34</v>
      </c>
      <c r="D14" s="19" t="s">
        <v>125</v>
      </c>
      <c r="E14" s="12" t="s">
        <v>54</v>
      </c>
      <c r="F14" s="12" t="s">
        <v>514</v>
      </c>
      <c r="G14" s="29" t="s">
        <v>137</v>
      </c>
      <c r="H14" s="110" t="s">
        <v>63</v>
      </c>
      <c r="I14" s="110"/>
      <c r="J14" s="110"/>
      <c r="K14" s="110"/>
      <c r="L14" s="110"/>
    </row>
    <row r="15" spans="1:12" ht="18" customHeight="1" x14ac:dyDescent="0.2">
      <c r="A15" s="12" t="s">
        <v>64</v>
      </c>
      <c r="B15" s="12" t="s">
        <v>109</v>
      </c>
      <c r="C15" s="13">
        <f>573.3502*1.68</f>
        <v>963.2283359999999</v>
      </c>
      <c r="D15" s="19" t="s">
        <v>125</v>
      </c>
      <c r="E15" s="12" t="s">
        <v>504</v>
      </c>
      <c r="F15" s="12" t="s">
        <v>6</v>
      </c>
      <c r="G15" s="29" t="s">
        <v>137</v>
      </c>
      <c r="H15" s="112" t="str">
        <f>HYPERLINK("http://www.fighter-planes.com/jetmach1.htm","http://www.fighter-planes.com/jetmach1.htm")</f>
        <v>http://www.fighter-planes.com/jetmach1.htm</v>
      </c>
      <c r="I15" s="112"/>
      <c r="J15" s="112"/>
      <c r="K15" s="112"/>
      <c r="L15" s="112"/>
    </row>
    <row r="16" spans="1:12" ht="18" customHeight="1" x14ac:dyDescent="0.2">
      <c r="A16" s="12" t="s">
        <v>66</v>
      </c>
      <c r="B16" s="12" t="s">
        <v>110</v>
      </c>
      <c r="C16" s="13">
        <f>1.6*C15</f>
        <v>1541.1653375999999</v>
      </c>
      <c r="D16" s="19" t="s">
        <v>125</v>
      </c>
      <c r="E16" s="12" t="s">
        <v>504</v>
      </c>
      <c r="F16" s="12" t="s">
        <v>21</v>
      </c>
      <c r="G16" s="29" t="s">
        <v>67</v>
      </c>
      <c r="H16" s="110" t="s">
        <v>23</v>
      </c>
      <c r="I16" s="110"/>
      <c r="J16" s="110"/>
      <c r="K16" s="110"/>
      <c r="L16" s="110"/>
    </row>
    <row r="17" spans="1:12" ht="18" customHeight="1" x14ac:dyDescent="0.2">
      <c r="A17" s="18" t="s">
        <v>68</v>
      </c>
      <c r="B17" s="18" t="s">
        <v>111</v>
      </c>
      <c r="C17" s="16">
        <f>1.8*661.47</f>
        <v>1190.6460000000002</v>
      </c>
      <c r="D17" s="19" t="s">
        <v>125</v>
      </c>
      <c r="E17" s="18" t="s">
        <v>504</v>
      </c>
      <c r="F17" s="18" t="s">
        <v>6</v>
      </c>
      <c r="G17" s="32" t="s">
        <v>137</v>
      </c>
      <c r="H17" s="108" t="s">
        <v>69</v>
      </c>
      <c r="I17" s="108"/>
      <c r="J17" s="108"/>
      <c r="K17" s="108"/>
      <c r="L17" s="108"/>
    </row>
    <row r="18" spans="1:12" ht="18" customHeight="1" x14ac:dyDescent="0.2">
      <c r="A18" s="18" t="s">
        <v>71</v>
      </c>
      <c r="B18" s="18" t="s">
        <v>112</v>
      </c>
      <c r="C18" s="16">
        <v>216.65</v>
      </c>
      <c r="D18" s="19" t="s">
        <v>125</v>
      </c>
      <c r="E18" s="18" t="s">
        <v>72</v>
      </c>
      <c r="F18" s="18" t="s">
        <v>6</v>
      </c>
      <c r="G18" s="32" t="s">
        <v>137</v>
      </c>
      <c r="H18" s="108" t="s">
        <v>69</v>
      </c>
      <c r="I18" s="108"/>
      <c r="J18" s="108"/>
      <c r="K18" s="108"/>
      <c r="L18" s="108"/>
    </row>
    <row r="19" spans="1:12" ht="18" customHeight="1" x14ac:dyDescent="0.2">
      <c r="A19" s="18" t="s">
        <v>73</v>
      </c>
      <c r="B19" s="18" t="s">
        <v>113</v>
      </c>
      <c r="C19" s="16">
        <v>288.14999999999998</v>
      </c>
      <c r="D19" s="19" t="s">
        <v>125</v>
      </c>
      <c r="E19" s="18" t="s">
        <v>72</v>
      </c>
      <c r="F19" s="18" t="s">
        <v>6</v>
      </c>
      <c r="G19" s="32" t="s">
        <v>137</v>
      </c>
      <c r="H19" s="108" t="s">
        <v>69</v>
      </c>
      <c r="I19" s="108"/>
      <c r="J19" s="108"/>
      <c r="K19" s="108"/>
      <c r="L19" s="108"/>
    </row>
    <row r="20" spans="1:12" ht="18" customHeight="1" x14ac:dyDescent="0.2">
      <c r="A20" s="27" t="s">
        <v>371</v>
      </c>
      <c r="B20" s="27" t="s">
        <v>372</v>
      </c>
      <c r="C20" s="35">
        <v>4.6200000000000001E-4</v>
      </c>
      <c r="D20" s="19" t="s">
        <v>125</v>
      </c>
      <c r="E20" s="27" t="s">
        <v>373</v>
      </c>
      <c r="F20" s="27" t="s">
        <v>374</v>
      </c>
      <c r="G20" s="32" t="s">
        <v>137</v>
      </c>
      <c r="H20" s="108"/>
      <c r="I20" s="108"/>
      <c r="J20" s="108"/>
      <c r="K20" s="108"/>
      <c r="L20" s="108"/>
    </row>
    <row r="21" spans="1:12" ht="18" customHeight="1" x14ac:dyDescent="0.2">
      <c r="A21" s="18" t="s">
        <v>193</v>
      </c>
      <c r="B21" s="18" t="s">
        <v>194</v>
      </c>
      <c r="C21" s="16">
        <v>3</v>
      </c>
      <c r="D21" s="19" t="s">
        <v>125</v>
      </c>
      <c r="E21" s="18" t="s">
        <v>104</v>
      </c>
      <c r="F21" s="18" t="s">
        <v>14</v>
      </c>
      <c r="G21" s="32" t="s">
        <v>137</v>
      </c>
      <c r="H21" s="115" t="s">
        <v>195</v>
      </c>
      <c r="I21" s="116"/>
      <c r="J21" s="116"/>
      <c r="K21" s="116"/>
      <c r="L21" s="116"/>
    </row>
    <row r="22" spans="1:12" ht="18" customHeight="1" x14ac:dyDescent="0.2">
      <c r="A22" s="18" t="s">
        <v>251</v>
      </c>
      <c r="B22" s="18" t="s">
        <v>252</v>
      </c>
      <c r="C22" s="16">
        <v>2445</v>
      </c>
      <c r="D22" s="19" t="s">
        <v>125</v>
      </c>
      <c r="E22" s="18" t="s">
        <v>223</v>
      </c>
      <c r="F22" s="18" t="s">
        <v>6</v>
      </c>
      <c r="G22" s="32" t="s">
        <v>137</v>
      </c>
      <c r="H22" s="115" t="s">
        <v>253</v>
      </c>
      <c r="I22" s="115"/>
      <c r="J22" s="115"/>
      <c r="K22" s="115"/>
      <c r="L22" s="115"/>
    </row>
    <row r="23" spans="1:12" ht="18" customHeight="1" x14ac:dyDescent="0.2">
      <c r="A23" s="18" t="s">
        <v>254</v>
      </c>
      <c r="B23" s="18" t="s">
        <v>123</v>
      </c>
      <c r="C23" s="16">
        <f>C22*C21</f>
        <v>7335</v>
      </c>
      <c r="D23" s="19" t="s">
        <v>125</v>
      </c>
      <c r="E23" s="18" t="s">
        <v>223</v>
      </c>
      <c r="F23" s="18" t="s">
        <v>6</v>
      </c>
      <c r="G23" s="32" t="s">
        <v>137</v>
      </c>
      <c r="H23" s="115" t="s">
        <v>253</v>
      </c>
      <c r="I23" s="115"/>
      <c r="J23" s="115"/>
      <c r="K23" s="115"/>
      <c r="L23" s="115"/>
    </row>
    <row r="24" spans="1:12" s="10" customFormat="1" ht="40" customHeight="1" x14ac:dyDescent="0.2">
      <c r="A24" s="17" t="s">
        <v>76</v>
      </c>
      <c r="B24" s="17" t="s">
        <v>114</v>
      </c>
      <c r="C24" s="19">
        <f>C4-C4/EXP(('Design Constraints'!B7/C17)/((1.6*C14)/(C13/SQRT(C18/C19))))</f>
        <v>18064.117938321608</v>
      </c>
      <c r="D24" s="19" t="s">
        <v>125</v>
      </c>
      <c r="E24" s="20" t="s">
        <v>17</v>
      </c>
      <c r="F24" s="20" t="s">
        <v>21</v>
      </c>
      <c r="G24" s="28" t="s">
        <v>77</v>
      </c>
      <c r="H24" s="109" t="s">
        <v>75</v>
      </c>
      <c r="I24" s="109"/>
      <c r="J24" s="109"/>
      <c r="K24" s="109"/>
      <c r="L24" s="109"/>
    </row>
    <row r="25" spans="1:12" ht="22" customHeight="1" x14ac:dyDescent="0.25">
      <c r="A25" s="113" t="s">
        <v>78</v>
      </c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</row>
    <row r="26" spans="1:12" ht="18" customHeight="1" x14ac:dyDescent="0.2">
      <c r="A26" s="23" t="s">
        <v>5</v>
      </c>
      <c r="B26" s="23" t="s">
        <v>96</v>
      </c>
      <c r="C26" s="24" t="s">
        <v>7</v>
      </c>
      <c r="D26" s="43" t="s">
        <v>125</v>
      </c>
      <c r="E26" s="24" t="s">
        <v>8</v>
      </c>
      <c r="F26" s="24" t="s">
        <v>9</v>
      </c>
      <c r="G26" s="31" t="s">
        <v>10</v>
      </c>
      <c r="H26" s="111" t="s">
        <v>11</v>
      </c>
      <c r="I26" s="111"/>
      <c r="J26" s="111"/>
      <c r="K26" s="111"/>
      <c r="L26" s="111"/>
    </row>
    <row r="27" spans="1:12" ht="18" customHeight="1" x14ac:dyDescent="0.2">
      <c r="A27" s="12" t="s">
        <v>141</v>
      </c>
      <c r="B27" s="12" t="s">
        <v>114</v>
      </c>
      <c r="C27" s="22">
        <f>C24</f>
        <v>18064.117938321608</v>
      </c>
      <c r="D27" s="44" t="s">
        <v>125</v>
      </c>
      <c r="E27" s="12" t="s">
        <v>17</v>
      </c>
      <c r="F27" s="12" t="s">
        <v>80</v>
      </c>
      <c r="G27" s="28" t="s">
        <v>137</v>
      </c>
      <c r="H27" s="110" t="s">
        <v>137</v>
      </c>
      <c r="I27" s="110"/>
      <c r="J27" s="110"/>
      <c r="K27" s="110"/>
      <c r="L27" s="110"/>
    </row>
    <row r="28" spans="1:12" ht="18" customHeight="1" x14ac:dyDescent="0.2">
      <c r="A28" s="39" t="s">
        <v>469</v>
      </c>
      <c r="B28" s="39" t="s">
        <v>470</v>
      </c>
      <c r="C28" s="22">
        <f>C4 - (C4/(EXP(0.75/((1/C13)*4.289))))</f>
        <v>7981.1474633908001</v>
      </c>
      <c r="D28" s="44" t="s">
        <v>125</v>
      </c>
      <c r="E28" s="39" t="s">
        <v>223</v>
      </c>
      <c r="F28" s="39" t="s">
        <v>21</v>
      </c>
      <c r="G28" s="30" t="s">
        <v>471</v>
      </c>
      <c r="H28" s="110" t="s">
        <v>472</v>
      </c>
      <c r="I28" s="110"/>
      <c r="J28" s="110"/>
      <c r="K28" s="110"/>
      <c r="L28" s="110"/>
    </row>
    <row r="29" spans="1:12" ht="18" customHeight="1" x14ac:dyDescent="0.2">
      <c r="A29" s="12" t="s">
        <v>81</v>
      </c>
      <c r="B29" s="12" t="s">
        <v>116</v>
      </c>
      <c r="C29" s="22">
        <v>49.942999999999998</v>
      </c>
      <c r="D29" s="44" t="s">
        <v>125</v>
      </c>
      <c r="E29" s="12" t="s">
        <v>142</v>
      </c>
      <c r="F29" s="12" t="s">
        <v>82</v>
      </c>
      <c r="G29" s="28" t="s">
        <v>137</v>
      </c>
      <c r="H29" s="110" t="s">
        <v>82</v>
      </c>
      <c r="I29" s="110"/>
      <c r="J29" s="110"/>
      <c r="K29" s="110"/>
      <c r="L29" s="110"/>
    </row>
    <row r="30" spans="1:12" ht="18" customHeight="1" x14ac:dyDescent="0.2">
      <c r="A30" s="12" t="s">
        <v>84</v>
      </c>
      <c r="B30" s="12" t="s">
        <v>117</v>
      </c>
      <c r="C30" s="22">
        <f>C27/C29</f>
        <v>361.69469071384594</v>
      </c>
      <c r="D30" s="44" t="s">
        <v>125</v>
      </c>
      <c r="E30" s="12" t="s">
        <v>143</v>
      </c>
      <c r="F30" s="12" t="s">
        <v>144</v>
      </c>
      <c r="G30" s="29" t="s">
        <v>137</v>
      </c>
      <c r="H30" s="110" t="s">
        <v>137</v>
      </c>
      <c r="I30" s="110"/>
      <c r="J30" s="110"/>
      <c r="K30" s="110"/>
      <c r="L30" s="110"/>
    </row>
    <row r="31" spans="1:12" ht="22" customHeight="1" x14ac:dyDescent="0.25">
      <c r="A31" s="113" t="s">
        <v>85</v>
      </c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</row>
    <row r="32" spans="1:12" ht="18" customHeight="1" x14ac:dyDescent="0.2">
      <c r="A32" s="23" t="s">
        <v>5</v>
      </c>
      <c r="B32" s="23" t="s">
        <v>96</v>
      </c>
      <c r="C32" s="24" t="s">
        <v>7</v>
      </c>
      <c r="D32" s="43" t="s">
        <v>125</v>
      </c>
      <c r="E32" s="24" t="s">
        <v>8</v>
      </c>
      <c r="F32" s="24" t="s">
        <v>9</v>
      </c>
      <c r="G32" s="31" t="s">
        <v>10</v>
      </c>
      <c r="H32" s="111" t="s">
        <v>11</v>
      </c>
      <c r="I32" s="111"/>
      <c r="J32" s="111"/>
      <c r="K32" s="111"/>
      <c r="L32" s="111"/>
    </row>
    <row r="33" spans="1:12" ht="18" customHeight="1" x14ac:dyDescent="0.2">
      <c r="A33" s="12" t="s">
        <v>86</v>
      </c>
      <c r="B33" s="12" t="s">
        <v>118</v>
      </c>
      <c r="C33" s="13">
        <f>0.134*C4</f>
        <v>9707.630000000001</v>
      </c>
      <c r="D33" s="41" t="s">
        <v>125</v>
      </c>
      <c r="E33" s="12" t="s">
        <v>17</v>
      </c>
      <c r="F33" s="17" t="s">
        <v>6</v>
      </c>
      <c r="G33" s="28" t="s">
        <v>139</v>
      </c>
      <c r="H33" s="110" t="s">
        <v>136</v>
      </c>
      <c r="I33" s="110"/>
      <c r="J33" s="110"/>
      <c r="K33" s="110"/>
      <c r="L33" s="110"/>
    </row>
    <row r="34" spans="1:12" ht="18" customHeight="1" x14ac:dyDescent="0.2">
      <c r="A34" s="12" t="s">
        <v>87</v>
      </c>
      <c r="B34" s="12" t="s">
        <v>119</v>
      </c>
      <c r="C34" s="13">
        <f>0.0177*C4</f>
        <v>1282.2764999999999</v>
      </c>
      <c r="D34" s="41" t="s">
        <v>125</v>
      </c>
      <c r="E34" s="12" t="s">
        <v>17</v>
      </c>
      <c r="F34" s="17" t="s">
        <v>6</v>
      </c>
      <c r="G34" s="29" t="s">
        <v>135</v>
      </c>
      <c r="H34" s="110" t="s">
        <v>136</v>
      </c>
      <c r="I34" s="110"/>
      <c r="J34" s="110"/>
      <c r="K34" s="110"/>
      <c r="L34" s="110"/>
    </row>
    <row r="35" spans="1:12" ht="18" customHeight="1" x14ac:dyDescent="0.2">
      <c r="A35" s="12" t="s">
        <v>88</v>
      </c>
      <c r="B35" s="12" t="s">
        <v>120</v>
      </c>
      <c r="C35" s="13">
        <f>0.105*C4</f>
        <v>7606.7249999999995</v>
      </c>
      <c r="D35" s="41" t="s">
        <v>125</v>
      </c>
      <c r="E35" s="12" t="s">
        <v>17</v>
      </c>
      <c r="F35" s="17" t="s">
        <v>6</v>
      </c>
      <c r="G35" s="29" t="s">
        <v>135</v>
      </c>
      <c r="H35" s="110" t="s">
        <v>136</v>
      </c>
      <c r="I35" s="110"/>
      <c r="J35" s="110"/>
      <c r="K35" s="110"/>
      <c r="L35" s="110"/>
    </row>
    <row r="36" spans="1:12" ht="18" customHeight="1" x14ac:dyDescent="0.2">
      <c r="A36" s="12" t="s">
        <v>89</v>
      </c>
      <c r="B36" s="12" t="s">
        <v>121</v>
      </c>
      <c r="C36" s="13">
        <f>0.0463*C4</f>
        <v>3354.2035000000001</v>
      </c>
      <c r="D36" s="41" t="s">
        <v>125</v>
      </c>
      <c r="E36" s="12" t="s">
        <v>17</v>
      </c>
      <c r="F36" s="17" t="s">
        <v>6</v>
      </c>
      <c r="G36" s="29" t="s">
        <v>135</v>
      </c>
      <c r="H36" s="110" t="s">
        <v>136</v>
      </c>
      <c r="I36" s="110"/>
      <c r="J36" s="110"/>
      <c r="K36" s="110"/>
      <c r="L36" s="110"/>
    </row>
    <row r="37" spans="1:12" ht="18" customHeight="1" x14ac:dyDescent="0.2">
      <c r="A37" s="12" t="s">
        <v>90</v>
      </c>
      <c r="B37" s="12" t="s">
        <v>229</v>
      </c>
      <c r="C37" s="13">
        <f>0.0187*C4</f>
        <v>1354.7215000000001</v>
      </c>
      <c r="D37" s="41" t="s">
        <v>125</v>
      </c>
      <c r="E37" s="12" t="s">
        <v>17</v>
      </c>
      <c r="F37" s="17" t="s">
        <v>6</v>
      </c>
      <c r="G37" s="29" t="s">
        <v>135</v>
      </c>
      <c r="H37" s="110" t="s">
        <v>136</v>
      </c>
      <c r="I37" s="110"/>
      <c r="J37" s="110"/>
      <c r="K37" s="110"/>
      <c r="L37" s="110"/>
    </row>
    <row r="38" spans="1:12" ht="18" customHeight="1" x14ac:dyDescent="0.2">
      <c r="A38" s="12" t="s">
        <v>91</v>
      </c>
      <c r="B38" s="12" t="s">
        <v>122</v>
      </c>
      <c r="C38" s="13">
        <f>0.0143*C4</f>
        <v>1035.9635000000001</v>
      </c>
      <c r="D38" s="41" t="s">
        <v>125</v>
      </c>
      <c r="E38" s="12" t="s">
        <v>17</v>
      </c>
      <c r="F38" s="17" t="s">
        <v>6</v>
      </c>
      <c r="G38" s="29" t="s">
        <v>135</v>
      </c>
      <c r="H38" s="110" t="s">
        <v>136</v>
      </c>
      <c r="I38" s="110"/>
      <c r="J38" s="110"/>
      <c r="K38" s="110"/>
      <c r="L38" s="110"/>
    </row>
    <row r="39" spans="1:12" ht="18" customHeight="1" x14ac:dyDescent="0.2">
      <c r="A39" s="21" t="s">
        <v>192</v>
      </c>
      <c r="B39" s="21" t="s">
        <v>123</v>
      </c>
      <c r="C39" s="13">
        <v>2445</v>
      </c>
      <c r="D39" s="51" t="s">
        <v>125</v>
      </c>
      <c r="E39" s="49" t="s">
        <v>17</v>
      </c>
      <c r="F39" s="17" t="s">
        <v>6</v>
      </c>
      <c r="G39" s="28" t="s">
        <v>139</v>
      </c>
      <c r="H39" s="117" t="s">
        <v>138</v>
      </c>
      <c r="I39" s="117"/>
      <c r="J39" s="117"/>
      <c r="K39" s="117"/>
      <c r="L39" s="117"/>
    </row>
    <row r="40" spans="1:12" ht="18" customHeight="1" x14ac:dyDescent="0.2">
      <c r="A40" s="21" t="s">
        <v>196</v>
      </c>
      <c r="B40" s="21" t="s">
        <v>200</v>
      </c>
      <c r="C40" s="13">
        <v>45</v>
      </c>
      <c r="D40" s="41" t="s">
        <v>125</v>
      </c>
      <c r="E40" s="12" t="s">
        <v>17</v>
      </c>
      <c r="F40" s="17" t="s">
        <v>6</v>
      </c>
      <c r="G40" s="28" t="s">
        <v>139</v>
      </c>
      <c r="H40" s="110" t="s">
        <v>136</v>
      </c>
      <c r="I40" s="110"/>
      <c r="J40" s="110"/>
      <c r="K40" s="110"/>
      <c r="L40" s="110"/>
    </row>
    <row r="41" spans="1:12" ht="18" customHeight="1" x14ac:dyDescent="0.2">
      <c r="A41" s="21" t="s">
        <v>197</v>
      </c>
      <c r="B41" s="21" t="s">
        <v>201</v>
      </c>
      <c r="C41" s="13">
        <v>30</v>
      </c>
      <c r="D41" s="41" t="s">
        <v>125</v>
      </c>
      <c r="E41" s="12" t="s">
        <v>17</v>
      </c>
      <c r="F41" s="17" t="s">
        <v>6</v>
      </c>
      <c r="G41" s="28" t="s">
        <v>139</v>
      </c>
      <c r="H41" s="110" t="s">
        <v>136</v>
      </c>
      <c r="I41" s="110"/>
      <c r="J41" s="110"/>
      <c r="K41" s="110"/>
      <c r="L41" s="110"/>
    </row>
    <row r="42" spans="1:12" ht="18" customHeight="1" x14ac:dyDescent="0.2">
      <c r="A42" s="21" t="s">
        <v>198</v>
      </c>
      <c r="B42" s="21" t="s">
        <v>202</v>
      </c>
      <c r="C42" s="13">
        <v>40</v>
      </c>
      <c r="D42" s="41" t="s">
        <v>125</v>
      </c>
      <c r="E42" s="12" t="s">
        <v>17</v>
      </c>
      <c r="F42" s="17" t="s">
        <v>6</v>
      </c>
      <c r="G42" s="28" t="s">
        <v>139</v>
      </c>
      <c r="H42" s="110" t="s">
        <v>136</v>
      </c>
      <c r="I42" s="110"/>
      <c r="J42" s="110"/>
      <c r="K42" s="110"/>
      <c r="L42" s="110"/>
    </row>
    <row r="43" spans="1:12" ht="18" customHeight="1" x14ac:dyDescent="0.2">
      <c r="A43" s="21" t="s">
        <v>199</v>
      </c>
      <c r="B43" s="21" t="s">
        <v>203</v>
      </c>
      <c r="C43" s="13">
        <v>200</v>
      </c>
      <c r="D43" s="41" t="s">
        <v>125</v>
      </c>
      <c r="E43" s="12" t="s">
        <v>17</v>
      </c>
      <c r="F43" s="17" t="s">
        <v>6</v>
      </c>
      <c r="G43" s="28" t="s">
        <v>139</v>
      </c>
      <c r="H43" s="110" t="s">
        <v>136</v>
      </c>
      <c r="I43" s="110"/>
      <c r="J43" s="110"/>
      <c r="K43" s="110"/>
      <c r="L43" s="110"/>
    </row>
    <row r="44" spans="1:12" ht="18" customHeight="1" x14ac:dyDescent="0.2">
      <c r="A44" s="21" t="s">
        <v>303</v>
      </c>
      <c r="B44" s="21" t="s">
        <v>306</v>
      </c>
      <c r="C44" s="13">
        <v>4</v>
      </c>
      <c r="D44" s="41" t="s">
        <v>125</v>
      </c>
      <c r="E44" s="12" t="s">
        <v>104</v>
      </c>
      <c r="F44" s="17" t="s">
        <v>6</v>
      </c>
      <c r="G44" s="28" t="s">
        <v>139</v>
      </c>
      <c r="H44" s="110" t="s">
        <v>309</v>
      </c>
      <c r="I44" s="110"/>
      <c r="J44" s="110"/>
      <c r="K44" s="110"/>
      <c r="L44" s="110"/>
    </row>
    <row r="45" spans="1:12" ht="18" customHeight="1" x14ac:dyDescent="0.2">
      <c r="A45" s="21" t="s">
        <v>304</v>
      </c>
      <c r="B45" s="21" t="s">
        <v>307</v>
      </c>
      <c r="C45" s="13">
        <v>4</v>
      </c>
      <c r="D45" s="41" t="s">
        <v>125</v>
      </c>
      <c r="E45" s="12" t="s">
        <v>104</v>
      </c>
      <c r="F45" s="17" t="s">
        <v>6</v>
      </c>
      <c r="G45" s="28" t="s">
        <v>139</v>
      </c>
      <c r="H45" s="110" t="s">
        <v>309</v>
      </c>
      <c r="I45" s="110"/>
      <c r="J45" s="110"/>
      <c r="K45" s="110"/>
      <c r="L45" s="110"/>
    </row>
    <row r="46" spans="1:12" ht="18" customHeight="1" x14ac:dyDescent="0.2">
      <c r="A46" s="21" t="s">
        <v>305</v>
      </c>
      <c r="B46" s="21" t="s">
        <v>308</v>
      </c>
      <c r="C46" s="13">
        <v>4</v>
      </c>
      <c r="D46" s="41" t="s">
        <v>125</v>
      </c>
      <c r="E46" s="12" t="s">
        <v>104</v>
      </c>
      <c r="F46" s="17" t="s">
        <v>6</v>
      </c>
      <c r="G46" s="28" t="s">
        <v>139</v>
      </c>
      <c r="H46" s="110" t="s">
        <v>309</v>
      </c>
      <c r="I46" s="110"/>
      <c r="J46" s="110"/>
      <c r="K46" s="110"/>
      <c r="L46" s="110"/>
    </row>
    <row r="47" spans="1:12" ht="22" customHeight="1" x14ac:dyDescent="0.25">
      <c r="A47" s="113" t="s">
        <v>92</v>
      </c>
      <c r="B47" s="113"/>
      <c r="C47" s="113"/>
      <c r="D47" s="113"/>
      <c r="E47" s="113"/>
      <c r="F47" s="113"/>
      <c r="G47" s="113"/>
      <c r="H47" s="114"/>
      <c r="I47" s="114"/>
      <c r="J47" s="114"/>
      <c r="K47" s="114"/>
      <c r="L47" s="114"/>
    </row>
    <row r="48" spans="1:12" ht="18" customHeight="1" x14ac:dyDescent="0.2">
      <c r="A48" s="23" t="s">
        <v>5</v>
      </c>
      <c r="B48" s="23" t="s">
        <v>96</v>
      </c>
      <c r="C48" s="24" t="s">
        <v>7</v>
      </c>
      <c r="D48" s="43" t="s">
        <v>125</v>
      </c>
      <c r="E48" s="24" t="s">
        <v>8</v>
      </c>
      <c r="F48" s="24" t="s">
        <v>9</v>
      </c>
      <c r="G48" s="31" t="s">
        <v>10</v>
      </c>
      <c r="H48" s="111" t="s">
        <v>11</v>
      </c>
      <c r="I48" s="111"/>
      <c r="J48" s="111"/>
      <c r="K48" s="111"/>
      <c r="L48" s="111"/>
    </row>
    <row r="49" spans="1:12" ht="18" customHeight="1" x14ac:dyDescent="0.2">
      <c r="A49" s="12" t="s">
        <v>28</v>
      </c>
      <c r="B49" s="12" t="s">
        <v>124</v>
      </c>
      <c r="C49" s="13">
        <v>100</v>
      </c>
      <c r="D49" s="41" t="s">
        <v>125</v>
      </c>
      <c r="E49" s="12" t="s">
        <v>29</v>
      </c>
      <c r="F49" s="17" t="s">
        <v>30</v>
      </c>
      <c r="G49" s="29" t="s">
        <v>140</v>
      </c>
      <c r="H49" s="110" t="s">
        <v>140</v>
      </c>
      <c r="I49" s="110"/>
      <c r="J49" s="110"/>
      <c r="K49" s="110"/>
      <c r="L49" s="110"/>
    </row>
    <row r="50" spans="1:12" ht="18" customHeight="1" x14ac:dyDescent="0.2">
      <c r="A50" s="12" t="s">
        <v>34</v>
      </c>
      <c r="B50" s="12" t="s">
        <v>126</v>
      </c>
      <c r="C50" s="13">
        <v>42.17</v>
      </c>
      <c r="D50" s="41" t="s">
        <v>125</v>
      </c>
      <c r="E50" s="12" t="s">
        <v>29</v>
      </c>
      <c r="F50" s="17" t="s">
        <v>30</v>
      </c>
      <c r="G50" s="29" t="s">
        <v>140</v>
      </c>
      <c r="H50" s="110" t="s">
        <v>140</v>
      </c>
      <c r="I50" s="110"/>
      <c r="J50" s="110"/>
      <c r="K50" s="110"/>
      <c r="L50" s="110"/>
    </row>
    <row r="51" spans="1:12" ht="18" customHeight="1" x14ac:dyDescent="0.2">
      <c r="A51" s="12" t="s">
        <v>37</v>
      </c>
      <c r="B51" s="12" t="s">
        <v>127</v>
      </c>
      <c r="C51" s="13">
        <v>29.9</v>
      </c>
      <c r="D51" s="41" t="s">
        <v>125</v>
      </c>
      <c r="E51" s="12" t="s">
        <v>29</v>
      </c>
      <c r="F51" s="17" t="s">
        <v>30</v>
      </c>
      <c r="G51" s="29" t="s">
        <v>140</v>
      </c>
      <c r="H51" s="110" t="s">
        <v>140</v>
      </c>
      <c r="I51" s="110"/>
      <c r="J51" s="110"/>
      <c r="K51" s="110"/>
      <c r="L51" s="110"/>
    </row>
    <row r="52" spans="1:12" ht="18" customHeight="1" x14ac:dyDescent="0.2">
      <c r="A52" s="12" t="s">
        <v>153</v>
      </c>
      <c r="B52" s="12" t="s">
        <v>154</v>
      </c>
      <c r="C52" s="13">
        <v>13</v>
      </c>
      <c r="D52" s="41" t="s">
        <v>125</v>
      </c>
      <c r="E52" s="12" t="s">
        <v>29</v>
      </c>
      <c r="F52" s="17" t="s">
        <v>30</v>
      </c>
      <c r="G52" s="29" t="s">
        <v>140</v>
      </c>
      <c r="H52" s="110" t="s">
        <v>140</v>
      </c>
      <c r="I52" s="110"/>
      <c r="J52" s="110"/>
      <c r="K52" s="110"/>
      <c r="L52" s="110"/>
    </row>
    <row r="53" spans="1:12" ht="18" customHeight="1" x14ac:dyDescent="0.2">
      <c r="A53" s="12" t="s">
        <v>155</v>
      </c>
      <c r="B53" s="12" t="s">
        <v>156</v>
      </c>
      <c r="C53" s="13">
        <v>10</v>
      </c>
      <c r="D53" s="41" t="s">
        <v>125</v>
      </c>
      <c r="E53" s="12" t="s">
        <v>29</v>
      </c>
      <c r="F53" s="17" t="s">
        <v>30</v>
      </c>
      <c r="G53" s="29" t="s">
        <v>140</v>
      </c>
      <c r="H53" s="110" t="s">
        <v>140</v>
      </c>
      <c r="I53" s="110"/>
      <c r="J53" s="110"/>
      <c r="K53" s="110"/>
      <c r="L53" s="110"/>
    </row>
    <row r="54" spans="1:12" ht="18" customHeight="1" x14ac:dyDescent="0.2">
      <c r="A54" s="12" t="s">
        <v>157</v>
      </c>
      <c r="B54" s="12" t="s">
        <v>159</v>
      </c>
      <c r="C54" s="13">
        <v>10</v>
      </c>
      <c r="D54" s="41" t="s">
        <v>125</v>
      </c>
      <c r="E54" s="12" t="s">
        <v>29</v>
      </c>
      <c r="F54" s="17" t="s">
        <v>30</v>
      </c>
      <c r="G54" s="29" t="s">
        <v>140</v>
      </c>
      <c r="H54" s="110" t="s">
        <v>140</v>
      </c>
      <c r="I54" s="110"/>
      <c r="J54" s="110"/>
      <c r="K54" s="110"/>
      <c r="L54" s="110"/>
    </row>
    <row r="55" spans="1:12" ht="18" customHeight="1" x14ac:dyDescent="0.2">
      <c r="A55" s="12" t="s">
        <v>158</v>
      </c>
      <c r="B55" s="12" t="s">
        <v>160</v>
      </c>
      <c r="C55" s="13">
        <v>10</v>
      </c>
      <c r="D55" s="41" t="s">
        <v>125</v>
      </c>
      <c r="E55" s="12" t="s">
        <v>29</v>
      </c>
      <c r="F55" s="17" t="s">
        <v>30</v>
      </c>
      <c r="G55" s="29" t="s">
        <v>140</v>
      </c>
      <c r="H55" s="110" t="s">
        <v>140</v>
      </c>
      <c r="I55" s="110"/>
      <c r="J55" s="110"/>
      <c r="K55" s="110"/>
      <c r="L55" s="110"/>
    </row>
    <row r="56" spans="1:12" ht="18" customHeight="1" x14ac:dyDescent="0.2">
      <c r="A56" s="12" t="s">
        <v>161</v>
      </c>
      <c r="B56" s="12" t="s">
        <v>259</v>
      </c>
      <c r="C56" s="13">
        <v>14</v>
      </c>
      <c r="D56" s="41" t="s">
        <v>125</v>
      </c>
      <c r="E56" s="12" t="s">
        <v>29</v>
      </c>
      <c r="F56" s="17" t="s">
        <v>30</v>
      </c>
      <c r="G56" s="29" t="s">
        <v>140</v>
      </c>
      <c r="H56" s="110" t="s">
        <v>140</v>
      </c>
      <c r="I56" s="110"/>
      <c r="J56" s="110"/>
      <c r="K56" s="110"/>
      <c r="L56" s="110"/>
    </row>
    <row r="57" spans="1:12" ht="18" customHeight="1" x14ac:dyDescent="0.2">
      <c r="A57" s="12" t="s">
        <v>39</v>
      </c>
      <c r="B57" s="12" t="s">
        <v>128</v>
      </c>
      <c r="C57" s="13">
        <v>27.82</v>
      </c>
      <c r="D57" s="41" t="s">
        <v>125</v>
      </c>
      <c r="E57" s="12" t="s">
        <v>29</v>
      </c>
      <c r="F57" s="17" t="s">
        <v>30</v>
      </c>
      <c r="G57" s="29" t="s">
        <v>140</v>
      </c>
      <c r="H57" s="110" t="s">
        <v>140</v>
      </c>
      <c r="I57" s="110"/>
      <c r="J57" s="110"/>
      <c r="K57" s="110"/>
      <c r="L57" s="110"/>
    </row>
    <row r="58" spans="1:12" ht="18" customHeight="1" x14ac:dyDescent="0.2">
      <c r="A58" s="12" t="s">
        <v>41</v>
      </c>
      <c r="B58" s="12" t="s">
        <v>129</v>
      </c>
      <c r="C58" s="13">
        <v>8.5</v>
      </c>
      <c r="D58" s="41" t="s">
        <v>125</v>
      </c>
      <c r="E58" s="12" t="s">
        <v>29</v>
      </c>
      <c r="F58" s="17" t="s">
        <v>30</v>
      </c>
      <c r="G58" s="29" t="s">
        <v>140</v>
      </c>
      <c r="H58" s="110" t="s">
        <v>140</v>
      </c>
      <c r="I58" s="110"/>
      <c r="J58" s="110"/>
      <c r="K58" s="110"/>
      <c r="L58" s="110"/>
    </row>
    <row r="59" spans="1:12" ht="18" customHeight="1" x14ac:dyDescent="0.2">
      <c r="A59" s="12" t="s">
        <v>93</v>
      </c>
      <c r="B59" s="12" t="s">
        <v>130</v>
      </c>
      <c r="C59" s="13">
        <v>25</v>
      </c>
      <c r="D59" s="41" t="s">
        <v>125</v>
      </c>
      <c r="E59" s="12" t="s">
        <v>29</v>
      </c>
      <c r="F59" s="17" t="s">
        <v>30</v>
      </c>
      <c r="G59" s="29" t="s">
        <v>140</v>
      </c>
      <c r="H59" s="110" t="s">
        <v>140</v>
      </c>
      <c r="I59" s="110"/>
      <c r="J59" s="110"/>
      <c r="K59" s="110"/>
      <c r="L59" s="110"/>
    </row>
    <row r="60" spans="1:12" ht="18" customHeight="1" x14ac:dyDescent="0.2">
      <c r="A60" s="12" t="s">
        <v>94</v>
      </c>
      <c r="B60" s="12" t="s">
        <v>131</v>
      </c>
      <c r="C60" s="13">
        <f>C58+(2*C7)</f>
        <v>68.644000000000005</v>
      </c>
      <c r="D60" s="41" t="s">
        <v>125</v>
      </c>
      <c r="E60" s="12" t="s">
        <v>29</v>
      </c>
      <c r="F60" s="12" t="s">
        <v>95</v>
      </c>
      <c r="G60" s="29" t="s">
        <v>140</v>
      </c>
      <c r="H60" s="110" t="s">
        <v>140</v>
      </c>
      <c r="I60" s="110"/>
      <c r="J60" s="110"/>
      <c r="K60" s="110"/>
      <c r="L60" s="110"/>
    </row>
    <row r="61" spans="1:12" s="26" customFormat="1" ht="18" customHeight="1" x14ac:dyDescent="0.2">
      <c r="A61" s="12" t="s">
        <v>356</v>
      </c>
      <c r="B61" s="12" t="s">
        <v>357</v>
      </c>
      <c r="C61" s="12">
        <f>(C58/2)^2*PI()*C50</f>
        <v>2392.9373797714861</v>
      </c>
      <c r="D61" s="41" t="s">
        <v>125</v>
      </c>
      <c r="E61" s="12" t="s">
        <v>222</v>
      </c>
      <c r="F61" s="12" t="s">
        <v>48</v>
      </c>
      <c r="G61" s="29" t="s">
        <v>361</v>
      </c>
      <c r="H61" s="110"/>
      <c r="I61" s="110"/>
      <c r="J61" s="110"/>
      <c r="K61" s="110"/>
      <c r="L61" s="110"/>
    </row>
    <row r="62" spans="1:12" s="12" customFormat="1" ht="18" customHeight="1" x14ac:dyDescent="0.2">
      <c r="A62" s="12" t="s">
        <v>359</v>
      </c>
      <c r="B62" s="12" t="s">
        <v>358</v>
      </c>
      <c r="C62" s="12">
        <f>PI()*(C58/2)^2*C51</f>
        <v>1696.6760174334224</v>
      </c>
      <c r="D62" s="41" t="s">
        <v>125</v>
      </c>
      <c r="E62" s="12" t="s">
        <v>360</v>
      </c>
      <c r="G62" s="29" t="s">
        <v>362</v>
      </c>
      <c r="H62" s="110"/>
      <c r="I62" s="110"/>
      <c r="J62" s="110"/>
      <c r="K62" s="110"/>
      <c r="L62" s="110"/>
    </row>
    <row r="63" spans="1:12" ht="22" customHeight="1" x14ac:dyDescent="0.25">
      <c r="A63" s="113" t="s">
        <v>462</v>
      </c>
      <c r="B63" s="113"/>
      <c r="C63" s="113"/>
      <c r="D63" s="113"/>
      <c r="E63" s="113"/>
      <c r="F63" s="113"/>
      <c r="G63" s="113"/>
      <c r="H63" s="114"/>
      <c r="I63" s="114"/>
      <c r="J63" s="114"/>
      <c r="K63" s="114"/>
      <c r="L63" s="114"/>
    </row>
    <row r="64" spans="1:12" s="26" customFormat="1" ht="18" customHeight="1" x14ac:dyDescent="0.2">
      <c r="A64" s="23" t="s">
        <v>5</v>
      </c>
      <c r="B64" s="23" t="s">
        <v>96</v>
      </c>
      <c r="C64" s="40" t="s">
        <v>7</v>
      </c>
      <c r="D64" s="43" t="s">
        <v>125</v>
      </c>
      <c r="E64" s="40" t="s">
        <v>8</v>
      </c>
      <c r="F64" s="40" t="s">
        <v>9</v>
      </c>
      <c r="G64" s="31" t="s">
        <v>10</v>
      </c>
      <c r="H64" s="111" t="s">
        <v>11</v>
      </c>
      <c r="I64" s="111"/>
      <c r="J64" s="111"/>
      <c r="K64" s="111"/>
      <c r="L64" s="111"/>
    </row>
    <row r="65" spans="1:12" s="39" customFormat="1" ht="18" customHeight="1" x14ac:dyDescent="0.2">
      <c r="A65" s="39" t="s">
        <v>463</v>
      </c>
      <c r="B65" s="39" t="s">
        <v>467</v>
      </c>
      <c r="C65" s="13">
        <f xml:space="preserve"> C4</f>
        <v>72445</v>
      </c>
      <c r="D65" s="41" t="s">
        <v>125</v>
      </c>
      <c r="E65" s="39" t="s">
        <v>223</v>
      </c>
      <c r="F65" s="39" t="s">
        <v>6</v>
      </c>
      <c r="G65" s="29" t="s">
        <v>474</v>
      </c>
      <c r="H65" s="110" t="s">
        <v>309</v>
      </c>
      <c r="I65" s="110"/>
      <c r="J65" s="110"/>
      <c r="K65" s="110"/>
      <c r="L65" s="110"/>
    </row>
    <row r="66" spans="1:12" s="39" customFormat="1" ht="18" customHeight="1" x14ac:dyDescent="0.2">
      <c r="A66" s="39" t="s">
        <v>464</v>
      </c>
      <c r="B66" s="39" t="s">
        <v>468</v>
      </c>
      <c r="C66" s="45">
        <f>C65-C27+C28</f>
        <v>62362.029525069192</v>
      </c>
      <c r="D66" s="41" t="s">
        <v>125</v>
      </c>
      <c r="E66" s="39" t="s">
        <v>223</v>
      </c>
      <c r="F66" s="39" t="s">
        <v>6</v>
      </c>
      <c r="G66" s="29" t="s">
        <v>475</v>
      </c>
      <c r="H66" s="110" t="s">
        <v>309</v>
      </c>
      <c r="I66" s="110"/>
      <c r="J66" s="110"/>
      <c r="K66" s="110"/>
      <c r="L66" s="110"/>
    </row>
    <row r="67" spans="1:12" s="39" customFormat="1" ht="18" customHeight="1" x14ac:dyDescent="0.2">
      <c r="A67" s="39" t="s">
        <v>465</v>
      </c>
      <c r="B67" s="39" t="s">
        <v>473</v>
      </c>
      <c r="C67" s="39">
        <f>C65-13*C43</f>
        <v>69845</v>
      </c>
      <c r="D67" s="41" t="s">
        <v>125</v>
      </c>
      <c r="E67" s="39" t="s">
        <v>223</v>
      </c>
      <c r="F67" s="39" t="s">
        <v>6</v>
      </c>
      <c r="G67" s="29" t="s">
        <v>476</v>
      </c>
      <c r="H67" s="110" t="s">
        <v>309</v>
      </c>
      <c r="I67" s="110"/>
      <c r="J67" s="110"/>
      <c r="K67" s="110"/>
      <c r="L67" s="110"/>
    </row>
    <row r="68" spans="1:12" s="39" customFormat="1" ht="18" customHeight="1" x14ac:dyDescent="0.2">
      <c r="A68" s="39" t="s">
        <v>466</v>
      </c>
      <c r="B68" s="39" t="s">
        <v>473</v>
      </c>
      <c r="C68" s="39">
        <f>C66-13*C43</f>
        <v>59762.029525069192</v>
      </c>
      <c r="D68" s="41" t="s">
        <v>125</v>
      </c>
      <c r="E68" s="39" t="s">
        <v>223</v>
      </c>
      <c r="F68" s="39" t="s">
        <v>6</v>
      </c>
      <c r="G68" s="29" t="s">
        <v>477</v>
      </c>
      <c r="H68" s="110" t="s">
        <v>309</v>
      </c>
      <c r="I68" s="110"/>
      <c r="J68" s="110"/>
      <c r="K68" s="110"/>
      <c r="L68" s="110"/>
    </row>
  </sheetData>
  <mergeCells count="68">
    <mergeCell ref="H58:L58"/>
    <mergeCell ref="H59:L59"/>
    <mergeCell ref="H60:L60"/>
    <mergeCell ref="H41:L41"/>
    <mergeCell ref="H42:L42"/>
    <mergeCell ref="H43:L43"/>
    <mergeCell ref="H57:L57"/>
    <mergeCell ref="H50:L50"/>
    <mergeCell ref="H51:L51"/>
    <mergeCell ref="H52:L52"/>
    <mergeCell ref="H53:L53"/>
    <mergeCell ref="H54:L54"/>
    <mergeCell ref="H55:L55"/>
    <mergeCell ref="H56:L56"/>
    <mergeCell ref="H68:L68"/>
    <mergeCell ref="H61:L61"/>
    <mergeCell ref="H62:L62"/>
    <mergeCell ref="A63:L63"/>
    <mergeCell ref="H64:L64"/>
    <mergeCell ref="H65:L65"/>
    <mergeCell ref="H66:L66"/>
    <mergeCell ref="H67:L67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9"/>
  <sheetViews>
    <sheetView zoomScale="90" zoomScaleNormal="90" zoomScalePageLayoutView="90" workbookViewId="0">
      <selection activeCell="C4" sqref="C4"/>
    </sheetView>
  </sheetViews>
  <sheetFormatPr baseColWidth="10" defaultColWidth="15.1640625" defaultRowHeight="18" customHeight="1" x14ac:dyDescent="0.2"/>
  <cols>
    <col min="1" max="1" width="51" style="93" customWidth="1"/>
    <col min="2" max="2" width="19.33203125" style="93" customWidth="1"/>
    <col min="3" max="3" width="15.1640625" style="93"/>
    <col min="4" max="4" width="5.83203125" style="93" customWidth="1"/>
    <col min="5" max="5" width="2" style="93" customWidth="1"/>
    <col min="6" max="6" width="15.1640625" style="93"/>
    <col min="7" max="7" width="40" style="93" customWidth="1"/>
    <col min="8" max="8" width="38.6640625" style="29" customWidth="1"/>
    <col min="9" max="13" width="15.1640625" style="93"/>
    <col min="14" max="14" width="3.5" style="93" customWidth="1"/>
    <col min="15" max="15" width="20.33203125" style="93" customWidth="1"/>
    <col min="16" max="16" width="22.6640625" style="93" customWidth="1"/>
    <col min="17" max="17" width="23.33203125" style="93" customWidth="1"/>
    <col min="18" max="18" width="22.33203125" style="93" customWidth="1"/>
    <col min="19" max="16384" width="15.1640625" style="93"/>
  </cols>
  <sheetData>
    <row r="1" spans="1:18" ht="22" customHeight="1" x14ac:dyDescent="0.2">
      <c r="A1" s="118" t="s">
        <v>162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20"/>
      <c r="O1" s="53" t="s">
        <v>497</v>
      </c>
      <c r="P1" s="53" t="s">
        <v>498</v>
      </c>
      <c r="Q1" s="53" t="s">
        <v>499</v>
      </c>
      <c r="R1" s="53" t="s">
        <v>498</v>
      </c>
    </row>
    <row r="2" spans="1:18" ht="18" customHeight="1" x14ac:dyDescent="0.2">
      <c r="A2" s="23" t="s">
        <v>5</v>
      </c>
      <c r="B2" s="23" t="s">
        <v>96</v>
      </c>
      <c r="C2" s="94" t="s">
        <v>7</v>
      </c>
      <c r="D2" s="94"/>
      <c r="E2" s="94" t="s">
        <v>125</v>
      </c>
      <c r="F2" s="94" t="s">
        <v>8</v>
      </c>
      <c r="G2" s="94" t="s">
        <v>9</v>
      </c>
      <c r="H2" s="31" t="s">
        <v>10</v>
      </c>
      <c r="I2" s="111" t="s">
        <v>11</v>
      </c>
      <c r="J2" s="111"/>
      <c r="K2" s="111"/>
      <c r="L2" s="111"/>
      <c r="M2" s="111"/>
      <c r="O2" s="13">
        <f>0.5*'Initial Estimates'!$C$49</f>
        <v>50</v>
      </c>
      <c r="P2" s="13">
        <f>0.5*'Initial Estimates'!$C$49</f>
        <v>50</v>
      </c>
      <c r="Q2" s="13"/>
      <c r="R2" s="13">
        <f>0.6*'Initial Estimates'!$C$49</f>
        <v>60</v>
      </c>
    </row>
    <row r="3" spans="1:18" ht="18" customHeight="1" x14ac:dyDescent="0.2">
      <c r="A3" s="93" t="s">
        <v>163</v>
      </c>
      <c r="B3" s="93" t="s">
        <v>166</v>
      </c>
      <c r="C3" s="55">
        <f>'Cg Calcs Supersonic'!C3</f>
        <v>55</v>
      </c>
      <c r="D3" s="55" t="s">
        <v>515</v>
      </c>
      <c r="E3" s="13" t="s">
        <v>125</v>
      </c>
      <c r="F3" s="93" t="s">
        <v>29</v>
      </c>
      <c r="G3" s="93" t="s">
        <v>461</v>
      </c>
      <c r="H3" s="29" t="s">
        <v>167</v>
      </c>
      <c r="I3" s="110" t="s">
        <v>15</v>
      </c>
      <c r="J3" s="110"/>
      <c r="K3" s="110"/>
      <c r="L3" s="110"/>
      <c r="M3" s="110"/>
      <c r="O3" s="13">
        <f>0.9*'Initial Estimates'!$C$49</f>
        <v>90</v>
      </c>
      <c r="P3" s="13">
        <f>0.6*'Initial Estimates'!$C$49</f>
        <v>60</v>
      </c>
      <c r="Q3" s="13"/>
      <c r="R3" s="13">
        <f>0.6*'Initial Estimates'!$C$49</f>
        <v>60</v>
      </c>
    </row>
    <row r="4" spans="1:18" ht="18" customHeight="1" x14ac:dyDescent="0.2">
      <c r="A4" s="15" t="s">
        <v>164</v>
      </c>
      <c r="B4" s="15" t="s">
        <v>165</v>
      </c>
      <c r="C4" s="55">
        <f>'Cg Calcs Supersonic'!C4</f>
        <v>60</v>
      </c>
      <c r="D4" s="55"/>
      <c r="E4" s="13" t="s">
        <v>125</v>
      </c>
      <c r="F4" s="93" t="s">
        <v>29</v>
      </c>
      <c r="G4" s="93" t="s">
        <v>14</v>
      </c>
      <c r="H4" s="29" t="s">
        <v>167</v>
      </c>
      <c r="I4" s="110" t="s">
        <v>15</v>
      </c>
      <c r="J4" s="110"/>
      <c r="K4" s="110"/>
      <c r="L4" s="110"/>
      <c r="M4" s="110"/>
      <c r="O4" s="13">
        <f>O3</f>
        <v>90</v>
      </c>
      <c r="P4" s="13">
        <f>P3</f>
        <v>60</v>
      </c>
      <c r="Q4" s="13"/>
      <c r="R4" s="13">
        <f>R3</f>
        <v>60</v>
      </c>
    </row>
    <row r="5" spans="1:18" ht="18" customHeight="1" x14ac:dyDescent="0.2">
      <c r="A5" s="95" t="s">
        <v>168</v>
      </c>
      <c r="B5" s="93" t="s">
        <v>169</v>
      </c>
      <c r="C5" s="55">
        <f>'Cg Calcs Supersonic'!C5</f>
        <v>60</v>
      </c>
      <c r="D5" s="55"/>
      <c r="E5" s="13" t="s">
        <v>125</v>
      </c>
      <c r="F5" s="93" t="s">
        <v>29</v>
      </c>
      <c r="G5" s="93" t="s">
        <v>14</v>
      </c>
      <c r="H5" s="29" t="s">
        <v>167</v>
      </c>
      <c r="I5" s="110" t="s">
        <v>15</v>
      </c>
      <c r="J5" s="110"/>
      <c r="K5" s="110"/>
      <c r="L5" s="110"/>
      <c r="M5" s="110"/>
      <c r="O5" s="13">
        <f>0.04*'Initial Estimates'!$C$49</f>
        <v>4</v>
      </c>
      <c r="P5" s="13">
        <f>0.04*'Initial Estimates'!$C$49</f>
        <v>4</v>
      </c>
      <c r="Q5" s="13"/>
      <c r="R5" s="13">
        <f>0.04*'Initial Estimates'!$C$49</f>
        <v>4</v>
      </c>
    </row>
    <row r="6" spans="1:18" ht="18" customHeight="1" x14ac:dyDescent="0.2">
      <c r="A6" s="93" t="s">
        <v>170</v>
      </c>
      <c r="B6" s="93" t="s">
        <v>171</v>
      </c>
      <c r="C6" s="55">
        <f>'Cg Calcs Supersonic'!C6</f>
        <v>3.6</v>
      </c>
      <c r="D6" s="55"/>
      <c r="E6" s="13" t="s">
        <v>125</v>
      </c>
      <c r="F6" s="93" t="s">
        <v>29</v>
      </c>
      <c r="G6" s="93" t="s">
        <v>14</v>
      </c>
      <c r="H6" s="29" t="s">
        <v>167</v>
      </c>
      <c r="I6" s="110" t="s">
        <v>15</v>
      </c>
      <c r="J6" s="110"/>
      <c r="K6" s="110"/>
      <c r="L6" s="110"/>
      <c r="M6" s="110"/>
      <c r="O6" s="13">
        <f>0.8*'Initial Estimates'!$C$49</f>
        <v>80</v>
      </c>
      <c r="P6" s="13">
        <f>0.45*'Initial Estimates'!$C$49</f>
        <v>45</v>
      </c>
      <c r="Q6" s="13"/>
      <c r="R6" s="13">
        <f>0.45*'Initial Estimates'!$C$49</f>
        <v>45</v>
      </c>
    </row>
    <row r="7" spans="1:18" ht="18" customHeight="1" x14ac:dyDescent="0.2">
      <c r="A7" s="93" t="s">
        <v>172</v>
      </c>
      <c r="B7" s="93" t="s">
        <v>173</v>
      </c>
      <c r="C7" s="55">
        <f>'Cg Calcs Supersonic'!C7</f>
        <v>40.5</v>
      </c>
      <c r="D7" s="55"/>
      <c r="E7" s="13" t="s">
        <v>125</v>
      </c>
      <c r="F7" s="93" t="s">
        <v>29</v>
      </c>
      <c r="G7" s="93" t="s">
        <v>14</v>
      </c>
      <c r="H7" s="29" t="s">
        <v>167</v>
      </c>
      <c r="I7" s="110" t="s">
        <v>15</v>
      </c>
      <c r="J7" s="110"/>
      <c r="K7" s="110"/>
      <c r="L7" s="110"/>
      <c r="M7" s="110"/>
      <c r="O7" s="13">
        <f>0.15*'Initial Estimates'!$C$49</f>
        <v>15</v>
      </c>
      <c r="P7" s="13">
        <f>0.15*'Initial Estimates'!$C$49</f>
        <v>15</v>
      </c>
      <c r="Q7" s="13"/>
      <c r="R7" s="13">
        <f>0.15*'Initial Estimates'!$C$49</f>
        <v>15</v>
      </c>
    </row>
    <row r="8" spans="1:18" ht="18" customHeight="1" x14ac:dyDescent="0.2">
      <c r="A8" s="93" t="s">
        <v>174</v>
      </c>
      <c r="B8" s="93" t="s">
        <v>175</v>
      </c>
      <c r="C8" s="55">
        <f>'Cg Calcs Supersonic'!C8</f>
        <v>27.82</v>
      </c>
      <c r="D8" s="55"/>
      <c r="E8" s="13" t="s">
        <v>125</v>
      </c>
      <c r="F8" s="93" t="s">
        <v>29</v>
      </c>
      <c r="G8" s="93" t="s">
        <v>14</v>
      </c>
      <c r="H8" s="29" t="s">
        <v>167</v>
      </c>
      <c r="I8" s="110" t="s">
        <v>15</v>
      </c>
      <c r="J8" s="110"/>
      <c r="K8" s="110"/>
      <c r="L8" s="110"/>
      <c r="M8" s="110"/>
      <c r="O8" s="93">
        <f xml:space="preserve"> 'Initial Estimates'!$C$57+'Initial Estimates'!$C$50</f>
        <v>69.990000000000009</v>
      </c>
      <c r="P8" s="93">
        <f xml:space="preserve"> 'Initial Estimates'!$C$57+'Initial Estimates'!$C$50</f>
        <v>69.990000000000009</v>
      </c>
      <c r="R8" s="93">
        <f xml:space="preserve"> 'Initial Estimates'!$C$57+'Initial Estimates'!$C$50</f>
        <v>69.990000000000009</v>
      </c>
    </row>
    <row r="9" spans="1:18" ht="18" customHeight="1" x14ac:dyDescent="0.2">
      <c r="A9" s="93" t="s">
        <v>176</v>
      </c>
      <c r="B9" s="93" t="s">
        <v>177</v>
      </c>
      <c r="C9" s="55">
        <f>'Cg Calcs Supersonic'!C9</f>
        <v>69.990000000000009</v>
      </c>
      <c r="D9" s="55"/>
      <c r="E9" s="13" t="s">
        <v>125</v>
      </c>
      <c r="F9" s="93" t="s">
        <v>29</v>
      </c>
      <c r="G9" s="93" t="s">
        <v>14</v>
      </c>
      <c r="H9" s="29" t="s">
        <v>167</v>
      </c>
      <c r="I9" s="110" t="s">
        <v>15</v>
      </c>
      <c r="J9" s="110"/>
      <c r="K9" s="110"/>
      <c r="L9" s="110"/>
      <c r="M9" s="110"/>
      <c r="O9" s="13">
        <f>0.9*'Initial Estimates'!$C$49</f>
        <v>90</v>
      </c>
      <c r="P9" s="13">
        <f>0.9*'Initial Estimates'!$C$49</f>
        <v>90</v>
      </c>
      <c r="Q9" s="13"/>
      <c r="R9" s="13">
        <f>0.9*'Initial Estimates'!$C$49</f>
        <v>90</v>
      </c>
    </row>
    <row r="10" spans="1:18" ht="18" customHeight="1" x14ac:dyDescent="0.2">
      <c r="A10" s="93" t="s">
        <v>178</v>
      </c>
      <c r="B10" s="93" t="s">
        <v>179</v>
      </c>
      <c r="C10" s="55">
        <f>'Cg Calcs Supersonic'!C10</f>
        <v>81</v>
      </c>
      <c r="D10" s="55"/>
      <c r="E10" s="13" t="s">
        <v>125</v>
      </c>
      <c r="F10" s="93" t="s">
        <v>29</v>
      </c>
      <c r="G10" s="93" t="s">
        <v>14</v>
      </c>
      <c r="H10" s="29" t="s">
        <v>167</v>
      </c>
      <c r="I10" s="110" t="s">
        <v>15</v>
      </c>
      <c r="J10" s="110"/>
      <c r="K10" s="110"/>
      <c r="L10" s="110"/>
      <c r="M10" s="110"/>
      <c r="O10" s="13">
        <f>0.9*'Initial Estimates'!$C$49</f>
        <v>90</v>
      </c>
      <c r="P10" s="13">
        <f>0.9*'Initial Estimates'!$C$49</f>
        <v>90</v>
      </c>
      <c r="Q10" s="13"/>
      <c r="R10" s="13">
        <f>0.9*'Initial Estimates'!$C$49</f>
        <v>90</v>
      </c>
    </row>
    <row r="11" spans="1:18" ht="18" customHeight="1" x14ac:dyDescent="0.2">
      <c r="A11" s="93" t="s">
        <v>180</v>
      </c>
      <c r="B11" s="93" t="s">
        <v>181</v>
      </c>
      <c r="C11" s="55">
        <f>'Cg Calcs Supersonic'!C11</f>
        <v>81</v>
      </c>
      <c r="D11" s="55"/>
      <c r="E11" s="13" t="s">
        <v>125</v>
      </c>
      <c r="F11" s="93" t="s">
        <v>29</v>
      </c>
      <c r="G11" s="93" t="s">
        <v>14</v>
      </c>
      <c r="H11" s="29" t="s">
        <v>167</v>
      </c>
      <c r="I11" s="110" t="s">
        <v>15</v>
      </c>
      <c r="J11" s="110"/>
      <c r="K11" s="110"/>
      <c r="L11" s="110"/>
      <c r="M11" s="110"/>
      <c r="O11" s="13">
        <f>0.05*'Initial Estimates'!$C$49</f>
        <v>5</v>
      </c>
      <c r="P11" s="13">
        <f>0.05*'Initial Estimates'!$C$49</f>
        <v>5</v>
      </c>
      <c r="Q11" s="13"/>
      <c r="R11" s="13">
        <f>0.05*'Initial Estimates'!$C$49</f>
        <v>5</v>
      </c>
    </row>
    <row r="12" spans="1:18" ht="18" customHeight="1" x14ac:dyDescent="0.2">
      <c r="A12" s="93" t="s">
        <v>182</v>
      </c>
      <c r="B12" s="93" t="s">
        <v>183</v>
      </c>
      <c r="C12" s="55">
        <f>'Cg Calcs Supersonic'!C12</f>
        <v>5</v>
      </c>
      <c r="D12" s="13"/>
      <c r="E12" s="13" t="s">
        <v>125</v>
      </c>
      <c r="F12" s="93" t="s">
        <v>29</v>
      </c>
      <c r="G12" s="93" t="s">
        <v>14</v>
      </c>
      <c r="H12" s="29" t="s">
        <v>167</v>
      </c>
      <c r="I12" s="110" t="s">
        <v>15</v>
      </c>
      <c r="J12" s="110"/>
      <c r="K12" s="110"/>
      <c r="L12" s="110"/>
      <c r="M12" s="110"/>
      <c r="O12" s="13">
        <f>0.15*'Initial Estimates'!$C$49</f>
        <v>15</v>
      </c>
      <c r="P12" s="13">
        <f>0.15*'Initial Estimates'!$C$49</f>
        <v>15</v>
      </c>
      <c r="Q12" s="13"/>
      <c r="R12" s="13">
        <f>0.15*'Initial Estimates'!$C$49</f>
        <v>15</v>
      </c>
    </row>
    <row r="13" spans="1:18" ht="18" customHeight="1" x14ac:dyDescent="0.2">
      <c r="A13" s="93" t="s">
        <v>184</v>
      </c>
      <c r="B13" s="93" t="s">
        <v>185</v>
      </c>
      <c r="C13" s="55">
        <f>'Cg Calcs Supersonic'!C13</f>
        <v>15</v>
      </c>
      <c r="D13" s="13"/>
      <c r="E13" s="13" t="s">
        <v>125</v>
      </c>
      <c r="F13" s="93" t="s">
        <v>29</v>
      </c>
      <c r="G13" s="93" t="s">
        <v>14</v>
      </c>
      <c r="H13" s="29" t="s">
        <v>167</v>
      </c>
      <c r="I13" s="110" t="s">
        <v>15</v>
      </c>
      <c r="J13" s="110"/>
      <c r="K13" s="110"/>
      <c r="L13" s="110"/>
      <c r="M13" s="110"/>
      <c r="O13" s="13">
        <f>0.3*'Initial Estimates'!$C$49</f>
        <v>30</v>
      </c>
      <c r="P13" s="13">
        <f>0.3*'Initial Estimates'!$C$49</f>
        <v>30</v>
      </c>
      <c r="Q13" s="13"/>
      <c r="R13" s="13">
        <f>0.3*'Initial Estimates'!$C$49</f>
        <v>30</v>
      </c>
    </row>
    <row r="14" spans="1:18" ht="18" customHeight="1" x14ac:dyDescent="0.2">
      <c r="A14" s="93" t="s">
        <v>186</v>
      </c>
      <c r="B14" s="93" t="s">
        <v>189</v>
      </c>
      <c r="C14" s="55">
        <f>'Cg Calcs Supersonic'!C14</f>
        <v>24</v>
      </c>
      <c r="D14" s="13"/>
      <c r="E14" s="13" t="s">
        <v>125</v>
      </c>
      <c r="F14" s="93" t="s">
        <v>29</v>
      </c>
      <c r="G14" s="93" t="s">
        <v>14</v>
      </c>
      <c r="H14" s="29" t="s">
        <v>167</v>
      </c>
      <c r="I14" s="110" t="s">
        <v>15</v>
      </c>
      <c r="J14" s="110"/>
      <c r="K14" s="110"/>
      <c r="L14" s="110"/>
      <c r="M14" s="110"/>
      <c r="O14" s="13">
        <f>0.413*'Initial Estimates'!$C$49</f>
        <v>41.3</v>
      </c>
      <c r="P14" s="13">
        <f>0.413*'Initial Estimates'!$C$49</f>
        <v>41.3</v>
      </c>
      <c r="Q14" s="13"/>
      <c r="R14" s="13">
        <f>0.413*'Initial Estimates'!$C$49</f>
        <v>41.3</v>
      </c>
    </row>
    <row r="15" spans="1:18" ht="18" customHeight="1" x14ac:dyDescent="0.2">
      <c r="A15" s="93" t="s">
        <v>187</v>
      </c>
      <c r="B15" s="93" t="s">
        <v>190</v>
      </c>
      <c r="C15" s="55">
        <f>'Cg Calcs Supersonic'!C15</f>
        <v>36</v>
      </c>
      <c r="D15" s="13"/>
      <c r="E15" s="13" t="s">
        <v>125</v>
      </c>
      <c r="F15" s="93" t="s">
        <v>29</v>
      </c>
      <c r="G15" s="93" t="s">
        <v>14</v>
      </c>
      <c r="H15" s="29" t="s">
        <v>167</v>
      </c>
      <c r="I15" s="110" t="s">
        <v>15</v>
      </c>
      <c r="J15" s="110"/>
      <c r="K15" s="110"/>
      <c r="L15" s="110"/>
      <c r="M15" s="110"/>
      <c r="O15" s="13">
        <f>0.526*'Initial Estimates'!$C$49</f>
        <v>52.6</v>
      </c>
      <c r="P15" s="13">
        <f>0.526*'Initial Estimates'!$C$49</f>
        <v>52.6</v>
      </c>
      <c r="Q15" s="13"/>
      <c r="R15" s="13">
        <f>0.526*'Initial Estimates'!$C$49</f>
        <v>52.6</v>
      </c>
    </row>
    <row r="16" spans="1:18" ht="18" customHeight="1" x14ac:dyDescent="0.2">
      <c r="A16" s="93" t="s">
        <v>188</v>
      </c>
      <c r="B16" s="93" t="s">
        <v>191</v>
      </c>
      <c r="C16" s="55">
        <f>'Cg Calcs Supersonic'!C16</f>
        <v>47.5</v>
      </c>
      <c r="D16" s="13"/>
      <c r="E16" s="13" t="s">
        <v>125</v>
      </c>
      <c r="F16" s="93" t="s">
        <v>29</v>
      </c>
      <c r="G16" s="93" t="s">
        <v>14</v>
      </c>
      <c r="H16" s="29" t="s">
        <v>167</v>
      </c>
      <c r="I16" s="110" t="s">
        <v>15</v>
      </c>
      <c r="J16" s="110"/>
      <c r="K16" s="110"/>
      <c r="L16" s="110"/>
      <c r="M16" s="110"/>
    </row>
    <row r="17" spans="1:13" ht="22" customHeight="1" x14ac:dyDescent="0.2">
      <c r="A17" s="118" t="s">
        <v>217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20"/>
    </row>
    <row r="18" spans="1:13" ht="18" customHeight="1" x14ac:dyDescent="0.2">
      <c r="A18" s="23" t="s">
        <v>5</v>
      </c>
      <c r="B18" s="23" t="s">
        <v>96</v>
      </c>
      <c r="C18" s="94" t="s">
        <v>7</v>
      </c>
      <c r="D18" s="94"/>
      <c r="E18" s="94" t="s">
        <v>125</v>
      </c>
      <c r="F18" s="94" t="s">
        <v>8</v>
      </c>
      <c r="G18" s="94" t="s">
        <v>9</v>
      </c>
      <c r="H18" s="31" t="s">
        <v>10</v>
      </c>
      <c r="I18" s="111" t="s">
        <v>11</v>
      </c>
      <c r="J18" s="111"/>
      <c r="K18" s="111"/>
      <c r="L18" s="111"/>
      <c r="M18" s="111"/>
    </row>
    <row r="19" spans="1:13" ht="18" customHeight="1" x14ac:dyDescent="0.2">
      <c r="A19" s="93" t="s">
        <v>204</v>
      </c>
      <c r="B19" s="93" t="s">
        <v>205</v>
      </c>
      <c r="C19" s="13">
        <f>C3 + ((1 - 0.8)*'Initial Estimates'!C8)</f>
        <v>61.014399999999995</v>
      </c>
      <c r="D19" s="13"/>
      <c r="E19" s="13" t="s">
        <v>125</v>
      </c>
      <c r="F19" s="93" t="s">
        <v>29</v>
      </c>
      <c r="G19" s="93" t="s">
        <v>14</v>
      </c>
      <c r="H19" s="30" t="s">
        <v>206</v>
      </c>
      <c r="I19" s="110" t="s">
        <v>207</v>
      </c>
      <c r="J19" s="110"/>
      <c r="K19" s="110"/>
      <c r="L19" s="110"/>
      <c r="M19" s="110"/>
    </row>
    <row r="20" spans="1:13" ht="18" customHeight="1" x14ac:dyDescent="0.2">
      <c r="A20" s="93" t="s">
        <v>208</v>
      </c>
      <c r="B20" s="93" t="s">
        <v>209</v>
      </c>
      <c r="C20" s="93">
        <f>C3+0.7*'Initial Estimates'!C8</f>
        <v>76.050399999999996</v>
      </c>
      <c r="E20" s="13" t="s">
        <v>125</v>
      </c>
      <c r="F20" s="93" t="s">
        <v>29</v>
      </c>
      <c r="G20" s="93" t="s">
        <v>14</v>
      </c>
      <c r="H20" s="30" t="s">
        <v>225</v>
      </c>
      <c r="I20" s="110" t="s">
        <v>207</v>
      </c>
      <c r="J20" s="110"/>
      <c r="K20" s="110"/>
      <c r="L20" s="110"/>
      <c r="M20" s="110"/>
    </row>
    <row r="21" spans="1:13" ht="18" customHeight="1" x14ac:dyDescent="0.2">
      <c r="A21" s="93" t="s">
        <v>210</v>
      </c>
      <c r="B21" s="93" t="s">
        <v>211</v>
      </c>
      <c r="C21" s="13">
        <f>C19+'Initial Estimates'!C10</f>
        <v>81.433288000000005</v>
      </c>
      <c r="D21" s="13"/>
      <c r="E21" s="13" t="s">
        <v>125</v>
      </c>
      <c r="F21" s="93" t="s">
        <v>29</v>
      </c>
      <c r="G21" s="93" t="s">
        <v>14</v>
      </c>
      <c r="H21" s="30" t="s">
        <v>226</v>
      </c>
      <c r="I21" s="110" t="s">
        <v>207</v>
      </c>
      <c r="J21" s="110"/>
      <c r="K21" s="110"/>
      <c r="L21" s="110"/>
      <c r="M21" s="110"/>
    </row>
    <row r="22" spans="1:13" ht="18" customHeight="1" x14ac:dyDescent="0.2">
      <c r="A22" s="93" t="s">
        <v>212</v>
      </c>
      <c r="B22" s="93" t="s">
        <v>213</v>
      </c>
      <c r="C22" s="93">
        <f xml:space="preserve"> C20*'Initial Estimates'!C33</f>
        <v>738269.14455199998</v>
      </c>
      <c r="E22" s="13" t="s">
        <v>125</v>
      </c>
      <c r="F22" s="93" t="s">
        <v>224</v>
      </c>
      <c r="G22" s="93" t="s">
        <v>14</v>
      </c>
      <c r="H22" s="30" t="s">
        <v>227</v>
      </c>
      <c r="I22" s="110" t="s">
        <v>207</v>
      </c>
      <c r="J22" s="110"/>
      <c r="K22" s="110"/>
      <c r="L22" s="110"/>
      <c r="M22" s="110"/>
    </row>
    <row r="23" spans="1:13" ht="18" customHeight="1" x14ac:dyDescent="0.2">
      <c r="A23" s="93" t="s">
        <v>214</v>
      </c>
      <c r="B23" s="93" t="s">
        <v>215</v>
      </c>
      <c r="C23" s="93">
        <f>C21*'Initial Estimates'!C37</f>
        <v>110319.42606929202</v>
      </c>
      <c r="E23" s="13" t="s">
        <v>125</v>
      </c>
      <c r="F23" s="93" t="s">
        <v>224</v>
      </c>
      <c r="G23" s="93" t="s">
        <v>14</v>
      </c>
      <c r="H23" s="30" t="s">
        <v>228</v>
      </c>
      <c r="I23" s="110" t="s">
        <v>207</v>
      </c>
      <c r="J23" s="110"/>
      <c r="K23" s="110"/>
      <c r="L23" s="110"/>
      <c r="M23" s="110"/>
    </row>
    <row r="24" spans="1:13" ht="22" customHeight="1" x14ac:dyDescent="0.2">
      <c r="A24" s="118" t="s">
        <v>216</v>
      </c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20"/>
    </row>
    <row r="25" spans="1:13" ht="18" customHeight="1" x14ac:dyDescent="0.2">
      <c r="A25" s="23" t="s">
        <v>5</v>
      </c>
      <c r="B25" s="23" t="s">
        <v>96</v>
      </c>
      <c r="C25" s="94" t="s">
        <v>7</v>
      </c>
      <c r="D25" s="94"/>
      <c r="E25" s="94" t="s">
        <v>125</v>
      </c>
      <c r="F25" s="94" t="s">
        <v>8</v>
      </c>
      <c r="G25" s="94" t="s">
        <v>9</v>
      </c>
      <c r="H25" s="31" t="s">
        <v>10</v>
      </c>
      <c r="I25" s="111" t="s">
        <v>11</v>
      </c>
      <c r="J25" s="111"/>
      <c r="K25" s="111"/>
      <c r="L25" s="111"/>
      <c r="M25" s="111"/>
    </row>
    <row r="26" spans="1:13" ht="18" customHeight="1" x14ac:dyDescent="0.2">
      <c r="A26" s="93" t="s">
        <v>220</v>
      </c>
      <c r="B26" s="93" t="s">
        <v>221</v>
      </c>
      <c r="C26" s="13">
        <v>10.18</v>
      </c>
      <c r="D26" s="13"/>
      <c r="E26" s="13" t="s">
        <v>125</v>
      </c>
      <c r="F26" s="93" t="s">
        <v>222</v>
      </c>
      <c r="G26" s="93" t="s">
        <v>14</v>
      </c>
      <c r="H26" s="30" t="s">
        <v>230</v>
      </c>
      <c r="I26" s="110" t="s">
        <v>207</v>
      </c>
      <c r="J26" s="110"/>
      <c r="K26" s="110"/>
      <c r="L26" s="110"/>
      <c r="M26" s="110"/>
    </row>
    <row r="27" spans="1:13" ht="18" customHeight="1" x14ac:dyDescent="0.2">
      <c r="A27" s="93" t="s">
        <v>218</v>
      </c>
      <c r="B27" s="93" t="s">
        <v>219</v>
      </c>
      <c r="C27" s="13">
        <f>C26*0.7*'Initial Estimates'!C8*'Initial Estimates'!C29</f>
        <v>10702.438894895999</v>
      </c>
      <c r="D27" s="13"/>
      <c r="E27" s="13" t="s">
        <v>125</v>
      </c>
      <c r="F27" s="93" t="s">
        <v>223</v>
      </c>
      <c r="G27" s="93" t="s">
        <v>14</v>
      </c>
      <c r="H27" s="30" t="s">
        <v>230</v>
      </c>
      <c r="I27" s="110" t="s">
        <v>207</v>
      </c>
      <c r="J27" s="110"/>
      <c r="K27" s="110"/>
      <c r="L27" s="110"/>
      <c r="M27" s="110"/>
    </row>
    <row r="28" spans="1:13" ht="18" customHeight="1" x14ac:dyDescent="0.2">
      <c r="A28" s="93" t="s">
        <v>232</v>
      </c>
      <c r="B28" s="93" t="s">
        <v>231</v>
      </c>
      <c r="C28" s="13">
        <f>'Initial Estimates'!C27-'Cg Calcs Subsonic'!C27</f>
        <v>7361.6790434256091</v>
      </c>
      <c r="D28" s="13"/>
      <c r="E28" s="13" t="s">
        <v>125</v>
      </c>
      <c r="F28" s="93" t="s">
        <v>223</v>
      </c>
      <c r="G28" s="93" t="s">
        <v>21</v>
      </c>
      <c r="H28" s="30" t="s">
        <v>235</v>
      </c>
      <c r="I28" s="110" t="s">
        <v>207</v>
      </c>
      <c r="J28" s="110"/>
      <c r="K28" s="110"/>
      <c r="L28" s="110"/>
      <c r="M28" s="110"/>
    </row>
    <row r="29" spans="1:13" ht="18" customHeight="1" x14ac:dyDescent="0.2">
      <c r="A29" s="93" t="s">
        <v>489</v>
      </c>
      <c r="B29" s="93" t="s">
        <v>492</v>
      </c>
      <c r="C29" s="13">
        <v>0</v>
      </c>
      <c r="D29" s="13"/>
      <c r="E29" s="13" t="s">
        <v>125</v>
      </c>
      <c r="F29" s="93" t="s">
        <v>223</v>
      </c>
      <c r="G29" s="93" t="s">
        <v>21</v>
      </c>
      <c r="H29" s="30" t="s">
        <v>235</v>
      </c>
      <c r="I29" s="110" t="s">
        <v>207</v>
      </c>
      <c r="J29" s="110"/>
      <c r="K29" s="110"/>
      <c r="L29" s="110"/>
      <c r="M29" s="110"/>
    </row>
    <row r="30" spans="1:13" ht="18" customHeight="1" x14ac:dyDescent="0.2">
      <c r="A30" s="93" t="s">
        <v>233</v>
      </c>
      <c r="B30" s="93" t="s">
        <v>234</v>
      </c>
      <c r="C30" s="93">
        <v>40</v>
      </c>
      <c r="E30" s="13" t="s">
        <v>125</v>
      </c>
      <c r="F30" s="93" t="s">
        <v>29</v>
      </c>
      <c r="G30" s="93" t="s">
        <v>21</v>
      </c>
      <c r="H30" s="30" t="s">
        <v>236</v>
      </c>
      <c r="I30" s="110" t="s">
        <v>207</v>
      </c>
      <c r="J30" s="110"/>
      <c r="K30" s="110"/>
      <c r="L30" s="110"/>
      <c r="M30" s="110"/>
    </row>
    <row r="31" spans="1:13" ht="18" customHeight="1" x14ac:dyDescent="0.2">
      <c r="A31" s="93" t="s">
        <v>237</v>
      </c>
      <c r="B31" s="93" t="s">
        <v>238</v>
      </c>
      <c r="C31" s="93">
        <f>C3+0.5+0.7*0.4*'Initial Estimates'!C8</f>
        <v>63.920159999999996</v>
      </c>
      <c r="E31" s="13" t="s">
        <v>125</v>
      </c>
      <c r="F31" s="93" t="s">
        <v>29</v>
      </c>
      <c r="G31" s="93" t="s">
        <v>21</v>
      </c>
      <c r="H31" s="30" t="s">
        <v>239</v>
      </c>
      <c r="I31" s="110" t="s">
        <v>207</v>
      </c>
      <c r="J31" s="110"/>
      <c r="K31" s="110"/>
      <c r="L31" s="110"/>
      <c r="M31" s="110"/>
    </row>
    <row r="32" spans="1:13" ht="18" customHeight="1" x14ac:dyDescent="0.2">
      <c r="A32" s="93" t="s">
        <v>240</v>
      </c>
      <c r="B32" s="93" t="s">
        <v>241</v>
      </c>
      <c r="C32" s="93">
        <f>C30*C27</f>
        <v>428097.55579583993</v>
      </c>
      <c r="E32" s="13" t="s">
        <v>125</v>
      </c>
      <c r="F32" s="93" t="s">
        <v>224</v>
      </c>
      <c r="G32" s="93" t="s">
        <v>21</v>
      </c>
      <c r="H32" s="29" t="s">
        <v>242</v>
      </c>
      <c r="I32" s="110" t="s">
        <v>207</v>
      </c>
      <c r="J32" s="110"/>
      <c r="K32" s="110"/>
      <c r="L32" s="110"/>
      <c r="M32" s="110"/>
    </row>
    <row r="33" spans="1:13" ht="18" customHeight="1" x14ac:dyDescent="0.2">
      <c r="A33" s="93" t="s">
        <v>243</v>
      </c>
      <c r="B33" s="93" t="s">
        <v>244</v>
      </c>
      <c r="C33" s="93">
        <f xml:space="preserve"> C31*C28</f>
        <v>470559.70232441183</v>
      </c>
      <c r="E33" s="93" t="s">
        <v>125</v>
      </c>
      <c r="F33" s="93" t="s">
        <v>224</v>
      </c>
      <c r="G33" s="93" t="s">
        <v>21</v>
      </c>
      <c r="H33" s="29" t="s">
        <v>245</v>
      </c>
      <c r="I33" s="110" t="s">
        <v>207</v>
      </c>
      <c r="J33" s="110"/>
      <c r="K33" s="110"/>
      <c r="L33" s="110"/>
      <c r="M33" s="110"/>
    </row>
    <row r="34" spans="1:13" ht="18" customHeight="1" x14ac:dyDescent="0.2">
      <c r="A34" s="93" t="s">
        <v>493</v>
      </c>
      <c r="B34" s="93" t="s">
        <v>244</v>
      </c>
      <c r="C34" s="93">
        <f xml:space="preserve"> C31*C29</f>
        <v>0</v>
      </c>
      <c r="E34" s="93" t="s">
        <v>125</v>
      </c>
      <c r="F34" s="93" t="s">
        <v>224</v>
      </c>
      <c r="G34" s="93" t="s">
        <v>21</v>
      </c>
      <c r="H34" s="29" t="s">
        <v>245</v>
      </c>
      <c r="I34" s="110" t="s">
        <v>207</v>
      </c>
      <c r="J34" s="110"/>
      <c r="K34" s="110"/>
      <c r="L34" s="110"/>
      <c r="M34" s="110"/>
    </row>
    <row r="35" spans="1:13" ht="22" customHeight="1" x14ac:dyDescent="0.2">
      <c r="A35" s="118" t="s">
        <v>246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20"/>
    </row>
    <row r="36" spans="1:13" ht="18" customHeight="1" x14ac:dyDescent="0.2">
      <c r="A36" s="23" t="s">
        <v>5</v>
      </c>
      <c r="B36" s="23" t="s">
        <v>96</v>
      </c>
      <c r="C36" s="94" t="s">
        <v>7</v>
      </c>
      <c r="D36" s="94"/>
      <c r="E36" s="94" t="s">
        <v>125</v>
      </c>
      <c r="F36" s="94" t="s">
        <v>8</v>
      </c>
      <c r="G36" s="94" t="s">
        <v>9</v>
      </c>
      <c r="H36" s="31" t="s">
        <v>10</v>
      </c>
      <c r="I36" s="111" t="s">
        <v>11</v>
      </c>
      <c r="J36" s="111"/>
      <c r="K36" s="111"/>
      <c r="L36" s="111"/>
      <c r="M36" s="111"/>
    </row>
    <row r="37" spans="1:13" ht="18" customHeight="1" x14ac:dyDescent="0.2">
      <c r="A37" s="93" t="s">
        <v>273</v>
      </c>
      <c r="B37" s="93" t="s">
        <v>247</v>
      </c>
      <c r="C37" s="13">
        <f>C4+'Initial Estimates'!C52/2</f>
        <v>66.5</v>
      </c>
      <c r="D37" s="13"/>
      <c r="E37" s="13" t="s">
        <v>125</v>
      </c>
      <c r="F37" s="93" t="s">
        <v>29</v>
      </c>
      <c r="G37" s="93" t="s">
        <v>21</v>
      </c>
      <c r="H37" s="30" t="s">
        <v>248</v>
      </c>
      <c r="I37" s="110" t="s">
        <v>207</v>
      </c>
      <c r="J37" s="110"/>
      <c r="K37" s="110"/>
      <c r="L37" s="110"/>
      <c r="M37" s="110"/>
    </row>
    <row r="38" spans="1:13" ht="18" customHeight="1" x14ac:dyDescent="0.2">
      <c r="A38" s="93" t="s">
        <v>249</v>
      </c>
      <c r="B38" s="93" t="s">
        <v>250</v>
      </c>
      <c r="C38" s="13">
        <f>C37*'Initial Estimates'!C23</f>
        <v>487777.5</v>
      </c>
      <c r="D38" s="13"/>
      <c r="E38" s="13" t="s">
        <v>125</v>
      </c>
      <c r="F38" s="93" t="s">
        <v>224</v>
      </c>
      <c r="G38" s="93" t="s">
        <v>21</v>
      </c>
      <c r="H38" s="30" t="s">
        <v>255</v>
      </c>
      <c r="I38" s="110" t="s">
        <v>207</v>
      </c>
      <c r="J38" s="110"/>
      <c r="K38" s="110"/>
      <c r="L38" s="110"/>
      <c r="M38" s="110"/>
    </row>
    <row r="39" spans="1:13" ht="22" customHeight="1" x14ac:dyDescent="0.2">
      <c r="A39" s="118" t="s">
        <v>256</v>
      </c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20"/>
    </row>
    <row r="40" spans="1:13" ht="18" customHeight="1" x14ac:dyDescent="0.2">
      <c r="A40" s="23" t="s">
        <v>5</v>
      </c>
      <c r="B40" s="23" t="s">
        <v>96</v>
      </c>
      <c r="C40" s="94" t="s">
        <v>7</v>
      </c>
      <c r="D40" s="94"/>
      <c r="E40" s="94" t="s">
        <v>125</v>
      </c>
      <c r="F40" s="94" t="s">
        <v>8</v>
      </c>
      <c r="G40" s="94" t="s">
        <v>9</v>
      </c>
      <c r="H40" s="31" t="s">
        <v>10</v>
      </c>
      <c r="I40" s="111" t="s">
        <v>11</v>
      </c>
      <c r="J40" s="111"/>
      <c r="K40" s="111"/>
      <c r="L40" s="111"/>
      <c r="M40" s="111"/>
    </row>
    <row r="41" spans="1:13" ht="18" customHeight="1" x14ac:dyDescent="0.2">
      <c r="A41" s="93" t="s">
        <v>274</v>
      </c>
      <c r="B41" s="93" t="s">
        <v>258</v>
      </c>
      <c r="C41" s="13">
        <f>C5+0.4*'Initial Estimates'!C56</f>
        <v>65.599999999999994</v>
      </c>
      <c r="D41" s="13"/>
      <c r="E41" s="13" t="s">
        <v>125</v>
      </c>
      <c r="F41" s="93" t="s">
        <v>29</v>
      </c>
      <c r="G41" s="93" t="s">
        <v>21</v>
      </c>
      <c r="H41" s="30" t="s">
        <v>260</v>
      </c>
      <c r="I41" s="110" t="s">
        <v>207</v>
      </c>
      <c r="J41" s="110"/>
      <c r="K41" s="110"/>
      <c r="L41" s="110"/>
      <c r="M41" s="110"/>
    </row>
    <row r="42" spans="1:13" ht="18" customHeight="1" x14ac:dyDescent="0.2">
      <c r="A42" s="93" t="s">
        <v>257</v>
      </c>
      <c r="B42" s="93" t="s">
        <v>261</v>
      </c>
      <c r="C42" s="13">
        <f>C41*'Initial Estimates'!C38</f>
        <v>67959.205600000001</v>
      </c>
      <c r="D42" s="13"/>
      <c r="E42" s="13" t="s">
        <v>125</v>
      </c>
      <c r="F42" s="93" t="s">
        <v>224</v>
      </c>
      <c r="G42" s="93" t="s">
        <v>21</v>
      </c>
      <c r="H42" s="30" t="s">
        <v>262</v>
      </c>
      <c r="I42" s="110" t="s">
        <v>207</v>
      </c>
      <c r="J42" s="110"/>
      <c r="K42" s="110"/>
      <c r="L42" s="110"/>
      <c r="M42" s="110"/>
    </row>
    <row r="43" spans="1:13" ht="22" customHeight="1" x14ac:dyDescent="0.2">
      <c r="A43" s="118" t="s">
        <v>263</v>
      </c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20"/>
    </row>
    <row r="44" spans="1:13" ht="18" customHeight="1" x14ac:dyDescent="0.2">
      <c r="A44" s="23" t="s">
        <v>5</v>
      </c>
      <c r="B44" s="23" t="s">
        <v>96</v>
      </c>
      <c r="C44" s="94" t="s">
        <v>7</v>
      </c>
      <c r="D44" s="94"/>
      <c r="E44" s="94" t="s">
        <v>125</v>
      </c>
      <c r="F44" s="94" t="s">
        <v>8</v>
      </c>
      <c r="G44" s="94" t="s">
        <v>9</v>
      </c>
      <c r="H44" s="31" t="s">
        <v>10</v>
      </c>
      <c r="I44" s="111" t="s">
        <v>11</v>
      </c>
      <c r="J44" s="111"/>
      <c r="K44" s="111"/>
      <c r="L44" s="111"/>
      <c r="M44" s="111"/>
    </row>
    <row r="45" spans="1:13" ht="18" customHeight="1" x14ac:dyDescent="0.2">
      <c r="A45" s="93" t="s">
        <v>268</v>
      </c>
      <c r="B45" s="93" t="s">
        <v>270</v>
      </c>
      <c r="C45" s="13">
        <f>C10+0.42</f>
        <v>81.42</v>
      </c>
      <c r="D45" s="13"/>
      <c r="E45" s="13" t="s">
        <v>125</v>
      </c>
      <c r="F45" s="93" t="s">
        <v>29</v>
      </c>
      <c r="G45" s="93" t="s">
        <v>21</v>
      </c>
      <c r="H45" s="30" t="s">
        <v>276</v>
      </c>
      <c r="I45" s="110" t="s">
        <v>207</v>
      </c>
      <c r="J45" s="110"/>
      <c r="K45" s="110"/>
      <c r="L45" s="110"/>
      <c r="M45" s="110"/>
    </row>
    <row r="46" spans="1:13" ht="18" customHeight="1" x14ac:dyDescent="0.2">
      <c r="A46" s="93" t="s">
        <v>269</v>
      </c>
      <c r="B46" s="93" t="s">
        <v>271</v>
      </c>
      <c r="C46" s="13">
        <f>C11+0.42</f>
        <v>81.42</v>
      </c>
      <c r="D46" s="13"/>
      <c r="E46" s="13" t="s">
        <v>125</v>
      </c>
      <c r="F46" s="93" t="s">
        <v>29</v>
      </c>
      <c r="G46" s="93" t="s">
        <v>21</v>
      </c>
      <c r="H46" s="30" t="s">
        <v>276</v>
      </c>
      <c r="I46" s="110" t="s">
        <v>207</v>
      </c>
      <c r="J46" s="110"/>
      <c r="K46" s="110"/>
      <c r="L46" s="110"/>
      <c r="M46" s="110"/>
    </row>
    <row r="47" spans="1:13" ht="18" customHeight="1" x14ac:dyDescent="0.2">
      <c r="A47" s="93" t="s">
        <v>266</v>
      </c>
      <c r="B47" s="93" t="s">
        <v>267</v>
      </c>
      <c r="C47" s="13">
        <f>C46*'Initial Estimates'!C34</f>
        <v>104402.95263</v>
      </c>
      <c r="D47" s="13"/>
      <c r="E47" s="13" t="s">
        <v>125</v>
      </c>
      <c r="F47" s="93" t="s">
        <v>224</v>
      </c>
      <c r="G47" s="93" t="s">
        <v>21</v>
      </c>
      <c r="H47" s="30" t="s">
        <v>277</v>
      </c>
      <c r="I47" s="110" t="s">
        <v>207</v>
      </c>
      <c r="J47" s="110"/>
      <c r="K47" s="110"/>
      <c r="L47" s="110"/>
      <c r="M47" s="110"/>
    </row>
    <row r="48" spans="1:13" ht="22" customHeight="1" x14ac:dyDescent="0.2">
      <c r="A48" s="118" t="s">
        <v>264</v>
      </c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20"/>
    </row>
    <row r="49" spans="1:13" ht="18" customHeight="1" x14ac:dyDescent="0.2">
      <c r="A49" s="23" t="s">
        <v>5</v>
      </c>
      <c r="B49" s="23" t="s">
        <v>96</v>
      </c>
      <c r="C49" s="94" t="s">
        <v>7</v>
      </c>
      <c r="D49" s="94"/>
      <c r="E49" s="94" t="s">
        <v>125</v>
      </c>
      <c r="F49" s="94" t="s">
        <v>8</v>
      </c>
      <c r="G49" s="94" t="s">
        <v>9</v>
      </c>
      <c r="H49" s="31" t="s">
        <v>10</v>
      </c>
      <c r="I49" s="111" t="s">
        <v>11</v>
      </c>
      <c r="J49" s="111"/>
      <c r="K49" s="111"/>
      <c r="L49" s="111"/>
      <c r="M49" s="111"/>
    </row>
    <row r="50" spans="1:13" ht="18" customHeight="1" x14ac:dyDescent="0.2">
      <c r="A50" s="93" t="s">
        <v>272</v>
      </c>
      <c r="B50" s="93" t="s">
        <v>275</v>
      </c>
      <c r="C50" s="93">
        <f>C8+0.47*'Initial Estimates'!C50</f>
        <v>47.639899999999997</v>
      </c>
      <c r="E50" s="13" t="s">
        <v>125</v>
      </c>
      <c r="F50" s="93" t="s">
        <v>29</v>
      </c>
      <c r="G50" s="93" t="s">
        <v>21</v>
      </c>
      <c r="H50" s="30" t="s">
        <v>278</v>
      </c>
      <c r="I50" s="110" t="s">
        <v>207</v>
      </c>
      <c r="J50" s="110"/>
      <c r="K50" s="110"/>
      <c r="L50" s="110"/>
      <c r="M50" s="110"/>
    </row>
    <row r="51" spans="1:13" ht="18" customHeight="1" x14ac:dyDescent="0.2">
      <c r="A51" s="93" t="s">
        <v>279</v>
      </c>
      <c r="B51" s="93" t="s">
        <v>280</v>
      </c>
      <c r="C51" s="93">
        <f>C50*'Initial Estimates'!C35</f>
        <v>362383.61832749995</v>
      </c>
      <c r="E51" s="13" t="s">
        <v>125</v>
      </c>
      <c r="F51" s="93" t="s">
        <v>224</v>
      </c>
      <c r="G51" s="93" t="s">
        <v>21</v>
      </c>
      <c r="H51" s="30" t="s">
        <v>281</v>
      </c>
      <c r="I51" s="110" t="s">
        <v>207</v>
      </c>
      <c r="J51" s="110"/>
      <c r="K51" s="110"/>
      <c r="L51" s="110"/>
      <c r="M51" s="110"/>
    </row>
    <row r="52" spans="1:13" ht="22" customHeight="1" x14ac:dyDescent="0.2">
      <c r="A52" s="118" t="s">
        <v>265</v>
      </c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20"/>
    </row>
    <row r="53" spans="1:13" ht="18" customHeight="1" x14ac:dyDescent="0.2">
      <c r="A53" s="23" t="s">
        <v>5</v>
      </c>
      <c r="B53" s="23" t="s">
        <v>96</v>
      </c>
      <c r="C53" s="94" t="s">
        <v>7</v>
      </c>
      <c r="D53" s="94"/>
      <c r="E53" s="94" t="s">
        <v>125</v>
      </c>
      <c r="F53" s="94" t="s">
        <v>8</v>
      </c>
      <c r="G53" s="94" t="s">
        <v>9</v>
      </c>
      <c r="H53" s="31" t="s">
        <v>10</v>
      </c>
      <c r="I53" s="111" t="s">
        <v>11</v>
      </c>
      <c r="J53" s="111"/>
      <c r="K53" s="111"/>
      <c r="L53" s="111"/>
      <c r="M53" s="111"/>
    </row>
    <row r="54" spans="1:13" ht="18" customHeight="1" x14ac:dyDescent="0.2">
      <c r="A54" s="93" t="s">
        <v>282</v>
      </c>
      <c r="B54" s="93" t="s">
        <v>283</v>
      </c>
      <c r="C54" s="93">
        <f>C6+2/3*C7</f>
        <v>30.6</v>
      </c>
      <c r="E54" s="93" t="s">
        <v>125</v>
      </c>
      <c r="F54" s="93" t="s">
        <v>29</v>
      </c>
      <c r="G54" s="93" t="s">
        <v>21</v>
      </c>
      <c r="H54" s="30" t="s">
        <v>294</v>
      </c>
      <c r="I54" s="110" t="s">
        <v>207</v>
      </c>
      <c r="J54" s="110"/>
      <c r="K54" s="110"/>
      <c r="L54" s="110"/>
      <c r="M54" s="110"/>
    </row>
    <row r="55" spans="1:13" ht="18" customHeight="1" x14ac:dyDescent="0.2">
      <c r="A55" s="93" t="s">
        <v>284</v>
      </c>
      <c r="B55" s="93" t="s">
        <v>285</v>
      </c>
      <c r="C55" s="93">
        <f>C54*'Initial Estimates'!C36</f>
        <v>102638.62710000001</v>
      </c>
      <c r="E55" s="93" t="s">
        <v>125</v>
      </c>
      <c r="F55" s="93" t="s">
        <v>224</v>
      </c>
      <c r="G55" s="93" t="s">
        <v>21</v>
      </c>
      <c r="H55" s="29" t="s">
        <v>286</v>
      </c>
      <c r="I55" s="110" t="s">
        <v>207</v>
      </c>
      <c r="J55" s="110"/>
      <c r="K55" s="110"/>
      <c r="L55" s="110"/>
      <c r="M55" s="110"/>
    </row>
    <row r="56" spans="1:13" ht="22" customHeight="1" x14ac:dyDescent="0.2">
      <c r="A56" s="118" t="s">
        <v>490</v>
      </c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20"/>
    </row>
    <row r="57" spans="1:13" ht="18" customHeight="1" x14ac:dyDescent="0.2">
      <c r="A57" s="23" t="s">
        <v>5</v>
      </c>
      <c r="B57" s="23" t="s">
        <v>96</v>
      </c>
      <c r="C57" s="94" t="s">
        <v>7</v>
      </c>
      <c r="D57" s="94"/>
      <c r="E57" s="94" t="s">
        <v>125</v>
      </c>
      <c r="F57" s="94" t="s">
        <v>8</v>
      </c>
      <c r="G57" s="94" t="s">
        <v>9</v>
      </c>
      <c r="H57" s="31" t="s">
        <v>10</v>
      </c>
      <c r="I57" s="111" t="s">
        <v>11</v>
      </c>
      <c r="J57" s="111"/>
      <c r="K57" s="111"/>
      <c r="L57" s="111"/>
      <c r="M57" s="111"/>
    </row>
    <row r="58" spans="1:13" ht="18" customHeight="1" x14ac:dyDescent="0.2">
      <c r="A58" s="93" t="s">
        <v>287</v>
      </c>
      <c r="B58" s="93" t="s">
        <v>291</v>
      </c>
      <c r="C58" s="93">
        <f xml:space="preserve"> $C$14+'Initial Estimates'!$C$53/2</f>
        <v>29</v>
      </c>
      <c r="E58" s="93" t="s">
        <v>125</v>
      </c>
      <c r="F58" s="93" t="s">
        <v>29</v>
      </c>
      <c r="G58" s="93" t="s">
        <v>21</v>
      </c>
      <c r="H58" s="30" t="s">
        <v>295</v>
      </c>
      <c r="I58" s="110" t="s">
        <v>207</v>
      </c>
      <c r="J58" s="110"/>
      <c r="K58" s="110"/>
      <c r="L58" s="110"/>
      <c r="M58" s="110"/>
    </row>
    <row r="59" spans="1:13" ht="18" customHeight="1" x14ac:dyDescent="0.2">
      <c r="A59" s="93" t="s">
        <v>288</v>
      </c>
      <c r="B59" s="93" t="s">
        <v>292</v>
      </c>
      <c r="C59" s="93">
        <f xml:space="preserve"> $C$15+'Initial Estimates'!$C$53/2</f>
        <v>41</v>
      </c>
      <c r="E59" s="93" t="s">
        <v>125</v>
      </c>
      <c r="F59" s="93" t="s">
        <v>29</v>
      </c>
      <c r="G59" s="93" t="s">
        <v>21</v>
      </c>
      <c r="H59" s="30" t="s">
        <v>296</v>
      </c>
      <c r="I59" s="110" t="s">
        <v>207</v>
      </c>
      <c r="J59" s="110"/>
      <c r="K59" s="110"/>
      <c r="L59" s="110"/>
      <c r="M59" s="110"/>
    </row>
    <row r="60" spans="1:13" ht="18" customHeight="1" x14ac:dyDescent="0.2">
      <c r="A60" s="93" t="s">
        <v>290</v>
      </c>
      <c r="B60" s="93" t="s">
        <v>293</v>
      </c>
      <c r="C60" s="93">
        <f xml:space="preserve"> $C$16+'Initial Estimates'!$C$53/2</f>
        <v>52.5</v>
      </c>
      <c r="E60" s="93" t="s">
        <v>125</v>
      </c>
      <c r="F60" s="93" t="s">
        <v>29</v>
      </c>
      <c r="G60" s="93" t="s">
        <v>21</v>
      </c>
      <c r="H60" s="30" t="s">
        <v>296</v>
      </c>
      <c r="I60" s="110" t="s">
        <v>207</v>
      </c>
      <c r="J60" s="110"/>
      <c r="K60" s="110"/>
      <c r="L60" s="110"/>
      <c r="M60" s="110"/>
    </row>
    <row r="61" spans="1:13" ht="18" customHeight="1" x14ac:dyDescent="0.2">
      <c r="A61" s="93" t="s">
        <v>297</v>
      </c>
      <c r="B61" s="93" t="s">
        <v>300</v>
      </c>
      <c r="C61" s="93">
        <f>'Initial Estimates'!$C$44*('Initial Estimates'!$C$40+'Initial Estimates'!$C$43)</f>
        <v>980</v>
      </c>
      <c r="E61" s="93" t="s">
        <v>125</v>
      </c>
      <c r="F61" s="93" t="s">
        <v>223</v>
      </c>
      <c r="G61" s="93" t="s">
        <v>21</v>
      </c>
      <c r="H61" s="29" t="s">
        <v>310</v>
      </c>
      <c r="I61" s="110" t="s">
        <v>207</v>
      </c>
      <c r="J61" s="110"/>
      <c r="K61" s="110"/>
      <c r="L61" s="110"/>
      <c r="M61" s="110"/>
    </row>
    <row r="62" spans="1:13" ht="18" customHeight="1" x14ac:dyDescent="0.2">
      <c r="A62" s="93" t="s">
        <v>298</v>
      </c>
      <c r="B62" s="93" t="s">
        <v>301</v>
      </c>
      <c r="C62" s="93">
        <f>'Initial Estimates'!$C$45*('Initial Estimates'!$C$40+'Initial Estimates'!$C$43)</f>
        <v>980</v>
      </c>
      <c r="E62" s="93" t="s">
        <v>125</v>
      </c>
      <c r="F62" s="93" t="s">
        <v>223</v>
      </c>
      <c r="G62" s="93" t="s">
        <v>21</v>
      </c>
      <c r="H62" s="29" t="s">
        <v>310</v>
      </c>
      <c r="I62" s="110" t="s">
        <v>207</v>
      </c>
      <c r="J62" s="110"/>
      <c r="K62" s="110"/>
      <c r="L62" s="110"/>
      <c r="M62" s="110"/>
    </row>
    <row r="63" spans="1:13" ht="18" customHeight="1" x14ac:dyDescent="0.2">
      <c r="A63" s="93" t="s">
        <v>299</v>
      </c>
      <c r="B63" s="93" t="s">
        <v>302</v>
      </c>
      <c r="C63" s="93">
        <f>'Initial Estimates'!$C$46*('Initial Estimates'!$C$40+'Initial Estimates'!$C$43)</f>
        <v>980</v>
      </c>
      <c r="E63" s="93" t="s">
        <v>125</v>
      </c>
      <c r="F63" s="93" t="s">
        <v>223</v>
      </c>
      <c r="G63" s="93" t="s">
        <v>21</v>
      </c>
      <c r="H63" s="29" t="s">
        <v>310</v>
      </c>
      <c r="I63" s="110" t="s">
        <v>207</v>
      </c>
      <c r="J63" s="110"/>
      <c r="K63" s="110"/>
      <c r="L63" s="110"/>
      <c r="M63" s="110"/>
    </row>
    <row r="64" spans="1:13" ht="18" customHeight="1" x14ac:dyDescent="0.2">
      <c r="A64" s="93" t="s">
        <v>311</v>
      </c>
      <c r="B64" s="93" t="s">
        <v>312</v>
      </c>
      <c r="C64" s="93">
        <f xml:space="preserve"> 2*'Initial Estimates'!$C$42+2*'Initial Estimates'!$C$43</f>
        <v>480</v>
      </c>
      <c r="E64" s="93" t="s">
        <v>125</v>
      </c>
      <c r="F64" s="93" t="s">
        <v>223</v>
      </c>
      <c r="G64" s="93" t="s">
        <v>21</v>
      </c>
      <c r="H64" s="29" t="s">
        <v>313</v>
      </c>
      <c r="I64" s="110" t="s">
        <v>207</v>
      </c>
      <c r="J64" s="110"/>
      <c r="K64" s="110"/>
      <c r="L64" s="110"/>
      <c r="M64" s="110"/>
    </row>
    <row r="65" spans="1:13" ht="18" customHeight="1" x14ac:dyDescent="0.2">
      <c r="A65" s="93" t="s">
        <v>314</v>
      </c>
      <c r="B65" s="93" t="s">
        <v>201</v>
      </c>
      <c r="C65" s="93">
        <f xml:space="preserve"> 'Initial Estimates'!$C$41+'Initial Estimates'!$C$43</f>
        <v>230</v>
      </c>
      <c r="E65" s="93" t="s">
        <v>125</v>
      </c>
      <c r="F65" s="93" t="s">
        <v>223</v>
      </c>
      <c r="G65" s="93" t="s">
        <v>21</v>
      </c>
      <c r="H65" s="29" t="s">
        <v>313</v>
      </c>
      <c r="I65" s="110" t="s">
        <v>207</v>
      </c>
      <c r="J65" s="110"/>
      <c r="K65" s="110"/>
      <c r="L65" s="110"/>
      <c r="M65" s="110"/>
    </row>
    <row r="66" spans="1:13" ht="18" customHeight="1" x14ac:dyDescent="0.2">
      <c r="A66" s="93" t="s">
        <v>315</v>
      </c>
      <c r="B66" s="93" t="s">
        <v>316</v>
      </c>
      <c r="C66" s="93">
        <f xml:space="preserve"> C61*C58</f>
        <v>28420</v>
      </c>
      <c r="E66" s="93" t="s">
        <v>125</v>
      </c>
      <c r="F66" s="93" t="s">
        <v>224</v>
      </c>
      <c r="G66" s="93" t="s">
        <v>21</v>
      </c>
      <c r="H66" s="29" t="s">
        <v>321</v>
      </c>
      <c r="I66" s="110" t="s">
        <v>207</v>
      </c>
      <c r="J66" s="110"/>
      <c r="K66" s="110"/>
      <c r="L66" s="110"/>
      <c r="M66" s="110"/>
    </row>
    <row r="67" spans="1:13" ht="18" customHeight="1" x14ac:dyDescent="0.2">
      <c r="A67" s="93" t="s">
        <v>317</v>
      </c>
      <c r="B67" s="93" t="s">
        <v>319</v>
      </c>
      <c r="C67" s="93">
        <f xml:space="preserve"> C62*C59</f>
        <v>40180</v>
      </c>
      <c r="E67" s="93" t="s">
        <v>125</v>
      </c>
      <c r="F67" s="93" t="s">
        <v>224</v>
      </c>
      <c r="G67" s="93" t="s">
        <v>21</v>
      </c>
      <c r="H67" s="29" t="s">
        <v>321</v>
      </c>
      <c r="I67" s="110" t="s">
        <v>207</v>
      </c>
      <c r="J67" s="110"/>
      <c r="K67" s="110"/>
      <c r="L67" s="110"/>
      <c r="M67" s="110"/>
    </row>
    <row r="68" spans="1:13" ht="18" customHeight="1" x14ac:dyDescent="0.2">
      <c r="A68" s="93" t="s">
        <v>318</v>
      </c>
      <c r="B68" s="93" t="s">
        <v>320</v>
      </c>
      <c r="C68" s="93">
        <f xml:space="preserve"> C63*C60</f>
        <v>51450</v>
      </c>
      <c r="E68" s="93" t="s">
        <v>125</v>
      </c>
      <c r="F68" s="93" t="s">
        <v>224</v>
      </c>
      <c r="G68" s="93" t="s">
        <v>21</v>
      </c>
      <c r="H68" s="29" t="s">
        <v>321</v>
      </c>
      <c r="I68" s="110" t="s">
        <v>207</v>
      </c>
      <c r="J68" s="110"/>
      <c r="K68" s="110"/>
      <c r="L68" s="110"/>
      <c r="M68" s="110"/>
    </row>
    <row r="69" spans="1:13" ht="18" customHeight="1" x14ac:dyDescent="0.2">
      <c r="A69" s="93" t="s">
        <v>322</v>
      </c>
      <c r="B69" s="93" t="s">
        <v>323</v>
      </c>
      <c r="C69" s="93">
        <f>$C$12*C64</f>
        <v>2400</v>
      </c>
      <c r="E69" s="93" t="s">
        <v>125</v>
      </c>
      <c r="F69" s="93" t="s">
        <v>224</v>
      </c>
      <c r="G69" s="93" t="s">
        <v>21</v>
      </c>
      <c r="H69" s="29" t="s">
        <v>326</v>
      </c>
      <c r="I69" s="110" t="s">
        <v>207</v>
      </c>
      <c r="J69" s="110"/>
      <c r="K69" s="110"/>
      <c r="L69" s="110"/>
      <c r="M69" s="110"/>
    </row>
    <row r="70" spans="1:13" ht="18" customHeight="1" x14ac:dyDescent="0.2">
      <c r="A70" s="93" t="s">
        <v>324</v>
      </c>
      <c r="B70" s="93" t="s">
        <v>325</v>
      </c>
      <c r="C70" s="93">
        <f>C65*$C$13</f>
        <v>3450</v>
      </c>
      <c r="E70" s="93" t="s">
        <v>125</v>
      </c>
      <c r="F70" s="93" t="s">
        <v>224</v>
      </c>
      <c r="G70" s="93" t="s">
        <v>21</v>
      </c>
      <c r="H70" s="29" t="s">
        <v>326</v>
      </c>
      <c r="I70" s="110" t="s">
        <v>207</v>
      </c>
      <c r="J70" s="110"/>
      <c r="K70" s="110"/>
      <c r="L70" s="110"/>
      <c r="M70" s="110"/>
    </row>
    <row r="71" spans="1:13" ht="22" customHeight="1" x14ac:dyDescent="0.2">
      <c r="A71" s="118" t="s">
        <v>491</v>
      </c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20"/>
    </row>
    <row r="72" spans="1:13" ht="18" customHeight="1" x14ac:dyDescent="0.2">
      <c r="A72" s="23" t="s">
        <v>5</v>
      </c>
      <c r="B72" s="23" t="s">
        <v>96</v>
      </c>
      <c r="C72" s="94" t="s">
        <v>7</v>
      </c>
      <c r="D72" s="94"/>
      <c r="E72" s="94" t="s">
        <v>125</v>
      </c>
      <c r="F72" s="94" t="s">
        <v>8</v>
      </c>
      <c r="G72" s="94" t="s">
        <v>9</v>
      </c>
      <c r="H72" s="31" t="s">
        <v>10</v>
      </c>
      <c r="I72" s="111" t="s">
        <v>11</v>
      </c>
      <c r="J72" s="111"/>
      <c r="K72" s="111"/>
      <c r="L72" s="111"/>
      <c r="M72" s="111"/>
    </row>
    <row r="73" spans="1:13" ht="18" customHeight="1" x14ac:dyDescent="0.2">
      <c r="A73" s="93" t="s">
        <v>287</v>
      </c>
      <c r="B73" s="93" t="s">
        <v>291</v>
      </c>
      <c r="C73" s="93">
        <f xml:space="preserve"> $C$14+'Initial Estimates'!$C$53/2</f>
        <v>29</v>
      </c>
      <c r="E73" s="93" t="s">
        <v>125</v>
      </c>
      <c r="F73" s="93" t="s">
        <v>29</v>
      </c>
      <c r="G73" s="93" t="s">
        <v>21</v>
      </c>
      <c r="H73" s="30" t="s">
        <v>295</v>
      </c>
      <c r="I73" s="110" t="s">
        <v>207</v>
      </c>
      <c r="J73" s="110"/>
      <c r="K73" s="110"/>
      <c r="L73" s="110"/>
      <c r="M73" s="110"/>
    </row>
    <row r="74" spans="1:13" ht="18" customHeight="1" x14ac:dyDescent="0.2">
      <c r="A74" s="93" t="s">
        <v>288</v>
      </c>
      <c r="B74" s="93" t="s">
        <v>292</v>
      </c>
      <c r="C74" s="93">
        <f xml:space="preserve"> $C$15+'Initial Estimates'!$C$53/2</f>
        <v>41</v>
      </c>
      <c r="E74" s="93" t="s">
        <v>125</v>
      </c>
      <c r="F74" s="93" t="s">
        <v>29</v>
      </c>
      <c r="G74" s="93" t="s">
        <v>21</v>
      </c>
      <c r="H74" s="30" t="s">
        <v>296</v>
      </c>
      <c r="I74" s="110" t="s">
        <v>207</v>
      </c>
      <c r="J74" s="110"/>
      <c r="K74" s="110"/>
      <c r="L74" s="110"/>
      <c r="M74" s="110"/>
    </row>
    <row r="75" spans="1:13" ht="18" customHeight="1" x14ac:dyDescent="0.2">
      <c r="A75" s="93" t="s">
        <v>290</v>
      </c>
      <c r="B75" s="93" t="s">
        <v>293</v>
      </c>
      <c r="C75" s="93">
        <f xml:space="preserve"> $C$16+'Initial Estimates'!$C$53/2</f>
        <v>52.5</v>
      </c>
      <c r="E75" s="93" t="s">
        <v>125</v>
      </c>
      <c r="F75" s="93" t="s">
        <v>29</v>
      </c>
      <c r="G75" s="93" t="s">
        <v>21</v>
      </c>
      <c r="H75" s="30" t="s">
        <v>296</v>
      </c>
      <c r="I75" s="110" t="s">
        <v>207</v>
      </c>
      <c r="J75" s="110"/>
      <c r="K75" s="110"/>
      <c r="L75" s="110"/>
      <c r="M75" s="110"/>
    </row>
    <row r="76" spans="1:13" ht="18" customHeight="1" x14ac:dyDescent="0.2">
      <c r="A76" s="93" t="s">
        <v>297</v>
      </c>
      <c r="B76" s="93" t="s">
        <v>300</v>
      </c>
      <c r="C76" s="93">
        <f>'Initial Estimates'!$C$44*('Initial Estimates'!$C$40)</f>
        <v>180</v>
      </c>
      <c r="E76" s="93" t="s">
        <v>125</v>
      </c>
      <c r="F76" s="93" t="s">
        <v>223</v>
      </c>
      <c r="G76" s="93" t="s">
        <v>21</v>
      </c>
      <c r="H76" s="29" t="s">
        <v>310</v>
      </c>
      <c r="I76" s="110" t="s">
        <v>207</v>
      </c>
      <c r="J76" s="110"/>
      <c r="K76" s="110"/>
      <c r="L76" s="110"/>
      <c r="M76" s="110"/>
    </row>
    <row r="77" spans="1:13" ht="18" customHeight="1" x14ac:dyDescent="0.2">
      <c r="A77" s="93" t="s">
        <v>298</v>
      </c>
      <c r="B77" s="93" t="s">
        <v>301</v>
      </c>
      <c r="C77" s="93">
        <f>'Initial Estimates'!$C$45*('Initial Estimates'!$C$40)</f>
        <v>180</v>
      </c>
      <c r="E77" s="93" t="s">
        <v>125</v>
      </c>
      <c r="F77" s="93" t="s">
        <v>223</v>
      </c>
      <c r="G77" s="93" t="s">
        <v>21</v>
      </c>
      <c r="H77" s="29" t="s">
        <v>310</v>
      </c>
      <c r="I77" s="110" t="s">
        <v>207</v>
      </c>
      <c r="J77" s="110"/>
      <c r="K77" s="110"/>
      <c r="L77" s="110"/>
      <c r="M77" s="110"/>
    </row>
    <row r="78" spans="1:13" ht="18" customHeight="1" x14ac:dyDescent="0.2">
      <c r="A78" s="93" t="s">
        <v>299</v>
      </c>
      <c r="B78" s="93" t="s">
        <v>302</v>
      </c>
      <c r="C78" s="93">
        <f>'Initial Estimates'!$C$46*('Initial Estimates'!$C$40)</f>
        <v>180</v>
      </c>
      <c r="E78" s="93" t="s">
        <v>125</v>
      </c>
      <c r="F78" s="93" t="s">
        <v>223</v>
      </c>
      <c r="G78" s="93" t="s">
        <v>21</v>
      </c>
      <c r="H78" s="29" t="s">
        <v>310</v>
      </c>
      <c r="I78" s="110" t="s">
        <v>207</v>
      </c>
      <c r="J78" s="110"/>
      <c r="K78" s="110"/>
      <c r="L78" s="110"/>
      <c r="M78" s="110"/>
    </row>
    <row r="79" spans="1:13" ht="18" customHeight="1" x14ac:dyDescent="0.2">
      <c r="A79" s="93" t="s">
        <v>311</v>
      </c>
      <c r="B79" s="93" t="s">
        <v>312</v>
      </c>
      <c r="C79" s="93">
        <f xml:space="preserve"> 2*'Initial Estimates'!$C$42+2*'Initial Estimates'!$C$43</f>
        <v>480</v>
      </c>
      <c r="E79" s="93" t="s">
        <v>125</v>
      </c>
      <c r="F79" s="93" t="s">
        <v>223</v>
      </c>
      <c r="G79" s="93" t="s">
        <v>21</v>
      </c>
      <c r="H79" s="29" t="s">
        <v>313</v>
      </c>
      <c r="I79" s="110" t="s">
        <v>207</v>
      </c>
      <c r="J79" s="110"/>
      <c r="K79" s="110"/>
      <c r="L79" s="110"/>
      <c r="M79" s="110"/>
    </row>
    <row r="80" spans="1:13" ht="18" customHeight="1" x14ac:dyDescent="0.2">
      <c r="A80" s="93" t="s">
        <v>314</v>
      </c>
      <c r="B80" s="93" t="s">
        <v>201</v>
      </c>
      <c r="C80" s="93">
        <f xml:space="preserve"> 'Initial Estimates'!$C$41</f>
        <v>30</v>
      </c>
      <c r="E80" s="93" t="s">
        <v>125</v>
      </c>
      <c r="F80" s="93" t="s">
        <v>223</v>
      </c>
      <c r="G80" s="93" t="s">
        <v>21</v>
      </c>
      <c r="H80" s="29" t="s">
        <v>313</v>
      </c>
      <c r="I80" s="110" t="s">
        <v>207</v>
      </c>
      <c r="J80" s="110"/>
      <c r="K80" s="110"/>
      <c r="L80" s="110"/>
      <c r="M80" s="110"/>
    </row>
    <row r="81" spans="1:13" ht="18" customHeight="1" x14ac:dyDescent="0.2">
      <c r="A81" s="93" t="s">
        <v>315</v>
      </c>
      <c r="B81" s="93" t="s">
        <v>316</v>
      </c>
      <c r="C81" s="93">
        <f xml:space="preserve"> C76*C73</f>
        <v>5220</v>
      </c>
      <c r="E81" s="93" t="s">
        <v>125</v>
      </c>
      <c r="F81" s="93" t="s">
        <v>224</v>
      </c>
      <c r="G81" s="93" t="s">
        <v>21</v>
      </c>
      <c r="H81" s="29" t="s">
        <v>321</v>
      </c>
      <c r="I81" s="110" t="s">
        <v>207</v>
      </c>
      <c r="J81" s="110"/>
      <c r="K81" s="110"/>
      <c r="L81" s="110"/>
      <c r="M81" s="110"/>
    </row>
    <row r="82" spans="1:13" ht="18" customHeight="1" x14ac:dyDescent="0.2">
      <c r="A82" s="93" t="s">
        <v>317</v>
      </c>
      <c r="B82" s="93" t="s">
        <v>319</v>
      </c>
      <c r="C82" s="93">
        <f xml:space="preserve"> C77*C74</f>
        <v>7380</v>
      </c>
      <c r="E82" s="93" t="s">
        <v>125</v>
      </c>
      <c r="F82" s="93" t="s">
        <v>224</v>
      </c>
      <c r="G82" s="93" t="s">
        <v>21</v>
      </c>
      <c r="H82" s="29" t="s">
        <v>321</v>
      </c>
      <c r="I82" s="110" t="s">
        <v>207</v>
      </c>
      <c r="J82" s="110"/>
      <c r="K82" s="110"/>
      <c r="L82" s="110"/>
      <c r="M82" s="110"/>
    </row>
    <row r="83" spans="1:13" ht="18" customHeight="1" x14ac:dyDescent="0.2">
      <c r="A83" s="93" t="s">
        <v>318</v>
      </c>
      <c r="B83" s="93" t="s">
        <v>320</v>
      </c>
      <c r="C83" s="93">
        <f xml:space="preserve"> C78*C75</f>
        <v>9450</v>
      </c>
      <c r="E83" s="93" t="s">
        <v>125</v>
      </c>
      <c r="F83" s="93" t="s">
        <v>224</v>
      </c>
      <c r="G83" s="93" t="s">
        <v>21</v>
      </c>
      <c r="H83" s="29" t="s">
        <v>321</v>
      </c>
      <c r="I83" s="110" t="s">
        <v>207</v>
      </c>
      <c r="J83" s="110"/>
      <c r="K83" s="110"/>
      <c r="L83" s="110"/>
      <c r="M83" s="110"/>
    </row>
    <row r="84" spans="1:13" ht="18" customHeight="1" x14ac:dyDescent="0.2">
      <c r="A84" s="93" t="s">
        <v>322</v>
      </c>
      <c r="B84" s="93" t="s">
        <v>323</v>
      </c>
      <c r="C84" s="93">
        <f>$C$12*C79</f>
        <v>2400</v>
      </c>
      <c r="E84" s="93" t="s">
        <v>125</v>
      </c>
      <c r="F84" s="93" t="s">
        <v>224</v>
      </c>
      <c r="G84" s="93" t="s">
        <v>21</v>
      </c>
      <c r="H84" s="29" t="s">
        <v>326</v>
      </c>
      <c r="I84" s="110" t="s">
        <v>207</v>
      </c>
      <c r="J84" s="110"/>
      <c r="K84" s="110"/>
      <c r="L84" s="110"/>
      <c r="M84" s="110"/>
    </row>
    <row r="85" spans="1:13" ht="18" customHeight="1" x14ac:dyDescent="0.2">
      <c r="A85" s="93" t="s">
        <v>324</v>
      </c>
      <c r="B85" s="93" t="s">
        <v>325</v>
      </c>
      <c r="C85" s="93">
        <f>C80*$C$13</f>
        <v>450</v>
      </c>
      <c r="E85" s="93" t="s">
        <v>125</v>
      </c>
      <c r="F85" s="93" t="s">
        <v>224</v>
      </c>
      <c r="G85" s="93" t="s">
        <v>21</v>
      </c>
      <c r="H85" s="29" t="s">
        <v>326</v>
      </c>
      <c r="I85" s="110" t="s">
        <v>207</v>
      </c>
      <c r="J85" s="110"/>
      <c r="K85" s="110"/>
      <c r="L85" s="110"/>
      <c r="M85" s="110"/>
    </row>
    <row r="86" spans="1:13" ht="22" customHeight="1" x14ac:dyDescent="0.2">
      <c r="A86" s="118" t="s">
        <v>487</v>
      </c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20"/>
    </row>
    <row r="87" spans="1:13" ht="18" customHeight="1" x14ac:dyDescent="0.2">
      <c r="A87" s="23" t="s">
        <v>5</v>
      </c>
      <c r="B87" s="23" t="s">
        <v>96</v>
      </c>
      <c r="C87" s="94" t="s">
        <v>7</v>
      </c>
      <c r="D87" s="94"/>
      <c r="E87" s="94" t="s">
        <v>125</v>
      </c>
      <c r="F87" s="94" t="s">
        <v>8</v>
      </c>
      <c r="G87" s="94" t="s">
        <v>9</v>
      </c>
      <c r="H87" s="31" t="s">
        <v>10</v>
      </c>
      <c r="I87" s="111" t="s">
        <v>11</v>
      </c>
      <c r="J87" s="111"/>
      <c r="K87" s="111"/>
      <c r="L87" s="111"/>
      <c r="M87" s="111"/>
    </row>
    <row r="88" spans="1:13" ht="18" customHeight="1" x14ac:dyDescent="0.2">
      <c r="A88" s="93" t="s">
        <v>327</v>
      </c>
      <c r="B88" s="93" t="s">
        <v>328</v>
      </c>
      <c r="C88" s="13">
        <f>SUM($C$66:$C$70,$C$55,$C$51,$C$47,$C$42,$C$38,$C$32:$C$33:$C$22:$C$23)</f>
        <v>3016485.950497366</v>
      </c>
      <c r="D88" s="13"/>
      <c r="E88" s="93" t="s">
        <v>125</v>
      </c>
      <c r="F88" s="93" t="s">
        <v>224</v>
      </c>
      <c r="G88" s="93" t="s">
        <v>21</v>
      </c>
      <c r="H88" s="29" t="s">
        <v>329</v>
      </c>
      <c r="I88" s="110"/>
      <c r="J88" s="110"/>
      <c r="K88" s="110"/>
      <c r="L88" s="110"/>
      <c r="M88" s="110"/>
    </row>
    <row r="89" spans="1:13" ht="18" customHeight="1" x14ac:dyDescent="0.2">
      <c r="A89" s="93" t="s">
        <v>330</v>
      </c>
      <c r="B89" s="93" t="s">
        <v>331</v>
      </c>
      <c r="C89" s="93">
        <f>SUM($C$61:$C$65)+'Initial Estimates'!$C$39+'Initial Estimates'!$C$38+'Initial Estimates'!$C$37+'Initial Estimates'!$C$36+'Initial Estimates'!$C$35+'Initial Estimates'!$C$34+'Initial Estimates'!$C$33+'Initial Estimates'!$C$27</f>
        <v>48500.637938321612</v>
      </c>
      <c r="E89" s="93" t="s">
        <v>125</v>
      </c>
      <c r="F89" s="93" t="s">
        <v>223</v>
      </c>
      <c r="G89" s="93" t="s">
        <v>21</v>
      </c>
      <c r="H89" s="29" t="s">
        <v>332</v>
      </c>
      <c r="I89" s="110"/>
      <c r="J89" s="110"/>
      <c r="K89" s="110"/>
      <c r="L89" s="110"/>
      <c r="M89" s="110"/>
    </row>
    <row r="90" spans="1:13" ht="18" customHeight="1" x14ac:dyDescent="0.2">
      <c r="A90" s="93" t="s">
        <v>289</v>
      </c>
      <c r="B90" s="47" t="s">
        <v>333</v>
      </c>
      <c r="C90" s="47">
        <f>C88/C89</f>
        <v>62.194768537548704</v>
      </c>
      <c r="D90" s="67"/>
      <c r="E90" s="93" t="s">
        <v>125</v>
      </c>
      <c r="F90" s="93" t="s">
        <v>29</v>
      </c>
      <c r="G90" s="93" t="s">
        <v>21</v>
      </c>
      <c r="H90" s="29" t="s">
        <v>334</v>
      </c>
      <c r="I90" s="110"/>
      <c r="J90" s="110"/>
      <c r="K90" s="110"/>
      <c r="L90" s="110"/>
      <c r="M90" s="110"/>
    </row>
    <row r="91" spans="1:13" ht="18" customHeight="1" x14ac:dyDescent="0.2">
      <c r="A91" s="93" t="s">
        <v>335</v>
      </c>
      <c r="B91" s="47" t="s">
        <v>336</v>
      </c>
      <c r="C91" s="47">
        <f>(C90-$C$19)/'Initial Estimates'!$C$10*100</f>
        <v>5.7807679710506719</v>
      </c>
      <c r="D91" s="67"/>
      <c r="E91" s="93" t="s">
        <v>125</v>
      </c>
      <c r="F91" s="93" t="s">
        <v>337</v>
      </c>
      <c r="G91" s="93" t="s">
        <v>21</v>
      </c>
      <c r="H91" s="29" t="s">
        <v>338</v>
      </c>
      <c r="I91" s="110"/>
      <c r="J91" s="110"/>
      <c r="K91" s="110"/>
      <c r="L91" s="110"/>
      <c r="M91" s="110"/>
    </row>
    <row r="92" spans="1:13" ht="18" customHeight="1" x14ac:dyDescent="0.2">
      <c r="A92" s="118" t="s">
        <v>488</v>
      </c>
      <c r="B92" s="121"/>
      <c r="C92" s="121"/>
      <c r="D92" s="121"/>
      <c r="E92" s="119"/>
      <c r="F92" s="119"/>
      <c r="G92" s="119"/>
      <c r="H92" s="119"/>
      <c r="I92" s="119"/>
      <c r="J92" s="119"/>
      <c r="K92" s="119"/>
      <c r="L92" s="119"/>
      <c r="M92" s="120"/>
    </row>
    <row r="93" spans="1:13" ht="18" customHeight="1" x14ac:dyDescent="0.2">
      <c r="A93" s="23" t="s">
        <v>5</v>
      </c>
      <c r="B93" s="23" t="s">
        <v>96</v>
      </c>
      <c r="C93" s="94" t="s">
        <v>7</v>
      </c>
      <c r="D93" s="94"/>
      <c r="E93" s="94" t="s">
        <v>125</v>
      </c>
      <c r="F93" s="94" t="s">
        <v>8</v>
      </c>
      <c r="G93" s="94" t="s">
        <v>9</v>
      </c>
      <c r="H93" s="31" t="s">
        <v>10</v>
      </c>
      <c r="I93" s="111" t="s">
        <v>11</v>
      </c>
      <c r="J93" s="111"/>
      <c r="K93" s="111"/>
      <c r="L93" s="111"/>
      <c r="M93" s="111"/>
    </row>
    <row r="94" spans="1:13" ht="18" customHeight="1" x14ac:dyDescent="0.2">
      <c r="A94" s="93" t="s">
        <v>327</v>
      </c>
      <c r="B94" s="93" t="s">
        <v>328</v>
      </c>
      <c r="C94" s="13">
        <f>SUM($C$66:$C$70,$C$55,$C$51,$C$47,$C$42,$C$38,$C$32,$C$34,$C$22:$C$23)</f>
        <v>2527748.0300746323</v>
      </c>
      <c r="D94" s="13"/>
      <c r="E94" s="93" t="s">
        <v>125</v>
      </c>
      <c r="F94" s="93" t="s">
        <v>224</v>
      </c>
      <c r="G94" s="93" t="s">
        <v>21</v>
      </c>
      <c r="H94" s="29" t="s">
        <v>329</v>
      </c>
      <c r="I94" s="110"/>
      <c r="J94" s="110"/>
      <c r="K94" s="110"/>
      <c r="L94" s="110"/>
      <c r="M94" s="110"/>
    </row>
    <row r="95" spans="1:13" ht="18" customHeight="1" x14ac:dyDescent="0.2">
      <c r="A95" s="93" t="s">
        <v>330</v>
      </c>
      <c r="B95" s="93" t="s">
        <v>331</v>
      </c>
      <c r="C95" s="93">
        <f>SUM($C$61:$C$65)+'Initial Estimates'!$C$39+'Initial Estimates'!$C$38+'Initial Estimates'!$C$37+'Initial Estimates'!$C$36+'Initial Estimates'!$C$35+'Initial Estimates'!$C$34+'Initial Estimates'!$C$33+'Initial Estimates'!$C$28</f>
        <v>38417.667463390797</v>
      </c>
      <c r="E95" s="93" t="s">
        <v>125</v>
      </c>
      <c r="F95" s="93" t="s">
        <v>223</v>
      </c>
      <c r="G95" s="93" t="s">
        <v>21</v>
      </c>
      <c r="H95" s="29" t="s">
        <v>332</v>
      </c>
      <c r="I95" s="110"/>
      <c r="J95" s="110"/>
      <c r="K95" s="110"/>
      <c r="L95" s="110"/>
      <c r="M95" s="110"/>
    </row>
    <row r="96" spans="1:13" ht="18" customHeight="1" x14ac:dyDescent="0.2">
      <c r="A96" s="93" t="s">
        <v>289</v>
      </c>
      <c r="B96" s="47" t="s">
        <v>333</v>
      </c>
      <c r="C96" s="47">
        <f>C94/C95</f>
        <v>65.796499292503626</v>
      </c>
      <c r="D96" s="67"/>
      <c r="E96" s="93" t="s">
        <v>125</v>
      </c>
      <c r="F96" s="93" t="s">
        <v>29</v>
      </c>
      <c r="G96" s="93" t="s">
        <v>21</v>
      </c>
      <c r="H96" s="29" t="s">
        <v>334</v>
      </c>
      <c r="I96" s="110"/>
      <c r="J96" s="110"/>
      <c r="K96" s="110"/>
      <c r="L96" s="110"/>
      <c r="M96" s="110"/>
    </row>
    <row r="97" spans="1:13" ht="18" customHeight="1" x14ac:dyDescent="0.2">
      <c r="A97" s="93" t="s">
        <v>335</v>
      </c>
      <c r="B97" s="47" t="s">
        <v>336</v>
      </c>
      <c r="C97" s="47">
        <f>(C96-$C$19)/'Initial Estimates'!$C$10*100</f>
        <v>23.419979053235565</v>
      </c>
      <c r="D97" s="67"/>
      <c r="E97" s="93" t="s">
        <v>125</v>
      </c>
      <c r="F97" s="93" t="s">
        <v>337</v>
      </c>
      <c r="G97" s="93" t="s">
        <v>21</v>
      </c>
      <c r="H97" s="29" t="s">
        <v>338</v>
      </c>
      <c r="I97" s="110"/>
      <c r="J97" s="110"/>
      <c r="K97" s="110"/>
      <c r="L97" s="110"/>
      <c r="M97" s="110"/>
    </row>
    <row r="98" spans="1:13" ht="18" customHeight="1" x14ac:dyDescent="0.2">
      <c r="A98" s="118" t="s">
        <v>494</v>
      </c>
      <c r="B98" s="121"/>
      <c r="C98" s="121"/>
      <c r="D98" s="121"/>
      <c r="E98" s="119"/>
      <c r="F98" s="119"/>
      <c r="G98" s="119"/>
      <c r="H98" s="119"/>
      <c r="I98" s="119"/>
      <c r="J98" s="119"/>
      <c r="K98" s="119"/>
      <c r="L98" s="119"/>
      <c r="M98" s="120"/>
    </row>
    <row r="99" spans="1:13" ht="18" customHeight="1" x14ac:dyDescent="0.2">
      <c r="A99" s="23" t="s">
        <v>5</v>
      </c>
      <c r="B99" s="23" t="s">
        <v>96</v>
      </c>
      <c r="C99" s="94" t="s">
        <v>7</v>
      </c>
      <c r="D99" s="94"/>
      <c r="E99" s="94" t="s">
        <v>125</v>
      </c>
      <c r="F99" s="94" t="s">
        <v>8</v>
      </c>
      <c r="G99" s="94" t="s">
        <v>9</v>
      </c>
      <c r="H99" s="31" t="s">
        <v>10</v>
      </c>
      <c r="I99" s="111" t="s">
        <v>11</v>
      </c>
      <c r="J99" s="111"/>
      <c r="K99" s="111"/>
      <c r="L99" s="111"/>
      <c r="M99" s="111"/>
    </row>
    <row r="100" spans="1:13" ht="18" customHeight="1" x14ac:dyDescent="0.2">
      <c r="A100" s="93" t="s">
        <v>327</v>
      </c>
      <c r="B100" s="93" t="s">
        <v>328</v>
      </c>
      <c r="C100" s="13">
        <f>SUM($C$81:$C$85,$C$55,$C$51,$C$47,$C$42,$C$38,$C$32:$C$33:$C$22:$C$23)</f>
        <v>2915485.9504973656</v>
      </c>
      <c r="D100" s="13"/>
      <c r="E100" s="93" t="s">
        <v>125</v>
      </c>
      <c r="F100" s="93" t="s">
        <v>224</v>
      </c>
      <c r="G100" s="93" t="s">
        <v>21</v>
      </c>
      <c r="H100" s="29" t="s">
        <v>329</v>
      </c>
      <c r="I100" s="110"/>
      <c r="J100" s="110"/>
      <c r="K100" s="110"/>
      <c r="L100" s="110"/>
      <c r="M100" s="110"/>
    </row>
    <row r="101" spans="1:13" ht="18" customHeight="1" x14ac:dyDescent="0.2">
      <c r="A101" s="93" t="s">
        <v>330</v>
      </c>
      <c r="B101" s="93" t="s">
        <v>331</v>
      </c>
      <c r="C101" s="93">
        <f>SUM($C$76:$C$80)+'Initial Estimates'!$C$39+'Initial Estimates'!$C$38+'Initial Estimates'!$C$37+'Initial Estimates'!$C$36+'Initial Estimates'!$C$35+'Initial Estimates'!$C$34+'Initial Estimates'!$C$33+'Initial Estimates'!$C$27</f>
        <v>45900.637938321612</v>
      </c>
      <c r="E101" s="93" t="s">
        <v>125</v>
      </c>
      <c r="F101" s="93" t="s">
        <v>223</v>
      </c>
      <c r="G101" s="93" t="s">
        <v>21</v>
      </c>
      <c r="H101" s="29" t="s">
        <v>332</v>
      </c>
      <c r="I101" s="110"/>
      <c r="J101" s="110"/>
      <c r="K101" s="110"/>
      <c r="L101" s="110"/>
      <c r="M101" s="110"/>
    </row>
    <row r="102" spans="1:13" ht="18" customHeight="1" x14ac:dyDescent="0.2">
      <c r="A102" s="93" t="s">
        <v>289</v>
      </c>
      <c r="B102" s="47" t="s">
        <v>333</v>
      </c>
      <c r="C102" s="47">
        <f>C100/C101</f>
        <v>63.517329637444519</v>
      </c>
      <c r="D102" s="67"/>
      <c r="E102" s="93" t="s">
        <v>125</v>
      </c>
      <c r="F102" s="93" t="s">
        <v>29</v>
      </c>
      <c r="G102" s="93" t="s">
        <v>21</v>
      </c>
      <c r="H102" s="29" t="s">
        <v>334</v>
      </c>
      <c r="I102" s="110"/>
      <c r="J102" s="110"/>
      <c r="K102" s="110"/>
      <c r="L102" s="110"/>
      <c r="M102" s="110"/>
    </row>
    <row r="103" spans="1:13" ht="18" customHeight="1" x14ac:dyDescent="0.2">
      <c r="A103" s="93" t="s">
        <v>335</v>
      </c>
      <c r="B103" s="47" t="s">
        <v>336</v>
      </c>
      <c r="C103" s="47">
        <f>(C102-$C$19)/'Initial Estimates'!$C$10*100</f>
        <v>12.257913542816452</v>
      </c>
      <c r="D103" s="67"/>
      <c r="E103" s="93" t="s">
        <v>125</v>
      </c>
      <c r="F103" s="93" t="s">
        <v>337</v>
      </c>
      <c r="G103" s="93" t="s">
        <v>21</v>
      </c>
      <c r="H103" s="29" t="s">
        <v>338</v>
      </c>
      <c r="I103" s="110"/>
      <c r="J103" s="110"/>
      <c r="K103" s="110"/>
      <c r="L103" s="110"/>
      <c r="M103" s="110"/>
    </row>
    <row r="104" spans="1:13" ht="18" customHeight="1" x14ac:dyDescent="0.2">
      <c r="A104" s="118" t="s">
        <v>466</v>
      </c>
      <c r="B104" s="121"/>
      <c r="C104" s="121"/>
      <c r="D104" s="121"/>
      <c r="E104" s="119"/>
      <c r="F104" s="119"/>
      <c r="G104" s="119"/>
      <c r="H104" s="119"/>
      <c r="I104" s="119"/>
      <c r="J104" s="119"/>
      <c r="K104" s="119"/>
      <c r="L104" s="119"/>
      <c r="M104" s="120"/>
    </row>
    <row r="105" spans="1:13" ht="18" customHeight="1" x14ac:dyDescent="0.2">
      <c r="A105" s="23" t="s">
        <v>5</v>
      </c>
      <c r="B105" s="23" t="s">
        <v>96</v>
      </c>
      <c r="C105" s="94" t="s">
        <v>7</v>
      </c>
      <c r="D105" s="94"/>
      <c r="E105" s="94" t="s">
        <v>125</v>
      </c>
      <c r="F105" s="94" t="s">
        <v>8</v>
      </c>
      <c r="G105" s="94" t="s">
        <v>9</v>
      </c>
      <c r="H105" s="31" t="s">
        <v>10</v>
      </c>
      <c r="I105" s="111" t="s">
        <v>11</v>
      </c>
      <c r="J105" s="111"/>
      <c r="K105" s="111"/>
      <c r="L105" s="111"/>
      <c r="M105" s="111"/>
    </row>
    <row r="106" spans="1:13" ht="18" customHeight="1" x14ac:dyDescent="0.2">
      <c r="A106" s="93" t="s">
        <v>327</v>
      </c>
      <c r="B106" s="93" t="s">
        <v>328</v>
      </c>
      <c r="C106" s="13">
        <f>SUM($C$81:$C$85,$C$55,$C$51,$C$47,$C$42,$C$38,$C$32,$C$34,$C$22:$C$23)</f>
        <v>2426748.0300746323</v>
      </c>
      <c r="D106" s="13"/>
      <c r="E106" s="93" t="s">
        <v>125</v>
      </c>
      <c r="F106" s="93" t="s">
        <v>224</v>
      </c>
      <c r="G106" s="93" t="s">
        <v>21</v>
      </c>
      <c r="H106" s="29" t="s">
        <v>329</v>
      </c>
      <c r="I106" s="110"/>
      <c r="J106" s="110"/>
      <c r="K106" s="110"/>
      <c r="L106" s="110"/>
      <c r="M106" s="110"/>
    </row>
    <row r="107" spans="1:13" ht="18" customHeight="1" x14ac:dyDescent="0.2">
      <c r="A107" s="93" t="s">
        <v>330</v>
      </c>
      <c r="B107" s="93" t="s">
        <v>331</v>
      </c>
      <c r="C107" s="93">
        <f>SUM($C$76:$C$80)+'Initial Estimates'!$C$39+'Initial Estimates'!$C$38+'Initial Estimates'!$C$37+'Initial Estimates'!$C$36+'Initial Estimates'!$C$35+'Initial Estimates'!$C$34+'Initial Estimates'!$C$33+'Initial Estimates'!$C$28</f>
        <v>35817.667463390797</v>
      </c>
      <c r="E107" s="93" t="s">
        <v>125</v>
      </c>
      <c r="F107" s="93" t="s">
        <v>223</v>
      </c>
      <c r="G107" s="93" t="s">
        <v>21</v>
      </c>
      <c r="H107" s="29" t="s">
        <v>332</v>
      </c>
      <c r="I107" s="110"/>
      <c r="J107" s="110"/>
      <c r="K107" s="110"/>
      <c r="L107" s="110"/>
      <c r="M107" s="110"/>
    </row>
    <row r="108" spans="1:13" ht="18" customHeight="1" x14ac:dyDescent="0.2">
      <c r="A108" s="93" t="s">
        <v>289</v>
      </c>
      <c r="B108" s="47" t="s">
        <v>333</v>
      </c>
      <c r="C108" s="47">
        <f>C106/C107</f>
        <v>67.752821496682017</v>
      </c>
      <c r="D108" s="67"/>
      <c r="E108" s="93" t="s">
        <v>125</v>
      </c>
      <c r="F108" s="93" t="s">
        <v>29</v>
      </c>
      <c r="G108" s="93" t="s">
        <v>21</v>
      </c>
      <c r="H108" s="29" t="s">
        <v>334</v>
      </c>
      <c r="I108" s="110"/>
      <c r="J108" s="110"/>
      <c r="K108" s="110"/>
      <c r="L108" s="110"/>
      <c r="M108" s="110"/>
    </row>
    <row r="109" spans="1:13" ht="18" customHeight="1" x14ac:dyDescent="0.2">
      <c r="A109" s="93" t="s">
        <v>335</v>
      </c>
      <c r="B109" s="47" t="s">
        <v>336</v>
      </c>
      <c r="C109" s="47">
        <f>(C108-$C$19)/'Initial Estimates'!$C$10*100</f>
        <v>33.000922952719172</v>
      </c>
      <c r="D109" s="67"/>
      <c r="E109" s="93" t="s">
        <v>125</v>
      </c>
      <c r="F109" s="93" t="s">
        <v>337</v>
      </c>
      <c r="G109" s="93" t="s">
        <v>21</v>
      </c>
      <c r="H109" s="29" t="s">
        <v>338</v>
      </c>
      <c r="I109" s="110"/>
      <c r="J109" s="110"/>
      <c r="K109" s="110"/>
      <c r="L109" s="110"/>
      <c r="M109" s="110"/>
    </row>
  </sheetData>
  <mergeCells count="109">
    <mergeCell ref="I109:M109"/>
    <mergeCell ref="I103:M103"/>
    <mergeCell ref="A104:M104"/>
    <mergeCell ref="I105:M105"/>
    <mergeCell ref="I106:M106"/>
    <mergeCell ref="I107:M107"/>
    <mergeCell ref="I108:M108"/>
    <mergeCell ref="I97:M97"/>
    <mergeCell ref="A98:M98"/>
    <mergeCell ref="I99:M99"/>
    <mergeCell ref="I100:M100"/>
    <mergeCell ref="I101:M101"/>
    <mergeCell ref="I102:M102"/>
    <mergeCell ref="I91:M91"/>
    <mergeCell ref="A92:M92"/>
    <mergeCell ref="I93:M93"/>
    <mergeCell ref="I94:M94"/>
    <mergeCell ref="I95:M95"/>
    <mergeCell ref="I96:M96"/>
    <mergeCell ref="I85:M85"/>
    <mergeCell ref="A86:M86"/>
    <mergeCell ref="I87:M87"/>
    <mergeCell ref="I88:M88"/>
    <mergeCell ref="I89:M89"/>
    <mergeCell ref="I90:M90"/>
    <mergeCell ref="I79:M79"/>
    <mergeCell ref="I80:M80"/>
    <mergeCell ref="I81:M81"/>
    <mergeCell ref="I82:M82"/>
    <mergeCell ref="I83:M83"/>
    <mergeCell ref="I84:M84"/>
    <mergeCell ref="I73:M73"/>
    <mergeCell ref="I74:M74"/>
    <mergeCell ref="I75:M75"/>
    <mergeCell ref="I76:M76"/>
    <mergeCell ref="I77:M77"/>
    <mergeCell ref="I78:M78"/>
    <mergeCell ref="I67:M67"/>
    <mergeCell ref="I68:M68"/>
    <mergeCell ref="I69:M69"/>
    <mergeCell ref="I70:M70"/>
    <mergeCell ref="A71:M71"/>
    <mergeCell ref="I72:M72"/>
    <mergeCell ref="I61:M61"/>
    <mergeCell ref="I62:M62"/>
    <mergeCell ref="I63:M63"/>
    <mergeCell ref="I64:M64"/>
    <mergeCell ref="I65:M65"/>
    <mergeCell ref="I66:M66"/>
    <mergeCell ref="I55:M55"/>
    <mergeCell ref="A56:M56"/>
    <mergeCell ref="I57:M57"/>
    <mergeCell ref="I58:M58"/>
    <mergeCell ref="I59:M59"/>
    <mergeCell ref="I60:M60"/>
    <mergeCell ref="I49:M49"/>
    <mergeCell ref="I50:M50"/>
    <mergeCell ref="I51:M51"/>
    <mergeCell ref="A52:M52"/>
    <mergeCell ref="I53:M53"/>
    <mergeCell ref="I54:M54"/>
    <mergeCell ref="A43:M43"/>
    <mergeCell ref="I44:M44"/>
    <mergeCell ref="I45:M45"/>
    <mergeCell ref="I46:M46"/>
    <mergeCell ref="I47:M47"/>
    <mergeCell ref="A48:M48"/>
    <mergeCell ref="I37:M37"/>
    <mergeCell ref="I38:M38"/>
    <mergeCell ref="A39:M39"/>
    <mergeCell ref="I40:M40"/>
    <mergeCell ref="I41:M41"/>
    <mergeCell ref="I42:M42"/>
    <mergeCell ref="I31:M31"/>
    <mergeCell ref="I32:M32"/>
    <mergeCell ref="I33:M33"/>
    <mergeCell ref="I34:M34"/>
    <mergeCell ref="A35:M35"/>
    <mergeCell ref="I36:M36"/>
    <mergeCell ref="I25:M25"/>
    <mergeCell ref="I26:M26"/>
    <mergeCell ref="I27:M27"/>
    <mergeCell ref="I28:M28"/>
    <mergeCell ref="I29:M29"/>
    <mergeCell ref="I30:M30"/>
    <mergeCell ref="I19:M19"/>
    <mergeCell ref="I20:M20"/>
    <mergeCell ref="I21:M21"/>
    <mergeCell ref="I22:M22"/>
    <mergeCell ref="I23:M23"/>
    <mergeCell ref="A24:M24"/>
    <mergeCell ref="I13:M13"/>
    <mergeCell ref="I14:M14"/>
    <mergeCell ref="I15:M15"/>
    <mergeCell ref="I16:M16"/>
    <mergeCell ref="A17:M17"/>
    <mergeCell ref="I18:M18"/>
    <mergeCell ref="I7:M7"/>
    <mergeCell ref="I8:M8"/>
    <mergeCell ref="I9:M9"/>
    <mergeCell ref="I10:M10"/>
    <mergeCell ref="I11:M11"/>
    <mergeCell ref="I12:M12"/>
    <mergeCell ref="A1:M1"/>
    <mergeCell ref="I2:M2"/>
    <mergeCell ref="I3:M3"/>
    <mergeCell ref="I4:M4"/>
    <mergeCell ref="I5:M5"/>
    <mergeCell ref="I6:M6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8"/>
  <sheetViews>
    <sheetView zoomScale="110" zoomScaleNormal="110" zoomScalePageLayoutView="110" workbookViewId="0">
      <selection activeCell="C22" sqref="C22"/>
    </sheetView>
  </sheetViews>
  <sheetFormatPr baseColWidth="10" defaultColWidth="15.1640625" defaultRowHeight="18" customHeight="1" x14ac:dyDescent="0.2"/>
  <cols>
    <col min="1" max="1" width="54.1640625" style="12" customWidth="1"/>
    <col min="2" max="2" width="19.33203125" style="12" customWidth="1"/>
    <col min="3" max="3" width="15.1640625" style="12"/>
    <col min="4" max="4" width="2" style="12" customWidth="1"/>
    <col min="5" max="5" width="15.1640625" style="12"/>
    <col min="6" max="6" width="30.33203125" style="12" customWidth="1"/>
    <col min="7" max="7" width="38.6640625" style="29" customWidth="1"/>
    <col min="8" max="16384" width="15.1640625" style="12"/>
  </cols>
  <sheetData>
    <row r="1" spans="1:12" ht="22" customHeight="1" x14ac:dyDescent="0.2">
      <c r="A1" s="118" t="s">
        <v>404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2" ht="18" customHeight="1" x14ac:dyDescent="0.2">
      <c r="A2" s="23" t="s">
        <v>5</v>
      </c>
      <c r="B2" s="23" t="s">
        <v>96</v>
      </c>
      <c r="C2" s="24" t="s">
        <v>7</v>
      </c>
      <c r="D2" s="24" t="s">
        <v>125</v>
      </c>
      <c r="E2" s="24" t="s">
        <v>8</v>
      </c>
      <c r="F2" s="24" t="s">
        <v>9</v>
      </c>
      <c r="G2" s="31" t="s">
        <v>10</v>
      </c>
      <c r="H2" s="122" t="s">
        <v>11</v>
      </c>
      <c r="I2" s="123"/>
      <c r="J2" s="123"/>
      <c r="K2" s="123"/>
      <c r="L2" s="124"/>
    </row>
    <row r="3" spans="1:12" ht="18" customHeight="1" x14ac:dyDescent="0.2">
      <c r="A3" s="12" t="s">
        <v>342</v>
      </c>
      <c r="B3" s="12" t="s">
        <v>346</v>
      </c>
      <c r="C3" s="13">
        <v>5.91E-2</v>
      </c>
      <c r="D3" s="12" t="s">
        <v>125</v>
      </c>
      <c r="E3" s="12" t="s">
        <v>137</v>
      </c>
      <c r="F3" s="12" t="s">
        <v>21</v>
      </c>
      <c r="G3" s="29" t="s">
        <v>441</v>
      </c>
      <c r="H3" s="110" t="s">
        <v>341</v>
      </c>
      <c r="I3" s="110"/>
      <c r="J3" s="110"/>
      <c r="K3" s="110"/>
      <c r="L3" s="110"/>
    </row>
    <row r="4" spans="1:12" ht="18" customHeight="1" x14ac:dyDescent="0.2">
      <c r="A4" s="12" t="s">
        <v>343</v>
      </c>
      <c r="B4" s="12" t="s">
        <v>347</v>
      </c>
      <c r="C4" s="13">
        <v>0.89429999999999998</v>
      </c>
      <c r="D4" s="12" t="s">
        <v>125</v>
      </c>
      <c r="E4" s="12" t="s">
        <v>137</v>
      </c>
      <c r="F4" s="12" t="s">
        <v>21</v>
      </c>
      <c r="G4" s="29" t="s">
        <v>441</v>
      </c>
      <c r="H4" s="110" t="s">
        <v>341</v>
      </c>
      <c r="I4" s="110"/>
      <c r="J4" s="110"/>
      <c r="K4" s="110"/>
      <c r="L4" s="110"/>
    </row>
    <row r="5" spans="1:12" ht="18" customHeight="1" x14ac:dyDescent="0.2">
      <c r="A5" s="12" t="s">
        <v>344</v>
      </c>
      <c r="B5" s="12" t="s">
        <v>348</v>
      </c>
      <c r="C5" s="13">
        <v>9.8500000000000004E-2</v>
      </c>
      <c r="D5" s="12" t="s">
        <v>125</v>
      </c>
      <c r="E5" s="12" t="s">
        <v>137</v>
      </c>
      <c r="F5" s="12" t="s">
        <v>21</v>
      </c>
      <c r="G5" s="29" t="s">
        <v>393</v>
      </c>
      <c r="H5" s="110" t="s">
        <v>341</v>
      </c>
      <c r="I5" s="110"/>
      <c r="J5" s="110"/>
      <c r="K5" s="110"/>
      <c r="L5" s="110"/>
    </row>
    <row r="6" spans="1:12" ht="18" customHeight="1" x14ac:dyDescent="0.2">
      <c r="A6" s="12" t="s">
        <v>345</v>
      </c>
      <c r="B6" s="12" t="s">
        <v>349</v>
      </c>
      <c r="C6" s="13">
        <v>0.83540000000000003</v>
      </c>
      <c r="D6" s="12" t="s">
        <v>125</v>
      </c>
      <c r="E6" s="12" t="s">
        <v>137</v>
      </c>
      <c r="F6" s="12" t="s">
        <v>21</v>
      </c>
      <c r="G6" s="29" t="s">
        <v>393</v>
      </c>
      <c r="H6" s="110" t="s">
        <v>341</v>
      </c>
      <c r="I6" s="110"/>
      <c r="J6" s="110"/>
      <c r="K6" s="110"/>
      <c r="L6" s="110"/>
    </row>
    <row r="7" spans="1:12" ht="18" customHeight="1" x14ac:dyDescent="0.2">
      <c r="A7" s="12" t="s">
        <v>350</v>
      </c>
      <c r="B7" s="12" t="s">
        <v>351</v>
      </c>
      <c r="C7" s="13">
        <f xml:space="preserve"> 'Cg Calcs Subsonic'!C90</f>
        <v>62.194768537548704</v>
      </c>
      <c r="D7" s="12" t="s">
        <v>125</v>
      </c>
      <c r="E7" s="12" t="s">
        <v>29</v>
      </c>
      <c r="F7" s="12" t="s">
        <v>21</v>
      </c>
      <c r="G7" s="29" t="s">
        <v>352</v>
      </c>
      <c r="H7" s="110" t="s">
        <v>341</v>
      </c>
      <c r="I7" s="110"/>
      <c r="J7" s="110"/>
      <c r="K7" s="110"/>
      <c r="L7" s="110"/>
    </row>
    <row r="8" spans="1:12" ht="18" customHeight="1" x14ac:dyDescent="0.2">
      <c r="A8" s="12" t="s">
        <v>364</v>
      </c>
      <c r="B8" s="12" t="s">
        <v>363</v>
      </c>
      <c r="C8" s="13">
        <f xml:space="preserve"> C7-'Cg Calcs Subsonic'!$C$19</f>
        <v>1.1803685375487092</v>
      </c>
      <c r="D8" s="12" t="s">
        <v>125</v>
      </c>
      <c r="E8" s="12" t="s">
        <v>29</v>
      </c>
      <c r="F8" s="12" t="s">
        <v>21</v>
      </c>
      <c r="G8" s="29" t="s">
        <v>368</v>
      </c>
      <c r="H8" s="110" t="s">
        <v>341</v>
      </c>
      <c r="I8" s="110"/>
      <c r="J8" s="110"/>
      <c r="K8" s="110"/>
      <c r="L8" s="110"/>
    </row>
    <row r="9" spans="1:12" ht="18" customHeight="1" x14ac:dyDescent="0.2">
      <c r="A9" s="12" t="s">
        <v>365</v>
      </c>
      <c r="B9" s="12" t="s">
        <v>366</v>
      </c>
      <c r="C9" s="13">
        <f>'Cg Calcs Subsonic'!$C$10+(1-0.8037)*'Initial Estimates'!$C$8 - C7</f>
        <v>24.7083650624513</v>
      </c>
      <c r="D9" s="12" t="s">
        <v>125</v>
      </c>
      <c r="E9" s="12" t="s">
        <v>29</v>
      </c>
      <c r="F9" s="12" t="s">
        <v>21</v>
      </c>
      <c r="G9" s="29" t="s">
        <v>367</v>
      </c>
      <c r="H9" s="110" t="s">
        <v>341</v>
      </c>
      <c r="I9" s="110"/>
      <c r="J9" s="110"/>
      <c r="K9" s="110"/>
      <c r="L9" s="110"/>
    </row>
    <row r="10" spans="1:12" s="14" customFormat="1" ht="18" customHeight="1" x14ac:dyDescent="0.2">
      <c r="A10" s="14" t="s">
        <v>394</v>
      </c>
      <c r="B10" s="14" t="s">
        <v>395</v>
      </c>
      <c r="C10" s="13">
        <f>C9+C8</f>
        <v>25.888733600000009</v>
      </c>
      <c r="D10" s="14" t="s">
        <v>125</v>
      </c>
      <c r="E10" s="14" t="s">
        <v>29</v>
      </c>
      <c r="F10" s="14" t="s">
        <v>21</v>
      </c>
      <c r="G10" s="29" t="s">
        <v>396</v>
      </c>
      <c r="H10" s="110" t="s">
        <v>455</v>
      </c>
      <c r="I10" s="110"/>
      <c r="J10" s="110"/>
      <c r="K10" s="110"/>
      <c r="L10" s="110"/>
    </row>
    <row r="11" spans="1:12" ht="18" customHeight="1" x14ac:dyDescent="0.2">
      <c r="A11" s="12" t="s">
        <v>369</v>
      </c>
      <c r="B11" s="12" t="s">
        <v>370</v>
      </c>
      <c r="C11" s="13">
        <f>'Initial Estimates'!$C$21</f>
        <v>3</v>
      </c>
      <c r="D11" s="12" t="s">
        <v>125</v>
      </c>
      <c r="E11" s="12" t="s">
        <v>137</v>
      </c>
      <c r="F11" s="12" t="s">
        <v>14</v>
      </c>
      <c r="G11" s="29" t="s">
        <v>137</v>
      </c>
      <c r="H11" s="110" t="s">
        <v>341</v>
      </c>
      <c r="I11" s="110"/>
      <c r="J11" s="110"/>
      <c r="K11" s="110"/>
      <c r="L11" s="110"/>
    </row>
    <row r="12" spans="1:12" ht="18" customHeight="1" x14ac:dyDescent="0.2">
      <c r="A12" s="12" t="s">
        <v>377</v>
      </c>
      <c r="B12" s="12" t="s">
        <v>378</v>
      </c>
      <c r="C12" s="12">
        <f>'Subsonic Stability'!C10*'Initial Estimates'!C15*1.68</f>
        <v>1456.4012440319998</v>
      </c>
      <c r="D12" s="12" t="s">
        <v>125</v>
      </c>
      <c r="E12" s="12" t="s">
        <v>504</v>
      </c>
      <c r="F12" s="12" t="s">
        <v>21</v>
      </c>
      <c r="G12" s="29" t="s">
        <v>383</v>
      </c>
      <c r="H12" s="110" t="s">
        <v>384</v>
      </c>
      <c r="I12" s="110"/>
      <c r="J12" s="110"/>
      <c r="K12" s="110"/>
      <c r="L12" s="110"/>
    </row>
    <row r="13" spans="1:12" ht="18" customHeight="1" x14ac:dyDescent="0.2">
      <c r="A13" s="12" t="s">
        <v>385</v>
      </c>
      <c r="B13" s="12" t="s">
        <v>386</v>
      </c>
      <c r="C13" s="12">
        <f>0.5*'Initial Estimates'!$C$20*'Stability Constants Subsonic'!$C$12^2</f>
        <v>489.97515881574805</v>
      </c>
      <c r="D13" s="12" t="s">
        <v>125</v>
      </c>
      <c r="E13" s="12" t="s">
        <v>387</v>
      </c>
      <c r="F13" s="12" t="s">
        <v>21</v>
      </c>
      <c r="G13" s="29" t="s">
        <v>388</v>
      </c>
      <c r="H13" s="110" t="s">
        <v>384</v>
      </c>
      <c r="I13" s="110"/>
      <c r="J13" s="110"/>
      <c r="K13" s="110"/>
      <c r="L13" s="110"/>
    </row>
    <row r="14" spans="1:12" ht="18" customHeight="1" x14ac:dyDescent="0.2">
      <c r="A14" s="12" t="s">
        <v>389</v>
      </c>
      <c r="B14" s="12" t="s">
        <v>117</v>
      </c>
      <c r="C14" s="12">
        <f>PI()*('Initial Estimates'!$C$58/2)^2*'Initial Estimates'!$C$50</f>
        <v>2392.9373797714861</v>
      </c>
      <c r="D14" s="12" t="s">
        <v>125</v>
      </c>
      <c r="E14" s="12" t="s">
        <v>360</v>
      </c>
      <c r="F14" s="12" t="s">
        <v>21</v>
      </c>
      <c r="G14" s="29" t="s">
        <v>390</v>
      </c>
      <c r="H14" s="110" t="s">
        <v>384</v>
      </c>
      <c r="I14" s="110"/>
      <c r="J14" s="110"/>
      <c r="K14" s="110"/>
      <c r="L14" s="110"/>
    </row>
    <row r="15" spans="1:12" ht="18" customHeight="1" x14ac:dyDescent="0.2">
      <c r="A15" s="12" t="s">
        <v>391</v>
      </c>
      <c r="B15" s="12" t="s">
        <v>392</v>
      </c>
      <c r="C15" s="14">
        <f>PI()*('Initial Estimates'!$C$58/2)^2*'Initial Estimates'!$C$51</f>
        <v>1696.6760174334224</v>
      </c>
      <c r="D15" s="12" t="s">
        <v>125</v>
      </c>
      <c r="E15" s="12" t="s">
        <v>360</v>
      </c>
      <c r="F15" s="12" t="s">
        <v>21</v>
      </c>
      <c r="G15" s="29" t="s">
        <v>393</v>
      </c>
      <c r="H15" s="110" t="s">
        <v>384</v>
      </c>
      <c r="I15" s="110"/>
      <c r="J15" s="110"/>
      <c r="K15" s="110"/>
      <c r="L15" s="110"/>
    </row>
    <row r="16" spans="1:12" ht="18" customHeight="1" x14ac:dyDescent="0.2">
      <c r="A16" s="12" t="s">
        <v>397</v>
      </c>
      <c r="B16" s="12" t="s">
        <v>398</v>
      </c>
      <c r="C16" s="13">
        <v>1</v>
      </c>
      <c r="D16" s="12" t="s">
        <v>125</v>
      </c>
      <c r="E16" s="12" t="s">
        <v>137</v>
      </c>
      <c r="F16" s="12" t="s">
        <v>400</v>
      </c>
      <c r="G16" s="29" t="s">
        <v>401</v>
      </c>
      <c r="H16" s="110" t="s">
        <v>341</v>
      </c>
      <c r="I16" s="110"/>
      <c r="J16" s="110"/>
      <c r="K16" s="110"/>
      <c r="L16" s="110"/>
    </row>
    <row r="19" spans="1:12" ht="18" customHeight="1" x14ac:dyDescent="0.2">
      <c r="A19" s="118" t="s">
        <v>567</v>
      </c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20"/>
    </row>
    <row r="20" spans="1:12" ht="18" customHeight="1" x14ac:dyDescent="0.2">
      <c r="A20" s="23" t="s">
        <v>5</v>
      </c>
      <c r="B20" s="23" t="s">
        <v>96</v>
      </c>
      <c r="C20" s="94" t="s">
        <v>7</v>
      </c>
      <c r="D20" s="94" t="s">
        <v>125</v>
      </c>
      <c r="E20" s="94" t="s">
        <v>8</v>
      </c>
      <c r="F20" s="94" t="s">
        <v>9</v>
      </c>
      <c r="G20" s="31" t="s">
        <v>10</v>
      </c>
      <c r="H20" s="122" t="s">
        <v>11</v>
      </c>
      <c r="I20" s="123"/>
      <c r="J20" s="123"/>
      <c r="K20" s="123"/>
      <c r="L20" s="124"/>
    </row>
    <row r="21" spans="1:12" ht="18" customHeight="1" x14ac:dyDescent="0.2">
      <c r="A21" s="93" t="s">
        <v>350</v>
      </c>
      <c r="B21" s="93" t="s">
        <v>351</v>
      </c>
      <c r="C21" s="13">
        <f xml:space="preserve"> 'Cg Calcs Subsonic'!C96</f>
        <v>65.796499292503626</v>
      </c>
      <c r="D21" s="93" t="s">
        <v>125</v>
      </c>
      <c r="E21" s="93" t="s">
        <v>29</v>
      </c>
      <c r="F21" s="93" t="s">
        <v>21</v>
      </c>
      <c r="G21" s="29" t="s">
        <v>352</v>
      </c>
      <c r="H21" s="110" t="s">
        <v>341</v>
      </c>
      <c r="I21" s="110"/>
      <c r="J21" s="110"/>
      <c r="K21" s="110"/>
      <c r="L21" s="110"/>
    </row>
    <row r="22" spans="1:12" ht="18" customHeight="1" x14ac:dyDescent="0.2">
      <c r="A22" s="93" t="s">
        <v>364</v>
      </c>
      <c r="B22" s="93" t="s">
        <v>363</v>
      </c>
      <c r="C22" s="13">
        <f xml:space="preserve"> C21-'Cg Calcs Subsonic'!$C$19</f>
        <v>4.7820992925036307</v>
      </c>
      <c r="D22" s="93" t="s">
        <v>125</v>
      </c>
      <c r="E22" s="93" t="s">
        <v>29</v>
      </c>
      <c r="F22" s="93" t="s">
        <v>21</v>
      </c>
      <c r="G22" s="29" t="s">
        <v>368</v>
      </c>
      <c r="H22" s="110" t="s">
        <v>341</v>
      </c>
      <c r="I22" s="110"/>
      <c r="J22" s="110"/>
      <c r="K22" s="110"/>
      <c r="L22" s="110"/>
    </row>
    <row r="23" spans="1:12" ht="18" customHeight="1" x14ac:dyDescent="0.2">
      <c r="A23" s="93" t="s">
        <v>365</v>
      </c>
      <c r="B23" s="93" t="s">
        <v>366</v>
      </c>
      <c r="C23" s="13">
        <f>'Cg Calcs Subsonic'!$C$10+(1-0.8037)*'Initial Estimates'!$C$8 - C21</f>
        <v>21.106634307496378</v>
      </c>
      <c r="D23" s="93" t="s">
        <v>125</v>
      </c>
      <c r="E23" s="93" t="s">
        <v>29</v>
      </c>
      <c r="F23" s="93" t="s">
        <v>21</v>
      </c>
      <c r="G23" s="29" t="s">
        <v>367</v>
      </c>
      <c r="H23" s="110" t="s">
        <v>341</v>
      </c>
      <c r="I23" s="110"/>
      <c r="J23" s="110"/>
      <c r="K23" s="110"/>
      <c r="L23" s="110"/>
    </row>
    <row r="24" spans="1:12" ht="18" customHeight="1" x14ac:dyDescent="0.2">
      <c r="A24" s="93" t="s">
        <v>394</v>
      </c>
      <c r="B24" s="93" t="s">
        <v>395</v>
      </c>
      <c r="C24" s="13">
        <f>C23+C22</f>
        <v>25.888733600000009</v>
      </c>
      <c r="D24" s="93" t="s">
        <v>125</v>
      </c>
      <c r="E24" s="93" t="s">
        <v>29</v>
      </c>
      <c r="F24" s="93" t="s">
        <v>21</v>
      </c>
      <c r="G24" s="29" t="s">
        <v>396</v>
      </c>
      <c r="H24" s="110" t="s">
        <v>455</v>
      </c>
      <c r="I24" s="110"/>
      <c r="J24" s="110"/>
      <c r="K24" s="110"/>
      <c r="L24" s="110"/>
    </row>
    <row r="26" spans="1:12" s="93" customFormat="1" ht="18" customHeight="1" x14ac:dyDescent="0.2">
      <c r="A26" s="118" t="s">
        <v>568</v>
      </c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20"/>
    </row>
    <row r="27" spans="1:12" s="93" customFormat="1" ht="18" customHeight="1" x14ac:dyDescent="0.2">
      <c r="A27" s="23" t="s">
        <v>5</v>
      </c>
      <c r="B27" s="23" t="s">
        <v>96</v>
      </c>
      <c r="C27" s="94" t="s">
        <v>7</v>
      </c>
      <c r="D27" s="94" t="s">
        <v>125</v>
      </c>
      <c r="E27" s="94" t="s">
        <v>8</v>
      </c>
      <c r="F27" s="94" t="s">
        <v>9</v>
      </c>
      <c r="G27" s="31" t="s">
        <v>10</v>
      </c>
      <c r="H27" s="122" t="s">
        <v>11</v>
      </c>
      <c r="I27" s="123"/>
      <c r="J27" s="123"/>
      <c r="K27" s="123"/>
      <c r="L27" s="124"/>
    </row>
    <row r="28" spans="1:12" s="93" customFormat="1" ht="18" customHeight="1" x14ac:dyDescent="0.2">
      <c r="A28" s="93" t="s">
        <v>350</v>
      </c>
      <c r="B28" s="93" t="s">
        <v>351</v>
      </c>
      <c r="C28" s="13">
        <f xml:space="preserve"> 'Cg Calcs Subsonic'!C102</f>
        <v>63.517329637444519</v>
      </c>
      <c r="D28" s="93" t="s">
        <v>125</v>
      </c>
      <c r="E28" s="93" t="s">
        <v>29</v>
      </c>
      <c r="F28" s="93" t="s">
        <v>21</v>
      </c>
      <c r="G28" s="29" t="s">
        <v>352</v>
      </c>
      <c r="H28" s="110" t="s">
        <v>341</v>
      </c>
      <c r="I28" s="110"/>
      <c r="J28" s="110"/>
      <c r="K28" s="110"/>
      <c r="L28" s="110"/>
    </row>
    <row r="29" spans="1:12" s="93" customFormat="1" ht="18" customHeight="1" x14ac:dyDescent="0.2">
      <c r="A29" s="93" t="s">
        <v>364</v>
      </c>
      <c r="B29" s="93" t="s">
        <v>363</v>
      </c>
      <c r="C29" s="13">
        <f xml:space="preserve"> C28-'Cg Calcs Subsonic'!$C$19</f>
        <v>2.5029296374445238</v>
      </c>
      <c r="D29" s="93" t="s">
        <v>125</v>
      </c>
      <c r="E29" s="93" t="s">
        <v>29</v>
      </c>
      <c r="F29" s="93" t="s">
        <v>21</v>
      </c>
      <c r="G29" s="29" t="s">
        <v>368</v>
      </c>
      <c r="H29" s="110" t="s">
        <v>341</v>
      </c>
      <c r="I29" s="110"/>
      <c r="J29" s="110"/>
      <c r="K29" s="110"/>
      <c r="L29" s="110"/>
    </row>
    <row r="30" spans="1:12" s="93" customFormat="1" ht="18" customHeight="1" x14ac:dyDescent="0.2">
      <c r="A30" s="93" t="s">
        <v>365</v>
      </c>
      <c r="B30" s="93" t="s">
        <v>366</v>
      </c>
      <c r="C30" s="13">
        <f>'Cg Calcs Subsonic'!$C$10+(1-0.8037)*'Initial Estimates'!$C$8 - C28</f>
        <v>23.385803962555485</v>
      </c>
      <c r="D30" s="93" t="s">
        <v>125</v>
      </c>
      <c r="E30" s="93" t="s">
        <v>29</v>
      </c>
      <c r="F30" s="93" t="s">
        <v>21</v>
      </c>
      <c r="G30" s="29" t="s">
        <v>367</v>
      </c>
      <c r="H30" s="110" t="s">
        <v>341</v>
      </c>
      <c r="I30" s="110"/>
      <c r="J30" s="110"/>
      <c r="K30" s="110"/>
      <c r="L30" s="110"/>
    </row>
    <row r="31" spans="1:12" s="93" customFormat="1" ht="18" customHeight="1" x14ac:dyDescent="0.2">
      <c r="A31" s="93" t="s">
        <v>394</v>
      </c>
      <c r="B31" s="93" t="s">
        <v>395</v>
      </c>
      <c r="C31" s="13">
        <f>C30+C29</f>
        <v>25.888733600000009</v>
      </c>
      <c r="D31" s="93" t="s">
        <v>125</v>
      </c>
      <c r="E31" s="93" t="s">
        <v>29</v>
      </c>
      <c r="F31" s="93" t="s">
        <v>21</v>
      </c>
      <c r="G31" s="29" t="s">
        <v>396</v>
      </c>
      <c r="H31" s="110" t="s">
        <v>455</v>
      </c>
      <c r="I31" s="110"/>
      <c r="J31" s="110"/>
      <c r="K31" s="110"/>
      <c r="L31" s="110"/>
    </row>
    <row r="33" spans="1:12" s="93" customFormat="1" ht="18" customHeight="1" x14ac:dyDescent="0.2">
      <c r="A33" s="118" t="s">
        <v>569</v>
      </c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20"/>
    </row>
    <row r="34" spans="1:12" s="93" customFormat="1" ht="18" customHeight="1" x14ac:dyDescent="0.2">
      <c r="A34" s="23" t="s">
        <v>5</v>
      </c>
      <c r="B34" s="23" t="s">
        <v>96</v>
      </c>
      <c r="C34" s="94" t="s">
        <v>7</v>
      </c>
      <c r="D34" s="94" t="s">
        <v>125</v>
      </c>
      <c r="E34" s="94" t="s">
        <v>8</v>
      </c>
      <c r="F34" s="94" t="s">
        <v>9</v>
      </c>
      <c r="G34" s="31" t="s">
        <v>10</v>
      </c>
      <c r="H34" s="122" t="s">
        <v>11</v>
      </c>
      <c r="I34" s="123"/>
      <c r="J34" s="123"/>
      <c r="K34" s="123"/>
      <c r="L34" s="124"/>
    </row>
    <row r="35" spans="1:12" s="93" customFormat="1" ht="18" customHeight="1" x14ac:dyDescent="0.2">
      <c r="A35" s="93" t="s">
        <v>350</v>
      </c>
      <c r="B35" s="93" t="s">
        <v>351</v>
      </c>
      <c r="C35" s="13">
        <f xml:space="preserve"> 'Cg Calcs Subsonic'!C108</f>
        <v>67.752821496682017</v>
      </c>
      <c r="D35" s="93" t="s">
        <v>125</v>
      </c>
      <c r="E35" s="93" t="s">
        <v>29</v>
      </c>
      <c r="F35" s="93" t="s">
        <v>21</v>
      </c>
      <c r="G35" s="29" t="s">
        <v>352</v>
      </c>
      <c r="H35" s="110" t="s">
        <v>341</v>
      </c>
      <c r="I35" s="110"/>
      <c r="J35" s="110"/>
      <c r="K35" s="110"/>
      <c r="L35" s="110"/>
    </row>
    <row r="36" spans="1:12" s="93" customFormat="1" ht="18" customHeight="1" x14ac:dyDescent="0.2">
      <c r="A36" s="93" t="s">
        <v>364</v>
      </c>
      <c r="B36" s="93" t="s">
        <v>363</v>
      </c>
      <c r="C36" s="13">
        <v>4.782</v>
      </c>
      <c r="D36" s="93" t="s">
        <v>125</v>
      </c>
      <c r="E36" s="93" t="s">
        <v>29</v>
      </c>
      <c r="F36" s="93" t="s">
        <v>21</v>
      </c>
      <c r="G36" s="29" t="s">
        <v>368</v>
      </c>
      <c r="H36" s="110" t="s">
        <v>341</v>
      </c>
      <c r="I36" s="110"/>
      <c r="J36" s="110"/>
      <c r="K36" s="110"/>
      <c r="L36" s="110"/>
    </row>
    <row r="37" spans="1:12" s="93" customFormat="1" ht="18" customHeight="1" x14ac:dyDescent="0.2">
      <c r="A37" s="93" t="s">
        <v>365</v>
      </c>
      <c r="B37" s="93" t="s">
        <v>366</v>
      </c>
      <c r="C37" s="13">
        <f>'Cg Calcs Subsonic'!$C$10+(1-0.8037)*'Initial Estimates'!$C$8 - C35</f>
        <v>19.150312103317987</v>
      </c>
      <c r="D37" s="93" t="s">
        <v>125</v>
      </c>
      <c r="E37" s="93" t="s">
        <v>29</v>
      </c>
      <c r="F37" s="93" t="s">
        <v>21</v>
      </c>
      <c r="G37" s="29" t="s">
        <v>367</v>
      </c>
      <c r="H37" s="110" t="s">
        <v>341</v>
      </c>
      <c r="I37" s="110"/>
      <c r="J37" s="110"/>
      <c r="K37" s="110"/>
      <c r="L37" s="110"/>
    </row>
    <row r="38" spans="1:12" s="93" customFormat="1" ht="18" customHeight="1" x14ac:dyDescent="0.2">
      <c r="A38" s="93" t="s">
        <v>394</v>
      </c>
      <c r="B38" s="93" t="s">
        <v>395</v>
      </c>
      <c r="C38" s="13">
        <f>C37+C36</f>
        <v>23.932312103317987</v>
      </c>
      <c r="D38" s="93" t="s">
        <v>125</v>
      </c>
      <c r="E38" s="93" t="s">
        <v>29</v>
      </c>
      <c r="F38" s="93" t="s">
        <v>21</v>
      </c>
      <c r="G38" s="29" t="s">
        <v>396</v>
      </c>
      <c r="H38" s="110" t="s">
        <v>455</v>
      </c>
      <c r="I38" s="110"/>
      <c r="J38" s="110"/>
      <c r="K38" s="110"/>
      <c r="L38" s="110"/>
    </row>
  </sheetData>
  <mergeCells count="34">
    <mergeCell ref="H35:L35"/>
    <mergeCell ref="H36:L36"/>
    <mergeCell ref="H37:L37"/>
    <mergeCell ref="H38:L38"/>
    <mergeCell ref="H30:L30"/>
    <mergeCell ref="A26:L26"/>
    <mergeCell ref="H31:L31"/>
    <mergeCell ref="A33:L33"/>
    <mergeCell ref="H34:L34"/>
    <mergeCell ref="H27:L27"/>
    <mergeCell ref="H28:L28"/>
    <mergeCell ref="H29:L29"/>
    <mergeCell ref="H21:L21"/>
    <mergeCell ref="H22:L22"/>
    <mergeCell ref="H23:L23"/>
    <mergeCell ref="H24:L24"/>
    <mergeCell ref="A19:L19"/>
    <mergeCell ref="H20:L20"/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H16:L16"/>
    <mergeCell ref="H15:L15"/>
    <mergeCell ref="H11:L11"/>
    <mergeCell ref="H12:L12"/>
    <mergeCell ref="H13:L13"/>
    <mergeCell ref="H14:L14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workbookViewId="0">
      <selection activeCell="C46" sqref="C46"/>
    </sheetView>
  </sheetViews>
  <sheetFormatPr baseColWidth="10" defaultColWidth="15.1640625" defaultRowHeight="18" customHeight="1" x14ac:dyDescent="0.2"/>
  <cols>
    <col min="1" max="1" width="27.6640625" style="14" customWidth="1"/>
    <col min="2" max="2" width="19.33203125" style="14" customWidth="1"/>
    <col min="3" max="3" width="15.1640625" style="14"/>
    <col min="4" max="4" width="2" style="14" customWidth="1"/>
    <col min="5" max="5" width="6.6640625" style="14" customWidth="1"/>
    <col min="6" max="6" width="30.33203125" style="14" customWidth="1"/>
    <col min="7" max="7" width="52.83203125" style="29" customWidth="1"/>
    <col min="8" max="16384" width="15.1640625" style="14"/>
  </cols>
  <sheetData>
    <row r="1" spans="1:12" ht="22" customHeight="1" x14ac:dyDescent="0.2">
      <c r="A1" s="118" t="s">
        <v>402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2" ht="18" customHeight="1" x14ac:dyDescent="0.2">
      <c r="A2" s="23" t="s">
        <v>5</v>
      </c>
      <c r="B2" s="23" t="s">
        <v>96</v>
      </c>
      <c r="C2" s="25" t="s">
        <v>7</v>
      </c>
      <c r="D2" s="25" t="s">
        <v>125</v>
      </c>
      <c r="E2" s="25" t="s">
        <v>8</v>
      </c>
      <c r="F2" s="25" t="s">
        <v>9</v>
      </c>
      <c r="G2" s="31" t="s">
        <v>10</v>
      </c>
      <c r="H2" s="122" t="s">
        <v>11</v>
      </c>
      <c r="I2" s="123"/>
      <c r="J2" s="123"/>
      <c r="K2" s="123"/>
      <c r="L2" s="124"/>
    </row>
    <row r="3" spans="1:12" ht="18" customHeight="1" x14ac:dyDescent="0.2">
      <c r="A3" s="34" t="s">
        <v>410</v>
      </c>
      <c r="B3" s="14" t="s">
        <v>411</v>
      </c>
      <c r="C3" s="13">
        <v>0.5</v>
      </c>
      <c r="D3" s="14" t="s">
        <v>125</v>
      </c>
      <c r="E3" s="14" t="s">
        <v>137</v>
      </c>
      <c r="F3" s="14" t="s">
        <v>14</v>
      </c>
      <c r="G3" s="29" t="s">
        <v>137</v>
      </c>
      <c r="H3" s="128" t="s">
        <v>412</v>
      </c>
      <c r="I3" s="128"/>
      <c r="J3" s="128"/>
      <c r="K3" s="128"/>
      <c r="L3" s="128"/>
    </row>
    <row r="4" spans="1:12" ht="18" customHeight="1" x14ac:dyDescent="0.2">
      <c r="A4" s="34" t="s">
        <v>375</v>
      </c>
      <c r="B4" s="14" t="s">
        <v>376</v>
      </c>
      <c r="C4" s="13">
        <f>'Initial Estimates'!C5*'Initial Estimates'!C10/'Stability Constants Subsonic'!C9</f>
        <v>859.45158517474272</v>
      </c>
      <c r="D4" s="14" t="s">
        <v>125</v>
      </c>
      <c r="E4" s="14" t="s">
        <v>222</v>
      </c>
      <c r="F4" s="14" t="s">
        <v>21</v>
      </c>
      <c r="G4" s="29" t="s">
        <v>456</v>
      </c>
      <c r="H4" s="128" t="s">
        <v>382</v>
      </c>
      <c r="I4" s="128"/>
      <c r="J4" s="128"/>
      <c r="K4" s="128"/>
      <c r="L4" s="128"/>
    </row>
    <row r="5" spans="1:12" ht="18" customHeight="1" x14ac:dyDescent="0.2">
      <c r="A5" s="34" t="s">
        <v>353</v>
      </c>
      <c r="B5" s="14" t="s">
        <v>354</v>
      </c>
      <c r="C5" s="13">
        <v>0</v>
      </c>
      <c r="D5" s="14" t="s">
        <v>125</v>
      </c>
      <c r="E5" s="14" t="s">
        <v>137</v>
      </c>
      <c r="F5" s="14" t="s">
        <v>14</v>
      </c>
      <c r="G5" s="29" t="s">
        <v>355</v>
      </c>
      <c r="H5" s="110" t="s">
        <v>413</v>
      </c>
      <c r="I5" s="110"/>
      <c r="J5" s="110"/>
      <c r="K5" s="110"/>
      <c r="L5" s="110"/>
    </row>
    <row r="6" spans="1:12" ht="18" customHeight="1" x14ac:dyDescent="0.2">
      <c r="A6" s="34" t="s">
        <v>339</v>
      </c>
      <c r="B6" s="14" t="s">
        <v>340</v>
      </c>
      <c r="C6" s="13">
        <v>0</v>
      </c>
      <c r="D6" s="13" t="s">
        <v>125</v>
      </c>
      <c r="E6" s="14" t="s">
        <v>137</v>
      </c>
      <c r="F6" s="14" t="s">
        <v>14</v>
      </c>
      <c r="G6" s="29" t="s">
        <v>418</v>
      </c>
      <c r="H6" s="127" t="s">
        <v>341</v>
      </c>
      <c r="I6" s="127"/>
      <c r="J6" s="127"/>
      <c r="K6" s="127"/>
      <c r="L6" s="127"/>
    </row>
    <row r="7" spans="1:12" ht="18" customHeight="1" x14ac:dyDescent="0.2">
      <c r="A7" s="34" t="s">
        <v>414</v>
      </c>
      <c r="B7" s="14" t="s">
        <v>415</v>
      </c>
      <c r="C7" s="13">
        <f>2*C11/(PI()*'Initial Estimates'!C6)*(1+C6)</f>
        <v>5.3079502468567366E-2</v>
      </c>
      <c r="D7" s="14" t="s">
        <v>125</v>
      </c>
      <c r="E7" s="14" t="s">
        <v>137</v>
      </c>
      <c r="F7" s="14" t="s">
        <v>14</v>
      </c>
      <c r="G7" s="29" t="s">
        <v>416</v>
      </c>
      <c r="H7" s="110" t="s">
        <v>417</v>
      </c>
      <c r="I7" s="110"/>
      <c r="J7" s="110"/>
      <c r="K7" s="110"/>
      <c r="L7" s="110"/>
    </row>
    <row r="8" spans="1:12" ht="22" customHeight="1" x14ac:dyDescent="0.2">
      <c r="A8" s="118" t="s">
        <v>424</v>
      </c>
      <c r="B8" s="119"/>
      <c r="C8" s="119"/>
      <c r="D8" s="119"/>
      <c r="E8" s="119"/>
      <c r="F8" s="119"/>
      <c r="G8" s="119"/>
      <c r="H8" s="121"/>
      <c r="I8" s="121"/>
      <c r="J8" s="121"/>
      <c r="K8" s="121"/>
      <c r="L8" s="125"/>
    </row>
    <row r="9" spans="1:12" ht="18" customHeight="1" x14ac:dyDescent="0.2">
      <c r="A9" s="23" t="s">
        <v>5</v>
      </c>
      <c r="B9" s="23" t="s">
        <v>96</v>
      </c>
      <c r="C9" s="25" t="s">
        <v>7</v>
      </c>
      <c r="D9" s="25" t="s">
        <v>125</v>
      </c>
      <c r="E9" s="25" t="s">
        <v>8</v>
      </c>
      <c r="F9" s="25" t="s">
        <v>9</v>
      </c>
      <c r="G9" s="31" t="s">
        <v>10</v>
      </c>
      <c r="H9" s="122" t="s">
        <v>11</v>
      </c>
      <c r="I9" s="123"/>
      <c r="J9" s="123"/>
      <c r="K9" s="123"/>
      <c r="L9" s="124"/>
    </row>
    <row r="10" spans="1:12" ht="18" customHeight="1" x14ac:dyDescent="0.2">
      <c r="A10" s="14" t="s">
        <v>379</v>
      </c>
      <c r="B10" s="14" t="s">
        <v>380</v>
      </c>
      <c r="C10" s="36">
        <v>0.9</v>
      </c>
      <c r="D10" s="14" t="s">
        <v>125</v>
      </c>
      <c r="E10" s="14" t="s">
        <v>137</v>
      </c>
      <c r="F10" s="14" t="s">
        <v>381</v>
      </c>
      <c r="G10" s="29" t="s">
        <v>137</v>
      </c>
      <c r="H10" s="126" t="s">
        <v>309</v>
      </c>
      <c r="I10" s="126"/>
      <c r="J10" s="126"/>
      <c r="K10" s="126"/>
      <c r="L10" s="126"/>
    </row>
    <row r="11" spans="1:12" ht="18" customHeight="1" x14ac:dyDescent="0.2">
      <c r="A11" s="14" t="s">
        <v>405</v>
      </c>
      <c r="B11" s="14" t="s">
        <v>406</v>
      </c>
      <c r="C11" s="36">
        <v>0.28999999999999998</v>
      </c>
      <c r="D11" s="14" t="s">
        <v>125</v>
      </c>
      <c r="E11" s="14" t="s">
        <v>137</v>
      </c>
      <c r="F11" s="14" t="s">
        <v>399</v>
      </c>
      <c r="G11" s="29" t="s">
        <v>137</v>
      </c>
      <c r="H11" s="127" t="s">
        <v>408</v>
      </c>
      <c r="I11" s="127"/>
      <c r="J11" s="127"/>
      <c r="K11" s="127"/>
      <c r="L11" s="127"/>
    </row>
    <row r="12" spans="1:12" ht="18" customHeight="1" x14ac:dyDescent="0.2">
      <c r="A12" s="14" t="s">
        <v>447</v>
      </c>
      <c r="B12" s="47" t="s">
        <v>448</v>
      </c>
      <c r="C12" s="48">
        <v>7.0153931870556199E-2</v>
      </c>
      <c r="D12" s="14" t="s">
        <v>125</v>
      </c>
      <c r="E12" s="14" t="s">
        <v>137</v>
      </c>
      <c r="F12" s="14" t="s">
        <v>399</v>
      </c>
      <c r="G12" s="29" t="s">
        <v>137</v>
      </c>
      <c r="H12" s="127" t="s">
        <v>449</v>
      </c>
      <c r="I12" s="127"/>
      <c r="J12" s="127"/>
      <c r="K12" s="127"/>
      <c r="L12" s="127"/>
    </row>
    <row r="13" spans="1:12" ht="18" customHeight="1" x14ac:dyDescent="0.2">
      <c r="A13" s="14" t="s">
        <v>403</v>
      </c>
      <c r="B13" s="14" t="s">
        <v>436</v>
      </c>
      <c r="C13" s="36">
        <f>2.46*PI()/180</f>
        <v>4.2935099599060507E-2</v>
      </c>
      <c r="D13" s="14" t="s">
        <v>125</v>
      </c>
      <c r="E13" s="14" t="s">
        <v>407</v>
      </c>
      <c r="F13" s="14" t="s">
        <v>9</v>
      </c>
      <c r="G13" s="29" t="s">
        <v>137</v>
      </c>
      <c r="H13" s="127" t="s">
        <v>409</v>
      </c>
      <c r="I13" s="127"/>
      <c r="J13" s="127"/>
      <c r="K13" s="127"/>
      <c r="L13" s="127"/>
    </row>
    <row r="14" spans="1:12" s="46" customFormat="1" ht="18" customHeight="1" x14ac:dyDescent="0.2">
      <c r="A14" s="46" t="s">
        <v>480</v>
      </c>
      <c r="B14" s="47" t="s">
        <v>481</v>
      </c>
      <c r="C14" s="48">
        <f>C12/C16</f>
        <v>1.0386434662510468E-2</v>
      </c>
      <c r="D14" s="46" t="s">
        <v>125</v>
      </c>
      <c r="E14" s="46" t="s">
        <v>407</v>
      </c>
      <c r="F14" s="46" t="s">
        <v>21</v>
      </c>
      <c r="G14" s="29" t="s">
        <v>482</v>
      </c>
      <c r="H14" s="127" t="s">
        <v>483</v>
      </c>
      <c r="I14" s="127"/>
      <c r="J14" s="127"/>
      <c r="K14" s="127"/>
      <c r="L14" s="127"/>
    </row>
    <row r="15" spans="1:12" ht="18" customHeight="1" x14ac:dyDescent="0.2">
      <c r="A15" s="14" t="s">
        <v>419</v>
      </c>
      <c r="B15" s="14" t="s">
        <v>420</v>
      </c>
      <c r="C15" s="36">
        <f>C11/C13</f>
        <v>6.7543805117048263</v>
      </c>
      <c r="D15" s="14" t="s">
        <v>125</v>
      </c>
      <c r="E15" s="14" t="s">
        <v>421</v>
      </c>
      <c r="F15" s="14" t="s">
        <v>21</v>
      </c>
      <c r="G15" s="29" t="s">
        <v>422</v>
      </c>
      <c r="H15" s="110" t="s">
        <v>423</v>
      </c>
      <c r="I15" s="110"/>
      <c r="J15" s="110"/>
      <c r="K15" s="110"/>
      <c r="L15" s="110"/>
    </row>
    <row r="16" spans="1:12" ht="18" customHeight="1" x14ac:dyDescent="0.2">
      <c r="A16" s="14" t="s">
        <v>425</v>
      </c>
      <c r="B16" s="14" t="s">
        <v>426</v>
      </c>
      <c r="C16" s="36">
        <f>C15</f>
        <v>6.7543805117048263</v>
      </c>
      <c r="D16" s="14" t="s">
        <v>125</v>
      </c>
      <c r="E16" s="14" t="s">
        <v>421</v>
      </c>
      <c r="F16" s="14" t="s">
        <v>21</v>
      </c>
      <c r="G16" s="29" t="s">
        <v>427</v>
      </c>
      <c r="H16" s="110" t="s">
        <v>428</v>
      </c>
      <c r="I16" s="110"/>
      <c r="J16" s="110"/>
      <c r="K16" s="110"/>
      <c r="L16" s="110"/>
    </row>
    <row r="17" spans="1:13" ht="18" customHeight="1" x14ac:dyDescent="0.2">
      <c r="A17" s="34" t="s">
        <v>429</v>
      </c>
      <c r="B17" s="14" t="s">
        <v>430</v>
      </c>
      <c r="C17" s="36">
        <f>$C$7/C13</f>
        <v>1.2362729553264815</v>
      </c>
      <c r="D17" s="14" t="s">
        <v>125</v>
      </c>
      <c r="E17" s="14" t="s">
        <v>431</v>
      </c>
      <c r="F17" s="14" t="s">
        <v>21</v>
      </c>
      <c r="G17" s="29" t="s">
        <v>432</v>
      </c>
      <c r="H17" s="110" t="s">
        <v>433</v>
      </c>
      <c r="I17" s="110"/>
      <c r="J17" s="110"/>
      <c r="K17" s="110"/>
      <c r="L17" s="110"/>
    </row>
    <row r="18" spans="1:13" ht="18" customHeight="1" x14ac:dyDescent="0.2">
      <c r="A18" s="14" t="s">
        <v>434</v>
      </c>
      <c r="B18" s="14" t="s">
        <v>435</v>
      </c>
      <c r="C18" s="36">
        <f>2*'Stability Constants Subsonic'!$C$13*('Stability Constants Subsonic'!$C$4-'Stability Constants Subsonic'!$C$3)*'Stability Constants Subsonic'!$C$14*'Subsonic Stability'!C13</f>
        <v>84088.838202792365</v>
      </c>
      <c r="D18" s="14" t="s">
        <v>125</v>
      </c>
      <c r="E18" s="14" t="s">
        <v>224</v>
      </c>
      <c r="F18" s="14" t="s">
        <v>21</v>
      </c>
      <c r="G18" s="29" t="s">
        <v>437</v>
      </c>
      <c r="H18" s="110" t="s">
        <v>438</v>
      </c>
      <c r="I18" s="110"/>
      <c r="J18" s="110"/>
      <c r="K18" s="110"/>
      <c r="L18" s="110"/>
    </row>
    <row r="19" spans="1:13" ht="18" customHeight="1" x14ac:dyDescent="0.2">
      <c r="A19" s="14" t="s">
        <v>439</v>
      </c>
      <c r="B19" s="14" t="s">
        <v>440</v>
      </c>
      <c r="C19" s="36">
        <f>2*'Stability Constants Subsonic'!$C$13*('Stability Constants Subsonic'!$C$6-'Stability Constants Subsonic'!$C$5)*'Stability Constants Subsonic'!$C$15*'Subsonic Stability'!C13</f>
        <v>52604.634851850758</v>
      </c>
      <c r="D19" s="14" t="s">
        <v>125</v>
      </c>
      <c r="E19" s="14" t="s">
        <v>224</v>
      </c>
      <c r="F19" s="14" t="s">
        <v>21</v>
      </c>
      <c r="G19" s="29" t="s">
        <v>442</v>
      </c>
      <c r="H19" s="110" t="s">
        <v>438</v>
      </c>
      <c r="I19" s="110"/>
      <c r="J19" s="110"/>
      <c r="K19" s="110"/>
      <c r="L19" s="110"/>
    </row>
    <row r="20" spans="1:13" ht="22" customHeight="1" x14ac:dyDescent="0.2">
      <c r="A20" s="118" t="s">
        <v>443</v>
      </c>
      <c r="B20" s="119"/>
      <c r="C20" s="119"/>
      <c r="D20" s="119"/>
      <c r="E20" s="119"/>
      <c r="F20" s="119"/>
      <c r="G20" s="119"/>
      <c r="H20" s="121"/>
      <c r="I20" s="121"/>
      <c r="J20" s="121"/>
      <c r="K20" s="121"/>
      <c r="L20" s="125"/>
    </row>
    <row r="21" spans="1:13" ht="18" customHeight="1" x14ac:dyDescent="0.2">
      <c r="A21" s="23" t="s">
        <v>5</v>
      </c>
      <c r="B21" s="23" t="s">
        <v>96</v>
      </c>
      <c r="C21" s="25" t="s">
        <v>7</v>
      </c>
      <c r="D21" s="25" t="s">
        <v>125</v>
      </c>
      <c r="E21" s="25" t="s">
        <v>8</v>
      </c>
      <c r="F21" s="25" t="s">
        <v>9</v>
      </c>
      <c r="G21" s="31" t="s">
        <v>10</v>
      </c>
      <c r="H21" s="122" t="s">
        <v>11</v>
      </c>
      <c r="I21" s="123"/>
      <c r="J21" s="123"/>
      <c r="K21" s="123"/>
      <c r="L21" s="124"/>
    </row>
    <row r="22" spans="1:13" ht="18" customHeight="1" x14ac:dyDescent="0.2">
      <c r="A22" s="14" t="s">
        <v>379</v>
      </c>
      <c r="B22" s="14" t="s">
        <v>380</v>
      </c>
      <c r="C22" s="36">
        <v>0.9</v>
      </c>
      <c r="D22" s="14" t="s">
        <v>125</v>
      </c>
      <c r="E22" s="14" t="s">
        <v>137</v>
      </c>
      <c r="F22" s="14" t="s">
        <v>381</v>
      </c>
      <c r="G22" s="29" t="s">
        <v>137</v>
      </c>
      <c r="H22" s="126" t="s">
        <v>309</v>
      </c>
      <c r="I22" s="126"/>
      <c r="J22" s="126"/>
      <c r="K22" s="126"/>
      <c r="L22" s="126"/>
    </row>
    <row r="23" spans="1:13" ht="18" customHeight="1" x14ac:dyDescent="0.2">
      <c r="A23" s="14" t="s">
        <v>405</v>
      </c>
      <c r="B23" s="14" t="s">
        <v>406</v>
      </c>
      <c r="C23" s="36">
        <v>0.4</v>
      </c>
      <c r="D23" s="14" t="s">
        <v>125</v>
      </c>
      <c r="E23" s="14" t="s">
        <v>137</v>
      </c>
      <c r="F23" s="14" t="s">
        <v>399</v>
      </c>
      <c r="G23" s="29" t="s">
        <v>137</v>
      </c>
      <c r="H23" s="127" t="s">
        <v>408</v>
      </c>
      <c r="I23" s="127"/>
      <c r="J23" s="127"/>
      <c r="K23" s="127"/>
      <c r="L23" s="127"/>
    </row>
    <row r="24" spans="1:13" ht="18" customHeight="1" x14ac:dyDescent="0.2">
      <c r="A24" s="14" t="s">
        <v>447</v>
      </c>
      <c r="B24" s="47" t="s">
        <v>448</v>
      </c>
      <c r="C24" s="48">
        <v>9.2002110856543584E-2</v>
      </c>
      <c r="D24" s="14" t="s">
        <v>125</v>
      </c>
      <c r="E24" s="14" t="s">
        <v>137</v>
      </c>
      <c r="F24" s="14" t="s">
        <v>399</v>
      </c>
      <c r="G24" s="29" t="s">
        <v>137</v>
      </c>
      <c r="H24" s="127" t="s">
        <v>449</v>
      </c>
      <c r="I24" s="127"/>
      <c r="J24" s="127"/>
      <c r="K24" s="127"/>
      <c r="L24" s="127"/>
    </row>
    <row r="25" spans="1:13" ht="18" customHeight="1" x14ac:dyDescent="0.2">
      <c r="A25" s="14" t="s">
        <v>403</v>
      </c>
      <c r="B25" s="14" t="s">
        <v>436</v>
      </c>
      <c r="C25" s="36">
        <f>3.2*PI()/180</f>
        <v>5.5850536063818547E-2</v>
      </c>
      <c r="D25" s="14" t="s">
        <v>125</v>
      </c>
      <c r="E25" s="14" t="s">
        <v>407</v>
      </c>
      <c r="F25" s="14" t="s">
        <v>9</v>
      </c>
      <c r="G25" s="29" t="s">
        <v>137</v>
      </c>
      <c r="H25" s="127" t="s">
        <v>409</v>
      </c>
      <c r="I25" s="127"/>
      <c r="J25" s="127"/>
      <c r="K25" s="127"/>
      <c r="L25" s="127"/>
      <c r="M25" s="14">
        <f>70000*2/0.0005598/0.5/636</f>
        <v>786444.39501079684</v>
      </c>
    </row>
    <row r="26" spans="1:13" s="46" customFormat="1" ht="18" customHeight="1" x14ac:dyDescent="0.2">
      <c r="A26" s="46" t="s">
        <v>480</v>
      </c>
      <c r="B26" s="47" t="s">
        <v>481</v>
      </c>
      <c r="C26" s="48">
        <f>C24/C28</f>
        <v>1.2845918025852048E-2</v>
      </c>
      <c r="D26" s="46" t="s">
        <v>125</v>
      </c>
      <c r="E26" s="46" t="s">
        <v>407</v>
      </c>
      <c r="F26" s="46" t="s">
        <v>21</v>
      </c>
      <c r="G26" s="29" t="s">
        <v>482</v>
      </c>
      <c r="H26" s="127" t="s">
        <v>483</v>
      </c>
      <c r="I26" s="127"/>
      <c r="J26" s="127"/>
      <c r="K26" s="127"/>
      <c r="L26" s="127"/>
      <c r="M26" s="46">
        <f>SQRT(M25)</f>
        <v>886.81700198563897</v>
      </c>
    </row>
    <row r="27" spans="1:13" ht="18" customHeight="1" x14ac:dyDescent="0.2">
      <c r="A27" s="14" t="s">
        <v>419</v>
      </c>
      <c r="B27" s="14" t="s">
        <v>420</v>
      </c>
      <c r="C27" s="36">
        <f>C23/C25</f>
        <v>7.1619724391352904</v>
      </c>
      <c r="D27" s="14" t="s">
        <v>125</v>
      </c>
      <c r="E27" s="14" t="s">
        <v>421</v>
      </c>
      <c r="F27" s="14" t="s">
        <v>21</v>
      </c>
      <c r="G27" s="29" t="s">
        <v>422</v>
      </c>
      <c r="H27" s="110" t="s">
        <v>423</v>
      </c>
      <c r="I27" s="110"/>
      <c r="J27" s="110"/>
      <c r="K27" s="110"/>
      <c r="L27" s="110"/>
    </row>
    <row r="28" spans="1:13" ht="18" customHeight="1" x14ac:dyDescent="0.2">
      <c r="A28" s="14" t="s">
        <v>425</v>
      </c>
      <c r="B28" s="14" t="s">
        <v>426</v>
      </c>
      <c r="C28" s="36">
        <f>C27</f>
        <v>7.1619724391352904</v>
      </c>
      <c r="D28" s="14" t="s">
        <v>125</v>
      </c>
      <c r="E28" s="14" t="s">
        <v>421</v>
      </c>
      <c r="F28" s="14" t="s">
        <v>21</v>
      </c>
      <c r="G28" s="29" t="s">
        <v>427</v>
      </c>
      <c r="H28" s="110" t="s">
        <v>428</v>
      </c>
      <c r="I28" s="110"/>
      <c r="J28" s="110"/>
      <c r="K28" s="110"/>
      <c r="L28" s="110"/>
    </row>
    <row r="29" spans="1:13" ht="18" customHeight="1" x14ac:dyDescent="0.2">
      <c r="A29" s="34" t="s">
        <v>429</v>
      </c>
      <c r="B29" s="14" t="s">
        <v>430</v>
      </c>
      <c r="C29" s="36">
        <f>$C$7/C25</f>
        <v>0.95038483440723265</v>
      </c>
      <c r="D29" s="14" t="s">
        <v>125</v>
      </c>
      <c r="E29" s="14" t="s">
        <v>431</v>
      </c>
      <c r="F29" s="14" t="s">
        <v>21</v>
      </c>
      <c r="G29" s="29" t="s">
        <v>432</v>
      </c>
      <c r="H29" s="110" t="s">
        <v>433</v>
      </c>
      <c r="I29" s="110"/>
      <c r="J29" s="110"/>
      <c r="K29" s="110"/>
      <c r="L29" s="110"/>
      <c r="M29" s="36"/>
    </row>
    <row r="30" spans="1:13" ht="18" customHeight="1" x14ac:dyDescent="0.2">
      <c r="A30" s="14" t="s">
        <v>434</v>
      </c>
      <c r="B30" s="14" t="s">
        <v>435</v>
      </c>
      <c r="C30" s="36">
        <f>2*'Stability Constants Subsonic'!$C$13*('Stability Constants Subsonic'!$C$4-'Stability Constants Subsonic'!$C$3)*'Stability Constants Subsonic'!$C$14*'Subsonic Stability'!C25</f>
        <v>109383.85457273804</v>
      </c>
      <c r="D30" s="14" t="s">
        <v>125</v>
      </c>
      <c r="E30" s="14" t="s">
        <v>224</v>
      </c>
      <c r="F30" s="14" t="s">
        <v>21</v>
      </c>
      <c r="G30" s="29" t="s">
        <v>437</v>
      </c>
      <c r="H30" s="110" t="s">
        <v>438</v>
      </c>
      <c r="I30" s="110"/>
      <c r="J30" s="110"/>
      <c r="K30" s="110"/>
      <c r="L30" s="110"/>
    </row>
    <row r="31" spans="1:13" ht="18" customHeight="1" x14ac:dyDescent="0.2">
      <c r="A31" s="14" t="s">
        <v>439</v>
      </c>
      <c r="B31" s="14" t="s">
        <v>440</v>
      </c>
      <c r="C31" s="36">
        <f>2*'Stability Constants Subsonic'!$C$13*('Stability Constants Subsonic'!$C$6-'Stability Constants Subsonic'!$C$5)*'Stability Constants Subsonic'!$C$15*'Subsonic Stability'!C25</f>
        <v>68428.793303220504</v>
      </c>
      <c r="D31" s="14" t="s">
        <v>125</v>
      </c>
      <c r="E31" s="14" t="s">
        <v>224</v>
      </c>
      <c r="F31" s="14" t="s">
        <v>21</v>
      </c>
      <c r="G31" s="29" t="s">
        <v>442</v>
      </c>
      <c r="H31" s="110" t="s">
        <v>438</v>
      </c>
      <c r="I31" s="110"/>
      <c r="J31" s="110"/>
      <c r="K31" s="110"/>
      <c r="L31" s="110"/>
    </row>
    <row r="32" spans="1:13" ht="22" customHeight="1" x14ac:dyDescent="0.2">
      <c r="A32" s="118" t="s">
        <v>444</v>
      </c>
      <c r="B32" s="119"/>
      <c r="C32" s="119"/>
      <c r="D32" s="119"/>
      <c r="E32" s="119"/>
      <c r="F32" s="119"/>
      <c r="G32" s="119"/>
      <c r="H32" s="121"/>
      <c r="I32" s="121"/>
      <c r="J32" s="121"/>
      <c r="K32" s="121"/>
      <c r="L32" s="125"/>
    </row>
    <row r="33" spans="1:12" ht="18" customHeight="1" x14ac:dyDescent="0.2">
      <c r="A33" s="23" t="s">
        <v>5</v>
      </c>
      <c r="B33" s="23" t="s">
        <v>96</v>
      </c>
      <c r="C33" s="25" t="s">
        <v>7</v>
      </c>
      <c r="D33" s="25" t="s">
        <v>125</v>
      </c>
      <c r="E33" s="25" t="s">
        <v>8</v>
      </c>
      <c r="F33" s="25" t="s">
        <v>9</v>
      </c>
      <c r="G33" s="31" t="s">
        <v>10</v>
      </c>
      <c r="H33" s="122" t="s">
        <v>11</v>
      </c>
      <c r="I33" s="123"/>
      <c r="J33" s="123"/>
      <c r="K33" s="123"/>
      <c r="L33" s="124"/>
    </row>
    <row r="34" spans="1:12" ht="18" customHeight="1" x14ac:dyDescent="0.2">
      <c r="A34" s="14" t="s">
        <v>379</v>
      </c>
      <c r="B34" s="14" t="s">
        <v>380</v>
      </c>
      <c r="C34" s="36">
        <v>0.9</v>
      </c>
      <c r="D34" s="14" t="s">
        <v>125</v>
      </c>
      <c r="E34" s="14" t="s">
        <v>137</v>
      </c>
      <c r="F34" s="14" t="s">
        <v>381</v>
      </c>
      <c r="G34" s="29" t="s">
        <v>137</v>
      </c>
      <c r="H34" s="126" t="s">
        <v>309</v>
      </c>
      <c r="I34" s="126"/>
      <c r="J34" s="126"/>
      <c r="K34" s="126"/>
      <c r="L34" s="126"/>
    </row>
    <row r="35" spans="1:12" ht="18" customHeight="1" x14ac:dyDescent="0.2">
      <c r="A35" s="14" t="s">
        <v>405</v>
      </c>
      <c r="B35" s="14" t="s">
        <v>406</v>
      </c>
      <c r="C35" s="36">
        <v>0.5</v>
      </c>
      <c r="D35" s="14" t="s">
        <v>125</v>
      </c>
      <c r="E35" s="14" t="s">
        <v>137</v>
      </c>
      <c r="F35" s="14" t="s">
        <v>399</v>
      </c>
      <c r="G35" s="29" t="s">
        <v>137</v>
      </c>
      <c r="H35" s="127" t="s">
        <v>408</v>
      </c>
      <c r="I35" s="127"/>
      <c r="J35" s="127"/>
      <c r="K35" s="127"/>
      <c r="L35" s="127"/>
    </row>
    <row r="36" spans="1:12" ht="18" customHeight="1" x14ac:dyDescent="0.2">
      <c r="A36" s="14" t="s">
        <v>447</v>
      </c>
      <c r="B36" s="47" t="s">
        <v>448</v>
      </c>
      <c r="C36" s="48">
        <v>0.1130298377137868</v>
      </c>
      <c r="D36" s="14" t="s">
        <v>125</v>
      </c>
      <c r="E36" s="14" t="s">
        <v>137</v>
      </c>
      <c r="F36" s="14" t="s">
        <v>399</v>
      </c>
      <c r="G36" s="29" t="s">
        <v>137</v>
      </c>
      <c r="H36" s="127" t="s">
        <v>449</v>
      </c>
      <c r="I36" s="127"/>
      <c r="J36" s="127"/>
      <c r="K36" s="127"/>
      <c r="L36" s="127"/>
    </row>
    <row r="37" spans="1:12" ht="18" customHeight="1" x14ac:dyDescent="0.2">
      <c r="A37" s="14" t="s">
        <v>403</v>
      </c>
      <c r="B37" s="14" t="s">
        <v>436</v>
      </c>
      <c r="C37" s="36">
        <f>3.92*PI()/180</f>
        <v>6.8416906678177708E-2</v>
      </c>
      <c r="D37" s="14" t="s">
        <v>125</v>
      </c>
      <c r="E37" s="14" t="s">
        <v>407</v>
      </c>
      <c r="F37" s="14" t="s">
        <v>9</v>
      </c>
      <c r="G37" s="29" t="s">
        <v>137</v>
      </c>
      <c r="H37" s="127" t="s">
        <v>409</v>
      </c>
      <c r="I37" s="127"/>
      <c r="J37" s="127"/>
      <c r="K37" s="127"/>
      <c r="L37" s="127"/>
    </row>
    <row r="38" spans="1:12" s="46" customFormat="1" ht="18" customHeight="1" x14ac:dyDescent="0.2">
      <c r="A38" s="46" t="s">
        <v>480</v>
      </c>
      <c r="B38" s="47" t="s">
        <v>481</v>
      </c>
      <c r="C38" s="48">
        <f>C36/C40</f>
        <v>1.5466303717427446E-2</v>
      </c>
      <c r="D38" s="46" t="s">
        <v>125</v>
      </c>
      <c r="E38" s="46" t="s">
        <v>407</v>
      </c>
      <c r="F38" s="46" t="s">
        <v>21</v>
      </c>
      <c r="G38" s="29" t="s">
        <v>482</v>
      </c>
      <c r="H38" s="127" t="s">
        <v>483</v>
      </c>
      <c r="I38" s="127"/>
      <c r="J38" s="127"/>
      <c r="K38" s="127"/>
      <c r="L38" s="127"/>
    </row>
    <row r="39" spans="1:12" ht="18" customHeight="1" x14ac:dyDescent="0.2">
      <c r="A39" s="14" t="s">
        <v>419</v>
      </c>
      <c r="B39" s="14" t="s">
        <v>420</v>
      </c>
      <c r="C39" s="36">
        <f>C35/C37</f>
        <v>7.3081351419747866</v>
      </c>
      <c r="D39" s="14" t="s">
        <v>125</v>
      </c>
      <c r="E39" s="14" t="s">
        <v>421</v>
      </c>
      <c r="F39" s="14" t="s">
        <v>21</v>
      </c>
      <c r="G39" s="29" t="s">
        <v>422</v>
      </c>
      <c r="H39" s="110" t="s">
        <v>423</v>
      </c>
      <c r="I39" s="110"/>
      <c r="J39" s="110"/>
      <c r="K39" s="110"/>
      <c r="L39" s="110"/>
    </row>
    <row r="40" spans="1:12" ht="18" customHeight="1" x14ac:dyDescent="0.2">
      <c r="A40" s="14" t="s">
        <v>425</v>
      </c>
      <c r="B40" s="14" t="s">
        <v>426</v>
      </c>
      <c r="C40" s="36">
        <f>C39</f>
        <v>7.3081351419747866</v>
      </c>
      <c r="D40" s="14" t="s">
        <v>125</v>
      </c>
      <c r="E40" s="14" t="s">
        <v>421</v>
      </c>
      <c r="F40" s="14" t="s">
        <v>21</v>
      </c>
      <c r="G40" s="29" t="s">
        <v>427</v>
      </c>
      <c r="H40" s="110" t="s">
        <v>428</v>
      </c>
      <c r="I40" s="110"/>
      <c r="J40" s="110"/>
      <c r="K40" s="110"/>
      <c r="L40" s="110"/>
    </row>
    <row r="41" spans="1:12" ht="18" customHeight="1" x14ac:dyDescent="0.2">
      <c r="A41" s="34" t="s">
        <v>429</v>
      </c>
      <c r="B41" s="14" t="s">
        <v>430</v>
      </c>
      <c r="C41" s="36">
        <f>$C$7/C37</f>
        <v>0.77582435461814925</v>
      </c>
      <c r="D41" s="14" t="s">
        <v>125</v>
      </c>
      <c r="E41" s="14" t="s">
        <v>431</v>
      </c>
      <c r="F41" s="14" t="s">
        <v>21</v>
      </c>
      <c r="G41" s="29" t="s">
        <v>432</v>
      </c>
      <c r="H41" s="110" t="s">
        <v>433</v>
      </c>
      <c r="I41" s="110"/>
      <c r="J41" s="110"/>
      <c r="K41" s="110"/>
      <c r="L41" s="110"/>
    </row>
    <row r="42" spans="1:12" ht="18" customHeight="1" x14ac:dyDescent="0.2">
      <c r="A42" s="14" t="s">
        <v>434</v>
      </c>
      <c r="B42" s="14" t="s">
        <v>435</v>
      </c>
      <c r="C42" s="36">
        <f>2*'Stability Constants Subsonic'!$C$13*('Stability Constants Subsonic'!$C$4-'Stability Constants Subsonic'!$C$3)*'Stability Constants Subsonic'!$C$14*'Subsonic Stability'!C37</f>
        <v>133995.22185160406</v>
      </c>
      <c r="D42" s="14" t="s">
        <v>125</v>
      </c>
      <c r="E42" s="14" t="s">
        <v>224</v>
      </c>
      <c r="F42" s="14" t="s">
        <v>21</v>
      </c>
      <c r="G42" s="29" t="s">
        <v>437</v>
      </c>
      <c r="H42" s="110" t="s">
        <v>438</v>
      </c>
      <c r="I42" s="110"/>
      <c r="J42" s="110"/>
      <c r="K42" s="110"/>
      <c r="L42" s="110"/>
    </row>
    <row r="43" spans="1:12" ht="18" customHeight="1" x14ac:dyDescent="0.2">
      <c r="A43" s="14" t="s">
        <v>439</v>
      </c>
      <c r="B43" s="14" t="s">
        <v>440</v>
      </c>
      <c r="C43" s="36">
        <f>2*'Stability Constants Subsonic'!$C$13*('Stability Constants Subsonic'!$C$6-'Stability Constants Subsonic'!$C$5)*'Stability Constants Subsonic'!$C$15*'Subsonic Stability'!C37</f>
        <v>83825.2717964451</v>
      </c>
      <c r="D43" s="14" t="s">
        <v>125</v>
      </c>
      <c r="E43" s="14" t="s">
        <v>224</v>
      </c>
      <c r="F43" s="14" t="s">
        <v>21</v>
      </c>
      <c r="G43" s="29" t="s">
        <v>442</v>
      </c>
      <c r="H43" s="110" t="s">
        <v>438</v>
      </c>
      <c r="I43" s="110"/>
      <c r="J43" s="110"/>
      <c r="K43" s="110"/>
      <c r="L43" s="110"/>
    </row>
    <row r="44" spans="1:12" ht="22" customHeight="1" x14ac:dyDescent="0.2">
      <c r="A44" s="118" t="s">
        <v>445</v>
      </c>
      <c r="B44" s="119"/>
      <c r="C44" s="119"/>
      <c r="D44" s="119"/>
      <c r="E44" s="119"/>
      <c r="F44" s="119"/>
      <c r="G44" s="119"/>
      <c r="H44" s="121"/>
      <c r="I44" s="121"/>
      <c r="J44" s="121"/>
      <c r="K44" s="121"/>
      <c r="L44" s="125"/>
    </row>
    <row r="45" spans="1:12" ht="18" customHeight="1" x14ac:dyDescent="0.2">
      <c r="A45" s="23" t="s">
        <v>5</v>
      </c>
      <c r="B45" s="23" t="s">
        <v>96</v>
      </c>
      <c r="C45" s="25" t="s">
        <v>7</v>
      </c>
      <c r="D45" s="25" t="s">
        <v>125</v>
      </c>
      <c r="E45" s="25" t="s">
        <v>8</v>
      </c>
      <c r="F45" s="25" t="s">
        <v>9</v>
      </c>
      <c r="G45" s="31" t="s">
        <v>459</v>
      </c>
      <c r="H45" s="122" t="s">
        <v>11</v>
      </c>
      <c r="I45" s="123"/>
      <c r="J45" s="123"/>
      <c r="K45" s="123"/>
      <c r="L45" s="124"/>
    </row>
    <row r="46" spans="1:12" ht="18" customHeight="1" x14ac:dyDescent="0.2">
      <c r="A46" s="14" t="s">
        <v>450</v>
      </c>
      <c r="B46" s="47" t="s">
        <v>446</v>
      </c>
      <c r="C46" s="48">
        <f>(C11 + C12* 'Stability Constants Subsonic'!$C$16*'Subsonic Stability'!$C$4/'Initial Estimates'!$C$5)*'Stability Constants Subsonic'!$C$8/'Initial Estimates'!$C$10 - 'Subsonic Stability'!C12*'Stability Constants Subsonic'!$C$16*'Subsonic Stability'!$C$4/'Initial Estimates'!$C$5*'Stability Constants Subsonic'!$C$10/'Initial Estimates'!$C$10+'Subsonic Stability'!$C$5+('Subsonic Stability'!C18+'Stability Constants Subsonic'!$C$11*'Subsonic Stability'!C19)/('Stability Constants Subsonic'!$C$13*'Initial Estimates'!$C$5*'Initial Estimates'!$C$10)</f>
        <v>-3.0140863938502332E-2</v>
      </c>
      <c r="D46" s="14" t="s">
        <v>125</v>
      </c>
      <c r="E46" s="14" t="s">
        <v>137</v>
      </c>
      <c r="F46" s="14" t="s">
        <v>21</v>
      </c>
      <c r="G46" s="29" t="s">
        <v>460</v>
      </c>
      <c r="H46" s="110" t="s">
        <v>438</v>
      </c>
      <c r="I46" s="110"/>
      <c r="J46" s="110"/>
      <c r="K46" s="110"/>
      <c r="L46" s="110"/>
    </row>
    <row r="47" spans="1:12" ht="18" customHeight="1" x14ac:dyDescent="0.2">
      <c r="A47" s="14" t="s">
        <v>451</v>
      </c>
      <c r="B47" s="47" t="s">
        <v>446</v>
      </c>
      <c r="C47" s="48">
        <f>(C23 + C24* 'Stability Constants Subsonic'!$C$16*'Subsonic Stability'!$C$4/'Initial Estimates'!$C$5)*'Stability Constants Subsonic'!$C$8/'Initial Estimates'!$C$10 - 'Subsonic Stability'!C24*'Stability Constants Subsonic'!$C$16*'Subsonic Stability'!$C$4/'Initial Estimates'!$C$5*'Stability Constants Subsonic'!$C$10/'Initial Estimates'!$C$10+'Subsonic Stability'!$C$5+('Subsonic Stability'!C30+'Stability Constants Subsonic'!$C$11*'Subsonic Stability'!C31)/('Stability Constants Subsonic'!$C$13*'Initial Estimates'!$C$5*'Initial Estimates'!$C$10)</f>
        <v>-3.863664441493353E-2</v>
      </c>
      <c r="D47" s="14" t="s">
        <v>125</v>
      </c>
      <c r="E47" s="14" t="s">
        <v>137</v>
      </c>
      <c r="F47" s="14" t="s">
        <v>21</v>
      </c>
      <c r="G47" s="29" t="s">
        <v>460</v>
      </c>
      <c r="H47" s="110" t="s">
        <v>438</v>
      </c>
      <c r="I47" s="110"/>
      <c r="J47" s="110"/>
      <c r="K47" s="110"/>
      <c r="L47" s="110"/>
    </row>
    <row r="48" spans="1:12" ht="18" customHeight="1" x14ac:dyDescent="0.2">
      <c r="A48" s="14" t="s">
        <v>452</v>
      </c>
      <c r="B48" s="47" t="s">
        <v>446</v>
      </c>
      <c r="C48" s="48">
        <f>(C35 + C36* 'Stability Constants Subsonic'!$C$16*'Subsonic Stability'!$C$4/'Initial Estimates'!$C$5)*'Stability Constants Subsonic'!$C$8/'Initial Estimates'!$C$10 - 'Subsonic Stability'!C36*'Stability Constants Subsonic'!$C$16*'Subsonic Stability'!$C$4/'Initial Estimates'!$C$5*'Stability Constants Subsonic'!$C$10/'Initial Estimates'!$C$10+'Subsonic Stability'!$C$5+('Subsonic Stability'!C42+'Stability Constants Subsonic'!$C$11*'Subsonic Stability'!C43)/('Stability Constants Subsonic'!$C$13*'Initial Estimates'!$C$5*'Initial Estimates'!$C$10)</f>
        <v>-4.707906452570941E-2</v>
      </c>
      <c r="D48" s="14" t="s">
        <v>125</v>
      </c>
      <c r="E48" s="14" t="s">
        <v>137</v>
      </c>
      <c r="F48" s="14" t="s">
        <v>21</v>
      </c>
      <c r="G48" s="29" t="s">
        <v>460</v>
      </c>
      <c r="H48" s="110" t="s">
        <v>438</v>
      </c>
      <c r="I48" s="110"/>
      <c r="J48" s="110"/>
      <c r="K48" s="110"/>
      <c r="L48" s="110"/>
    </row>
    <row r="49" spans="1:12" ht="18" customHeight="1" x14ac:dyDescent="0.2">
      <c r="A49" s="14" t="s">
        <v>454</v>
      </c>
      <c r="B49" s="47" t="s">
        <v>453</v>
      </c>
      <c r="C49" s="48">
        <f xml:space="preserve"> ( C15 + C16*(1 - C17)*'Stability Constants Subsonic'!$C$16*('Subsonic Stability'!$C$4/'Initial Estimates'!$C$5))*('Stability Constants Subsonic'!$C$8/'Initial Estimates'!$C$10) - C16*(1 - C17)*'Stability Constants Subsonic'!$C$16*'Subsonic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1.6536434874984622</v>
      </c>
      <c r="D49" s="14" t="s">
        <v>125</v>
      </c>
      <c r="E49" s="14" t="s">
        <v>421</v>
      </c>
      <c r="F49" s="14" t="s">
        <v>21</v>
      </c>
      <c r="G49" s="29" t="s">
        <v>458</v>
      </c>
      <c r="H49" s="110" t="s">
        <v>438</v>
      </c>
      <c r="I49" s="110"/>
      <c r="J49" s="110"/>
      <c r="K49" s="110"/>
      <c r="L49" s="110"/>
    </row>
    <row r="50" spans="1:12" s="37" customFormat="1" ht="18" customHeight="1" x14ac:dyDescent="0.2">
      <c r="A50" s="37" t="s">
        <v>457</v>
      </c>
      <c r="B50" s="47" t="s">
        <v>453</v>
      </c>
      <c r="C50" s="48">
        <f xml:space="preserve"> ( C27 + C28*(1 - C29)*'Stability Constants Subsonic'!$C$16*('Subsonic Stability'!$C$4/'Initial Estimates'!$C$5))*('Stability Constants Subsonic'!$C$8/'Initial Estimates'!$C$10) - C28*(1 - C29)*'Stability Constants Subsonic'!$C$16*'Subsonic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0.79480920232737828</v>
      </c>
      <c r="D50" s="37" t="s">
        <v>125</v>
      </c>
      <c r="E50" s="37" t="s">
        <v>421</v>
      </c>
      <c r="F50" s="37" t="s">
        <v>21</v>
      </c>
      <c r="G50" s="29" t="s">
        <v>458</v>
      </c>
      <c r="H50" s="110" t="s">
        <v>438</v>
      </c>
      <c r="I50" s="110"/>
      <c r="J50" s="110"/>
      <c r="K50" s="110"/>
      <c r="L50" s="110"/>
    </row>
    <row r="51" spans="1:12" s="37" customFormat="1" ht="18" customHeight="1" x14ac:dyDescent="0.2">
      <c r="A51" s="37" t="s">
        <v>457</v>
      </c>
      <c r="B51" s="47" t="s">
        <v>453</v>
      </c>
      <c r="C51" s="48">
        <f xml:space="preserve"> ( C39 + C40*(1 - C41)*'Stability Constants Subsonic'!$C$16*('Subsonic Stability'!$C$4/'Initial Estimates'!$C$5))*('Stability Constants Subsonic'!$C$8/'Initial Estimates'!$C$10) - C40*(1 - C41)*'Stability Constants Subsonic'!$C$16*'Subsonic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0.2230665549823371</v>
      </c>
      <c r="D51" s="37" t="s">
        <v>125</v>
      </c>
      <c r="E51" s="37" t="s">
        <v>421</v>
      </c>
      <c r="F51" s="37" t="s">
        <v>21</v>
      </c>
      <c r="G51" s="29" t="s">
        <v>458</v>
      </c>
      <c r="H51" s="110" t="s">
        <v>438</v>
      </c>
      <c r="I51" s="110"/>
      <c r="J51" s="110"/>
      <c r="K51" s="110"/>
      <c r="L51" s="110"/>
    </row>
    <row r="52" spans="1:12" ht="18" customHeight="1" x14ac:dyDescent="0.2">
      <c r="H52" s="110"/>
      <c r="I52" s="110"/>
      <c r="J52" s="110"/>
      <c r="K52" s="110"/>
      <c r="L52" s="110"/>
    </row>
    <row r="55" spans="1:12" ht="18" customHeight="1" x14ac:dyDescent="0.25">
      <c r="F55" s="42"/>
    </row>
  </sheetData>
  <mergeCells count="52"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45:L45"/>
    <mergeCell ref="H39:L39"/>
    <mergeCell ref="H40:L40"/>
    <mergeCell ref="H41:L41"/>
    <mergeCell ref="H42:L42"/>
    <mergeCell ref="H43:L43"/>
    <mergeCell ref="A44:L44"/>
    <mergeCell ref="H30:L30"/>
    <mergeCell ref="H31:L31"/>
    <mergeCell ref="A32:L32"/>
    <mergeCell ref="H34:L34"/>
    <mergeCell ref="H35:L35"/>
    <mergeCell ref="H33:L33"/>
    <mergeCell ref="H49:L49"/>
    <mergeCell ref="H50:L50"/>
    <mergeCell ref="H51:L51"/>
    <mergeCell ref="H52:L52"/>
    <mergeCell ref="H46:L46"/>
    <mergeCell ref="H47:L47"/>
    <mergeCell ref="H48:L48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09"/>
  <sheetViews>
    <sheetView zoomScale="90" zoomScaleNormal="90" zoomScalePageLayoutView="90" workbookViewId="0">
      <selection activeCell="C20" sqref="C20"/>
    </sheetView>
  </sheetViews>
  <sheetFormatPr baseColWidth="10" defaultColWidth="15.1640625" defaultRowHeight="18" customHeight="1" x14ac:dyDescent="0.2"/>
  <cols>
    <col min="1" max="1" width="51" style="12" customWidth="1"/>
    <col min="2" max="2" width="19.33203125" style="12" customWidth="1"/>
    <col min="3" max="3" width="15.1640625" style="12"/>
    <col min="4" max="4" width="5.83203125" style="57" customWidth="1"/>
    <col min="5" max="5" width="2" style="12" customWidth="1"/>
    <col min="6" max="6" width="15.1640625" style="12"/>
    <col min="7" max="7" width="40" style="12" customWidth="1"/>
    <col min="8" max="8" width="38.6640625" style="29" customWidth="1"/>
    <col min="9" max="13" width="15.1640625" style="12"/>
    <col min="14" max="14" width="3.5" style="12" customWidth="1"/>
    <col min="15" max="15" width="20.33203125" style="12" customWidth="1"/>
    <col min="16" max="16" width="22.6640625" style="12" customWidth="1"/>
    <col min="17" max="17" width="23.33203125" style="12" customWidth="1"/>
    <col min="18" max="18" width="22.33203125" style="12" customWidth="1"/>
    <col min="19" max="16384" width="15.1640625" style="12"/>
  </cols>
  <sheetData>
    <row r="1" spans="1:18" ht="22" customHeight="1" x14ac:dyDescent="0.2">
      <c r="A1" s="118" t="s">
        <v>162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20"/>
      <c r="O1" s="53" t="s">
        <v>497</v>
      </c>
      <c r="P1" s="53" t="s">
        <v>498</v>
      </c>
      <c r="Q1" s="53" t="s">
        <v>499</v>
      </c>
      <c r="R1" s="53" t="s">
        <v>498</v>
      </c>
    </row>
    <row r="2" spans="1:18" ht="18" customHeight="1" x14ac:dyDescent="0.2">
      <c r="A2" s="23" t="s">
        <v>5</v>
      </c>
      <c r="B2" s="23" t="s">
        <v>96</v>
      </c>
      <c r="C2" s="54" t="s">
        <v>7</v>
      </c>
      <c r="D2" s="58"/>
      <c r="E2" s="24" t="s">
        <v>125</v>
      </c>
      <c r="F2" s="24" t="s">
        <v>8</v>
      </c>
      <c r="G2" s="24" t="s">
        <v>9</v>
      </c>
      <c r="H2" s="31" t="s">
        <v>10</v>
      </c>
      <c r="I2" s="111" t="s">
        <v>11</v>
      </c>
      <c r="J2" s="111"/>
      <c r="K2" s="111"/>
      <c r="L2" s="111"/>
      <c r="M2" s="111"/>
      <c r="O2" s="13">
        <f>0.5*'Initial Estimates'!$C$49</f>
        <v>50</v>
      </c>
      <c r="P2" s="13">
        <f>0.5*'Initial Estimates'!$C$49</f>
        <v>50</v>
      </c>
      <c r="Q2" s="13"/>
      <c r="R2" s="13">
        <f>0.6*'Initial Estimates'!$C$49</f>
        <v>60</v>
      </c>
    </row>
    <row r="3" spans="1:18" ht="18" customHeight="1" x14ac:dyDescent="0.2">
      <c r="A3" s="12" t="s">
        <v>163</v>
      </c>
      <c r="B3" s="12" t="s">
        <v>166</v>
      </c>
      <c r="C3" s="55">
        <v>55</v>
      </c>
      <c r="D3" s="55" t="s">
        <v>515</v>
      </c>
      <c r="E3" s="13" t="s">
        <v>125</v>
      </c>
      <c r="F3" s="12" t="s">
        <v>29</v>
      </c>
      <c r="G3" s="12" t="s">
        <v>461</v>
      </c>
      <c r="H3" s="29" t="s">
        <v>167</v>
      </c>
      <c r="I3" s="110" t="s">
        <v>15</v>
      </c>
      <c r="J3" s="110"/>
      <c r="K3" s="110"/>
      <c r="L3" s="110"/>
      <c r="M3" s="110"/>
      <c r="O3" s="13">
        <f>0.9*'Initial Estimates'!$C$49</f>
        <v>90</v>
      </c>
      <c r="P3" s="13">
        <f>0.6*'Initial Estimates'!$C$49</f>
        <v>60</v>
      </c>
      <c r="Q3" s="13"/>
      <c r="R3" s="13">
        <f>0.6*'Initial Estimates'!$C$49</f>
        <v>60</v>
      </c>
    </row>
    <row r="4" spans="1:18" ht="18" customHeight="1" x14ac:dyDescent="0.2">
      <c r="A4" s="15" t="s">
        <v>164</v>
      </c>
      <c r="B4" s="15" t="s">
        <v>165</v>
      </c>
      <c r="C4" s="55">
        <v>60</v>
      </c>
      <c r="D4" s="55"/>
      <c r="E4" s="13" t="s">
        <v>125</v>
      </c>
      <c r="F4" s="12" t="s">
        <v>29</v>
      </c>
      <c r="G4" s="12" t="s">
        <v>14</v>
      </c>
      <c r="H4" s="29" t="s">
        <v>167</v>
      </c>
      <c r="I4" s="110" t="s">
        <v>15</v>
      </c>
      <c r="J4" s="110"/>
      <c r="K4" s="110"/>
      <c r="L4" s="110"/>
      <c r="M4" s="110"/>
      <c r="O4" s="13">
        <f>O3</f>
        <v>90</v>
      </c>
      <c r="P4" s="13">
        <f>P3</f>
        <v>60</v>
      </c>
      <c r="Q4" s="13"/>
      <c r="R4" s="13">
        <f>R3</f>
        <v>60</v>
      </c>
    </row>
    <row r="5" spans="1:18" ht="18" customHeight="1" x14ac:dyDescent="0.2">
      <c r="A5" s="18" t="s">
        <v>168</v>
      </c>
      <c r="B5" s="12" t="s">
        <v>169</v>
      </c>
      <c r="C5" s="55">
        <f>C4</f>
        <v>60</v>
      </c>
      <c r="D5" s="55"/>
      <c r="E5" s="13" t="s">
        <v>125</v>
      </c>
      <c r="F5" s="12" t="s">
        <v>29</v>
      </c>
      <c r="G5" s="12" t="s">
        <v>14</v>
      </c>
      <c r="H5" s="29" t="s">
        <v>167</v>
      </c>
      <c r="I5" s="110" t="s">
        <v>15</v>
      </c>
      <c r="J5" s="110"/>
      <c r="K5" s="110"/>
      <c r="L5" s="110"/>
      <c r="M5" s="110"/>
      <c r="O5" s="13">
        <f>0.04*'Initial Estimates'!$C$49</f>
        <v>4</v>
      </c>
      <c r="P5" s="13">
        <f>0.04*'Initial Estimates'!$C$49</f>
        <v>4</v>
      </c>
      <c r="Q5" s="13"/>
      <c r="R5" s="13">
        <f>0.04*'Initial Estimates'!$C$49</f>
        <v>4</v>
      </c>
    </row>
    <row r="6" spans="1:18" ht="18" customHeight="1" x14ac:dyDescent="0.2">
      <c r="A6" s="12" t="s">
        <v>170</v>
      </c>
      <c r="B6" s="12" t="s">
        <v>171</v>
      </c>
      <c r="C6" s="55">
        <v>3.6</v>
      </c>
      <c r="D6" s="55"/>
      <c r="E6" s="13" t="s">
        <v>125</v>
      </c>
      <c r="F6" s="12" t="s">
        <v>29</v>
      </c>
      <c r="G6" s="12" t="s">
        <v>14</v>
      </c>
      <c r="H6" s="29" t="s">
        <v>167</v>
      </c>
      <c r="I6" s="110" t="s">
        <v>15</v>
      </c>
      <c r="J6" s="110"/>
      <c r="K6" s="110"/>
      <c r="L6" s="110"/>
      <c r="M6" s="110"/>
      <c r="O6" s="13">
        <f>0.8*'Initial Estimates'!$C$49</f>
        <v>80</v>
      </c>
      <c r="P6" s="13">
        <f>0.45*'Initial Estimates'!$C$49</f>
        <v>45</v>
      </c>
      <c r="Q6" s="13"/>
      <c r="R6" s="13">
        <f>0.45*'Initial Estimates'!$C$49</f>
        <v>45</v>
      </c>
    </row>
    <row r="7" spans="1:18" ht="18" customHeight="1" x14ac:dyDescent="0.2">
      <c r="A7" s="12" t="s">
        <v>172</v>
      </c>
      <c r="B7" s="12" t="s">
        <v>173</v>
      </c>
      <c r="C7" s="55">
        <v>40.5</v>
      </c>
      <c r="D7" s="55"/>
      <c r="E7" s="13" t="s">
        <v>125</v>
      </c>
      <c r="F7" s="12" t="s">
        <v>29</v>
      </c>
      <c r="G7" s="12" t="s">
        <v>14</v>
      </c>
      <c r="H7" s="29" t="s">
        <v>167</v>
      </c>
      <c r="I7" s="110" t="s">
        <v>15</v>
      </c>
      <c r="J7" s="110"/>
      <c r="K7" s="110"/>
      <c r="L7" s="110"/>
      <c r="M7" s="110"/>
      <c r="O7" s="13">
        <f>0.15*'Initial Estimates'!$C$49</f>
        <v>15</v>
      </c>
      <c r="P7" s="13">
        <f>0.15*'Initial Estimates'!$C$49</f>
        <v>15</v>
      </c>
      <c r="Q7" s="13"/>
      <c r="R7" s="13">
        <f>0.15*'Initial Estimates'!$C$49</f>
        <v>15</v>
      </c>
    </row>
    <row r="8" spans="1:18" ht="18" customHeight="1" x14ac:dyDescent="0.2">
      <c r="A8" s="12" t="s">
        <v>174</v>
      </c>
      <c r="B8" s="12" t="s">
        <v>175</v>
      </c>
      <c r="C8" s="55">
        <f>'Initial Estimates'!C57</f>
        <v>27.82</v>
      </c>
      <c r="D8" s="55"/>
      <c r="E8" s="13" t="s">
        <v>125</v>
      </c>
      <c r="F8" s="12" t="s">
        <v>29</v>
      </c>
      <c r="G8" s="12" t="s">
        <v>14</v>
      </c>
      <c r="H8" s="29" t="s">
        <v>167</v>
      </c>
      <c r="I8" s="110" t="s">
        <v>15</v>
      </c>
      <c r="J8" s="110"/>
      <c r="K8" s="110"/>
      <c r="L8" s="110"/>
      <c r="M8" s="110"/>
      <c r="O8" s="49">
        <f xml:space="preserve"> 'Initial Estimates'!$C$57+'Initial Estimates'!$C$50</f>
        <v>69.990000000000009</v>
      </c>
      <c r="P8" s="49">
        <f xml:space="preserve"> 'Initial Estimates'!$C$57+'Initial Estimates'!$C$50</f>
        <v>69.990000000000009</v>
      </c>
      <c r="Q8" s="49"/>
      <c r="R8" s="49">
        <f xml:space="preserve"> 'Initial Estimates'!$C$57+'Initial Estimates'!$C$50</f>
        <v>69.990000000000009</v>
      </c>
    </row>
    <row r="9" spans="1:18" ht="18" customHeight="1" x14ac:dyDescent="0.2">
      <c r="A9" s="12" t="s">
        <v>176</v>
      </c>
      <c r="B9" s="12" t="s">
        <v>177</v>
      </c>
      <c r="C9" s="55">
        <f>C8+'Initial Estimates'!C50</f>
        <v>69.990000000000009</v>
      </c>
      <c r="D9" s="55"/>
      <c r="E9" s="13" t="s">
        <v>125</v>
      </c>
      <c r="F9" s="12" t="s">
        <v>29</v>
      </c>
      <c r="G9" s="12" t="s">
        <v>14</v>
      </c>
      <c r="H9" s="29" t="s">
        <v>167</v>
      </c>
      <c r="I9" s="110" t="s">
        <v>15</v>
      </c>
      <c r="J9" s="110"/>
      <c r="K9" s="110"/>
      <c r="L9" s="110"/>
      <c r="M9" s="110"/>
      <c r="O9" s="13">
        <f>0.9*'Initial Estimates'!$C$49</f>
        <v>90</v>
      </c>
      <c r="P9" s="13">
        <f>0.9*'Initial Estimates'!$C$49</f>
        <v>90</v>
      </c>
      <c r="Q9" s="13"/>
      <c r="R9" s="13">
        <f>0.9*'Initial Estimates'!$C$49</f>
        <v>90</v>
      </c>
    </row>
    <row r="10" spans="1:18" ht="18" customHeight="1" x14ac:dyDescent="0.2">
      <c r="A10" s="12" t="s">
        <v>178</v>
      </c>
      <c r="B10" s="12" t="s">
        <v>179</v>
      </c>
      <c r="C10" s="55">
        <v>81</v>
      </c>
      <c r="D10" s="55"/>
      <c r="E10" s="13" t="s">
        <v>125</v>
      </c>
      <c r="F10" s="12" t="s">
        <v>29</v>
      </c>
      <c r="G10" s="12" t="s">
        <v>14</v>
      </c>
      <c r="H10" s="29" t="s">
        <v>167</v>
      </c>
      <c r="I10" s="110" t="s">
        <v>15</v>
      </c>
      <c r="J10" s="110"/>
      <c r="K10" s="110"/>
      <c r="L10" s="110"/>
      <c r="M10" s="110"/>
      <c r="O10" s="13">
        <f>0.9*'Initial Estimates'!$C$49</f>
        <v>90</v>
      </c>
      <c r="P10" s="13">
        <f>0.9*'Initial Estimates'!$C$49</f>
        <v>90</v>
      </c>
      <c r="Q10" s="13"/>
      <c r="R10" s="13">
        <f>0.9*'Initial Estimates'!$C$49</f>
        <v>90</v>
      </c>
    </row>
    <row r="11" spans="1:18" ht="18" customHeight="1" x14ac:dyDescent="0.2">
      <c r="A11" s="12" t="s">
        <v>180</v>
      </c>
      <c r="B11" s="12" t="s">
        <v>181</v>
      </c>
      <c r="C11" s="55">
        <v>81</v>
      </c>
      <c r="D11" s="55"/>
      <c r="E11" s="13" t="s">
        <v>125</v>
      </c>
      <c r="F11" s="12" t="s">
        <v>29</v>
      </c>
      <c r="G11" s="12" t="s">
        <v>14</v>
      </c>
      <c r="H11" s="29" t="s">
        <v>167</v>
      </c>
      <c r="I11" s="110" t="s">
        <v>15</v>
      </c>
      <c r="J11" s="110"/>
      <c r="K11" s="110"/>
      <c r="L11" s="110"/>
      <c r="M11" s="110"/>
      <c r="O11" s="13">
        <f>0.05*'Initial Estimates'!$C$49</f>
        <v>5</v>
      </c>
      <c r="P11" s="13">
        <f>0.05*'Initial Estimates'!$C$49</f>
        <v>5</v>
      </c>
      <c r="Q11" s="13"/>
      <c r="R11" s="13">
        <f>0.05*'Initial Estimates'!$C$49</f>
        <v>5</v>
      </c>
    </row>
    <row r="12" spans="1:18" ht="18" customHeight="1" x14ac:dyDescent="0.2">
      <c r="A12" s="12" t="s">
        <v>182</v>
      </c>
      <c r="B12" s="12" t="s">
        <v>183</v>
      </c>
      <c r="C12" s="13">
        <f>0.05*'Initial Estimates'!$C$49</f>
        <v>5</v>
      </c>
      <c r="D12" s="13"/>
      <c r="E12" s="13" t="s">
        <v>125</v>
      </c>
      <c r="F12" s="12" t="s">
        <v>29</v>
      </c>
      <c r="G12" s="12" t="s">
        <v>14</v>
      </c>
      <c r="H12" s="29" t="s">
        <v>167</v>
      </c>
      <c r="I12" s="110" t="s">
        <v>15</v>
      </c>
      <c r="J12" s="110"/>
      <c r="K12" s="110"/>
      <c r="L12" s="110"/>
      <c r="M12" s="110"/>
      <c r="O12" s="13">
        <f>0.15*'Initial Estimates'!$C$49</f>
        <v>15</v>
      </c>
      <c r="P12" s="13">
        <f>0.15*'Initial Estimates'!$C$49</f>
        <v>15</v>
      </c>
      <c r="Q12" s="13"/>
      <c r="R12" s="13">
        <f>0.15*'Initial Estimates'!$C$49</f>
        <v>15</v>
      </c>
    </row>
    <row r="13" spans="1:18" ht="18" customHeight="1" x14ac:dyDescent="0.2">
      <c r="A13" s="12" t="s">
        <v>184</v>
      </c>
      <c r="B13" s="12" t="s">
        <v>185</v>
      </c>
      <c r="C13" s="13">
        <f>0.15*'Initial Estimates'!$C$49</f>
        <v>15</v>
      </c>
      <c r="D13" s="13"/>
      <c r="E13" s="13" t="s">
        <v>125</v>
      </c>
      <c r="F13" s="12" t="s">
        <v>29</v>
      </c>
      <c r="G13" s="12" t="s">
        <v>14</v>
      </c>
      <c r="H13" s="29" t="s">
        <v>167</v>
      </c>
      <c r="I13" s="110" t="s">
        <v>15</v>
      </c>
      <c r="J13" s="110"/>
      <c r="K13" s="110"/>
      <c r="L13" s="110"/>
      <c r="M13" s="110"/>
      <c r="O13" s="13">
        <f>0.3*'Initial Estimates'!$C$49</f>
        <v>30</v>
      </c>
      <c r="P13" s="13">
        <f>0.3*'Initial Estimates'!$C$49</f>
        <v>30</v>
      </c>
      <c r="Q13" s="13"/>
      <c r="R13" s="13">
        <f>0.3*'Initial Estimates'!$C$49</f>
        <v>30</v>
      </c>
    </row>
    <row r="14" spans="1:18" ht="18" customHeight="1" x14ac:dyDescent="0.2">
      <c r="A14" s="12" t="s">
        <v>186</v>
      </c>
      <c r="B14" s="12" t="s">
        <v>189</v>
      </c>
      <c r="C14" s="13">
        <f>0.24*'Initial Estimates'!$C$49</f>
        <v>24</v>
      </c>
      <c r="D14" s="13"/>
      <c r="E14" s="13" t="s">
        <v>125</v>
      </c>
      <c r="F14" s="12" t="s">
        <v>29</v>
      </c>
      <c r="G14" s="12" t="s">
        <v>14</v>
      </c>
      <c r="H14" s="29" t="s">
        <v>167</v>
      </c>
      <c r="I14" s="110" t="s">
        <v>15</v>
      </c>
      <c r="J14" s="110"/>
      <c r="K14" s="110"/>
      <c r="L14" s="110"/>
      <c r="M14" s="110"/>
      <c r="O14" s="13">
        <f>0.413*'Initial Estimates'!$C$49</f>
        <v>41.3</v>
      </c>
      <c r="P14" s="13">
        <f>0.413*'Initial Estimates'!$C$49</f>
        <v>41.3</v>
      </c>
      <c r="Q14" s="13"/>
      <c r="R14" s="13">
        <f>0.413*'Initial Estimates'!$C$49</f>
        <v>41.3</v>
      </c>
    </row>
    <row r="15" spans="1:18" ht="18" customHeight="1" x14ac:dyDescent="0.2">
      <c r="A15" s="12" t="s">
        <v>187</v>
      </c>
      <c r="B15" s="12" t="s">
        <v>190</v>
      </c>
      <c r="C15" s="13">
        <f>0.36*'Initial Estimates'!$C$49</f>
        <v>36</v>
      </c>
      <c r="D15" s="13"/>
      <c r="E15" s="13" t="s">
        <v>125</v>
      </c>
      <c r="F15" s="12" t="s">
        <v>29</v>
      </c>
      <c r="G15" s="12" t="s">
        <v>14</v>
      </c>
      <c r="H15" s="29" t="s">
        <v>167</v>
      </c>
      <c r="I15" s="110" t="s">
        <v>15</v>
      </c>
      <c r="J15" s="110"/>
      <c r="K15" s="110"/>
      <c r="L15" s="110"/>
      <c r="M15" s="110"/>
      <c r="O15" s="13">
        <f>0.526*'Initial Estimates'!$C$49</f>
        <v>52.6</v>
      </c>
      <c r="P15" s="13">
        <f>0.526*'Initial Estimates'!$C$49</f>
        <v>52.6</v>
      </c>
      <c r="Q15" s="13"/>
      <c r="R15" s="13">
        <f>0.526*'Initial Estimates'!$C$49</f>
        <v>52.6</v>
      </c>
    </row>
    <row r="16" spans="1:18" ht="18" customHeight="1" x14ac:dyDescent="0.2">
      <c r="A16" s="12" t="s">
        <v>188</v>
      </c>
      <c r="B16" s="12" t="s">
        <v>191</v>
      </c>
      <c r="C16" s="13">
        <f>0.475*'Initial Estimates'!$C$49</f>
        <v>47.5</v>
      </c>
      <c r="D16" s="13"/>
      <c r="E16" s="13" t="s">
        <v>125</v>
      </c>
      <c r="F16" s="12" t="s">
        <v>29</v>
      </c>
      <c r="G16" s="12" t="s">
        <v>14</v>
      </c>
      <c r="H16" s="29" t="s">
        <v>167</v>
      </c>
      <c r="I16" s="110" t="s">
        <v>15</v>
      </c>
      <c r="J16" s="110"/>
      <c r="K16" s="110"/>
      <c r="L16" s="110"/>
      <c r="M16" s="110"/>
    </row>
    <row r="17" spans="1:16" ht="22" customHeight="1" x14ac:dyDescent="0.2">
      <c r="A17" s="118" t="s">
        <v>217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20"/>
    </row>
    <row r="18" spans="1:16" ht="18" customHeight="1" x14ac:dyDescent="0.2">
      <c r="A18" s="23" t="s">
        <v>5</v>
      </c>
      <c r="B18" s="23" t="s">
        <v>96</v>
      </c>
      <c r="C18" s="24" t="s">
        <v>7</v>
      </c>
      <c r="D18" s="58"/>
      <c r="E18" s="24" t="s">
        <v>125</v>
      </c>
      <c r="F18" s="24" t="s">
        <v>8</v>
      </c>
      <c r="G18" s="24" t="s">
        <v>9</v>
      </c>
      <c r="H18" s="31" t="s">
        <v>10</v>
      </c>
      <c r="I18" s="111" t="s">
        <v>11</v>
      </c>
      <c r="J18" s="111"/>
      <c r="K18" s="111"/>
      <c r="L18" s="111"/>
      <c r="M18" s="111"/>
    </row>
    <row r="19" spans="1:16" ht="18" customHeight="1" x14ac:dyDescent="0.2">
      <c r="A19" s="12" t="s">
        <v>204</v>
      </c>
      <c r="B19" s="12" t="s">
        <v>205</v>
      </c>
      <c r="C19" s="13">
        <f>C3 + ((1 - 0.5)*'Initial Estimates'!C8)</f>
        <v>70.036000000000001</v>
      </c>
      <c r="D19" s="13"/>
      <c r="E19" s="13" t="s">
        <v>125</v>
      </c>
      <c r="F19" s="12" t="s">
        <v>29</v>
      </c>
      <c r="G19" s="12" t="s">
        <v>14</v>
      </c>
      <c r="H19" s="30" t="s">
        <v>206</v>
      </c>
      <c r="I19" s="110" t="s">
        <v>207</v>
      </c>
      <c r="J19" s="110"/>
      <c r="K19" s="110"/>
      <c r="L19" s="110"/>
      <c r="M19" s="110"/>
    </row>
    <row r="20" spans="1:16" ht="18" customHeight="1" x14ac:dyDescent="0.2">
      <c r="A20" s="12" t="s">
        <v>208</v>
      </c>
      <c r="B20" s="12" t="s">
        <v>209</v>
      </c>
      <c r="C20" s="12">
        <f>C3+0.7*'Initial Estimates'!C8</f>
        <v>76.050399999999996</v>
      </c>
      <c r="E20" s="13" t="s">
        <v>125</v>
      </c>
      <c r="F20" s="12" t="s">
        <v>29</v>
      </c>
      <c r="G20" s="12" t="s">
        <v>14</v>
      </c>
      <c r="H20" s="30" t="s">
        <v>225</v>
      </c>
      <c r="I20" s="110" t="s">
        <v>207</v>
      </c>
      <c r="J20" s="110"/>
      <c r="K20" s="110"/>
      <c r="L20" s="110"/>
      <c r="M20" s="110"/>
    </row>
    <row r="21" spans="1:16" ht="18" customHeight="1" x14ac:dyDescent="0.2">
      <c r="A21" s="12" t="s">
        <v>210</v>
      </c>
      <c r="B21" s="12" t="s">
        <v>211</v>
      </c>
      <c r="C21" s="13">
        <f>C19+'Initial Estimates'!C10</f>
        <v>90.454888000000011</v>
      </c>
      <c r="D21" s="13"/>
      <c r="E21" s="13" t="s">
        <v>125</v>
      </c>
      <c r="F21" s="12" t="s">
        <v>29</v>
      </c>
      <c r="G21" s="12" t="s">
        <v>14</v>
      </c>
      <c r="H21" s="30" t="s">
        <v>226</v>
      </c>
      <c r="I21" s="110" t="s">
        <v>207</v>
      </c>
      <c r="J21" s="110"/>
      <c r="K21" s="110"/>
      <c r="L21" s="110"/>
      <c r="M21" s="110"/>
    </row>
    <row r="22" spans="1:16" ht="18" customHeight="1" x14ac:dyDescent="0.2">
      <c r="A22" s="12" t="s">
        <v>212</v>
      </c>
      <c r="B22" s="12" t="s">
        <v>213</v>
      </c>
      <c r="C22" s="12">
        <f xml:space="preserve"> C20*'Initial Estimates'!C33</f>
        <v>738269.14455199998</v>
      </c>
      <c r="E22" s="13" t="s">
        <v>125</v>
      </c>
      <c r="F22" s="12" t="s">
        <v>224</v>
      </c>
      <c r="G22" s="12" t="s">
        <v>14</v>
      </c>
      <c r="H22" s="30" t="s">
        <v>227</v>
      </c>
      <c r="I22" s="110" t="s">
        <v>207</v>
      </c>
      <c r="J22" s="110"/>
      <c r="K22" s="110"/>
      <c r="L22" s="110"/>
      <c r="M22" s="110"/>
    </row>
    <row r="23" spans="1:16" ht="18" customHeight="1" x14ac:dyDescent="0.2">
      <c r="A23" s="12" t="s">
        <v>214</v>
      </c>
      <c r="B23" s="12" t="s">
        <v>215</v>
      </c>
      <c r="C23" s="12">
        <f>C21*'Initial Estimates'!C37</f>
        <v>122541.18155369202</v>
      </c>
      <c r="E23" s="13" t="s">
        <v>125</v>
      </c>
      <c r="F23" s="12" t="s">
        <v>224</v>
      </c>
      <c r="G23" s="12" t="s">
        <v>14</v>
      </c>
      <c r="H23" s="30" t="s">
        <v>228</v>
      </c>
      <c r="I23" s="110" t="s">
        <v>207</v>
      </c>
      <c r="J23" s="110"/>
      <c r="K23" s="110"/>
      <c r="L23" s="110"/>
      <c r="M23" s="110"/>
    </row>
    <row r="24" spans="1:16" ht="22" customHeight="1" x14ac:dyDescent="0.2">
      <c r="A24" s="118" t="s">
        <v>216</v>
      </c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20"/>
    </row>
    <row r="25" spans="1:16" ht="18" customHeight="1" x14ac:dyDescent="0.2">
      <c r="A25" s="23" t="s">
        <v>5</v>
      </c>
      <c r="B25" s="23" t="s">
        <v>96</v>
      </c>
      <c r="C25" s="24" t="s">
        <v>7</v>
      </c>
      <c r="D25" s="58"/>
      <c r="E25" s="24" t="s">
        <v>125</v>
      </c>
      <c r="F25" s="24" t="s">
        <v>8</v>
      </c>
      <c r="G25" s="24" t="s">
        <v>9</v>
      </c>
      <c r="H25" s="31" t="s">
        <v>10</v>
      </c>
      <c r="I25" s="111" t="s">
        <v>11</v>
      </c>
      <c r="J25" s="111"/>
      <c r="K25" s="111"/>
      <c r="L25" s="111"/>
      <c r="M25" s="111"/>
    </row>
    <row r="26" spans="1:16" ht="18" customHeight="1" x14ac:dyDescent="0.2">
      <c r="A26" s="12" t="s">
        <v>220</v>
      </c>
      <c r="B26" s="12" t="s">
        <v>221</v>
      </c>
      <c r="C26" s="13">
        <v>10.18</v>
      </c>
      <c r="D26" s="13"/>
      <c r="E26" s="13" t="s">
        <v>125</v>
      </c>
      <c r="F26" s="12" t="s">
        <v>222</v>
      </c>
      <c r="G26" s="12" t="s">
        <v>14</v>
      </c>
      <c r="H26" s="30" t="s">
        <v>230</v>
      </c>
      <c r="I26" s="110" t="s">
        <v>207</v>
      </c>
      <c r="J26" s="110"/>
      <c r="K26" s="110"/>
      <c r="L26" s="110"/>
      <c r="M26" s="110"/>
      <c r="O26" s="49"/>
      <c r="P26" s="49"/>
    </row>
    <row r="27" spans="1:16" ht="18" customHeight="1" x14ac:dyDescent="0.2">
      <c r="A27" s="12" t="s">
        <v>218</v>
      </c>
      <c r="B27" s="12" t="s">
        <v>219</v>
      </c>
      <c r="C27" s="13">
        <f>C26*0.7*'Initial Estimates'!C8*'Initial Estimates'!C29</f>
        <v>10702.438894895999</v>
      </c>
      <c r="D27" s="13"/>
      <c r="E27" s="13" t="s">
        <v>125</v>
      </c>
      <c r="F27" s="12" t="s">
        <v>223</v>
      </c>
      <c r="G27" s="12" t="s">
        <v>14</v>
      </c>
      <c r="H27" s="30" t="s">
        <v>230</v>
      </c>
      <c r="I27" s="110" t="s">
        <v>207</v>
      </c>
      <c r="J27" s="110"/>
      <c r="K27" s="110"/>
      <c r="L27" s="110"/>
      <c r="M27" s="110"/>
    </row>
    <row r="28" spans="1:16" ht="18" customHeight="1" x14ac:dyDescent="0.2">
      <c r="A28" s="12" t="s">
        <v>232</v>
      </c>
      <c r="B28" s="12" t="s">
        <v>231</v>
      </c>
      <c r="C28" s="13">
        <f>'Initial Estimates'!C27-'Cg Calcs Supersonic'!C27</f>
        <v>7361.6790434256091</v>
      </c>
      <c r="D28" s="13"/>
      <c r="E28" s="13" t="s">
        <v>125</v>
      </c>
      <c r="F28" s="12" t="s">
        <v>223</v>
      </c>
      <c r="G28" s="12" t="s">
        <v>21</v>
      </c>
      <c r="H28" s="30" t="s">
        <v>235</v>
      </c>
      <c r="I28" s="110" t="s">
        <v>207</v>
      </c>
      <c r="J28" s="110"/>
      <c r="K28" s="110"/>
      <c r="L28" s="110"/>
      <c r="M28" s="110"/>
    </row>
    <row r="29" spans="1:16" s="49" customFormat="1" ht="18" customHeight="1" x14ac:dyDescent="0.2">
      <c r="A29" s="49" t="s">
        <v>489</v>
      </c>
      <c r="B29" s="49" t="s">
        <v>492</v>
      </c>
      <c r="C29" s="13">
        <v>0</v>
      </c>
      <c r="D29" s="13"/>
      <c r="E29" s="13" t="s">
        <v>125</v>
      </c>
      <c r="F29" s="49" t="s">
        <v>223</v>
      </c>
      <c r="G29" s="49" t="s">
        <v>21</v>
      </c>
      <c r="H29" s="30" t="s">
        <v>235</v>
      </c>
      <c r="I29" s="110" t="s">
        <v>207</v>
      </c>
      <c r="J29" s="110"/>
      <c r="K29" s="110"/>
      <c r="L29" s="110"/>
      <c r="M29" s="110"/>
      <c r="O29" s="12"/>
      <c r="P29" s="12"/>
    </row>
    <row r="30" spans="1:16" ht="18" customHeight="1" x14ac:dyDescent="0.2">
      <c r="A30" s="12" t="s">
        <v>233</v>
      </c>
      <c r="B30" s="12" t="s">
        <v>234</v>
      </c>
      <c r="C30" s="12">
        <v>85</v>
      </c>
      <c r="E30" s="13" t="s">
        <v>125</v>
      </c>
      <c r="F30" s="12" t="s">
        <v>29</v>
      </c>
      <c r="G30" s="12" t="s">
        <v>21</v>
      </c>
      <c r="H30" s="30" t="s">
        <v>236</v>
      </c>
      <c r="I30" s="110" t="s">
        <v>207</v>
      </c>
      <c r="J30" s="110"/>
      <c r="K30" s="110"/>
      <c r="L30" s="110"/>
      <c r="M30" s="110"/>
    </row>
    <row r="31" spans="1:16" ht="18" customHeight="1" x14ac:dyDescent="0.2">
      <c r="A31" s="12" t="s">
        <v>237</v>
      </c>
      <c r="B31" s="12" t="s">
        <v>238</v>
      </c>
      <c r="C31" s="12">
        <f>C3+0.5+0.7*0.4*'Initial Estimates'!C8</f>
        <v>63.920159999999996</v>
      </c>
      <c r="E31" s="13" t="s">
        <v>125</v>
      </c>
      <c r="F31" s="12" t="s">
        <v>29</v>
      </c>
      <c r="G31" s="12" t="s">
        <v>21</v>
      </c>
      <c r="H31" s="30" t="s">
        <v>239</v>
      </c>
      <c r="I31" s="110" t="s">
        <v>207</v>
      </c>
      <c r="J31" s="110"/>
      <c r="K31" s="110"/>
      <c r="L31" s="110"/>
      <c r="M31" s="110"/>
      <c r="O31" s="49"/>
      <c r="P31" s="49"/>
    </row>
    <row r="32" spans="1:16" ht="18" customHeight="1" x14ac:dyDescent="0.2">
      <c r="A32" s="12" t="s">
        <v>240</v>
      </c>
      <c r="B32" s="12" t="s">
        <v>241</v>
      </c>
      <c r="C32" s="12">
        <f>C30*C27</f>
        <v>909707.30606615986</v>
      </c>
      <c r="E32" s="13" t="s">
        <v>125</v>
      </c>
      <c r="F32" s="12" t="s">
        <v>224</v>
      </c>
      <c r="G32" s="12" t="s">
        <v>21</v>
      </c>
      <c r="H32" s="29" t="s">
        <v>242</v>
      </c>
      <c r="I32" s="110" t="s">
        <v>207</v>
      </c>
      <c r="J32" s="110"/>
      <c r="K32" s="110"/>
      <c r="L32" s="110"/>
      <c r="M32" s="110"/>
    </row>
    <row r="33" spans="1:16" ht="18" customHeight="1" x14ac:dyDescent="0.2">
      <c r="A33" s="12" t="s">
        <v>243</v>
      </c>
      <c r="B33" s="12" t="s">
        <v>244</v>
      </c>
      <c r="C33" s="12">
        <f xml:space="preserve"> C31*C28</f>
        <v>470559.70232441183</v>
      </c>
      <c r="E33" s="12" t="s">
        <v>125</v>
      </c>
      <c r="F33" s="12" t="s">
        <v>224</v>
      </c>
      <c r="G33" s="12" t="s">
        <v>21</v>
      </c>
      <c r="H33" s="29" t="s">
        <v>245</v>
      </c>
      <c r="I33" s="110" t="s">
        <v>207</v>
      </c>
      <c r="J33" s="110"/>
      <c r="K33" s="110"/>
      <c r="L33" s="110"/>
      <c r="M33" s="110"/>
    </row>
    <row r="34" spans="1:16" s="49" customFormat="1" ht="18" customHeight="1" x14ac:dyDescent="0.2">
      <c r="A34" s="49" t="s">
        <v>493</v>
      </c>
      <c r="B34" s="49" t="s">
        <v>244</v>
      </c>
      <c r="C34" s="49">
        <f xml:space="preserve"> C31*C29</f>
        <v>0</v>
      </c>
      <c r="D34" s="57"/>
      <c r="E34" s="49" t="s">
        <v>125</v>
      </c>
      <c r="F34" s="49" t="s">
        <v>224</v>
      </c>
      <c r="G34" s="49" t="s">
        <v>21</v>
      </c>
      <c r="H34" s="29" t="s">
        <v>245</v>
      </c>
      <c r="I34" s="110" t="s">
        <v>207</v>
      </c>
      <c r="J34" s="110"/>
      <c r="K34" s="110"/>
      <c r="L34" s="110"/>
      <c r="M34" s="110"/>
      <c r="O34" s="12"/>
      <c r="P34" s="12"/>
    </row>
    <row r="35" spans="1:16" ht="22" customHeight="1" x14ac:dyDescent="0.2">
      <c r="A35" s="118" t="s">
        <v>246</v>
      </c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20"/>
    </row>
    <row r="36" spans="1:16" ht="18" customHeight="1" x14ac:dyDescent="0.2">
      <c r="A36" s="23" t="s">
        <v>5</v>
      </c>
      <c r="B36" s="23" t="s">
        <v>96</v>
      </c>
      <c r="C36" s="24" t="s">
        <v>7</v>
      </c>
      <c r="D36" s="58"/>
      <c r="E36" s="24" t="s">
        <v>125</v>
      </c>
      <c r="F36" s="24" t="s">
        <v>8</v>
      </c>
      <c r="G36" s="24" t="s">
        <v>9</v>
      </c>
      <c r="H36" s="31" t="s">
        <v>10</v>
      </c>
      <c r="I36" s="111" t="s">
        <v>11</v>
      </c>
      <c r="J36" s="111"/>
      <c r="K36" s="111"/>
      <c r="L36" s="111"/>
      <c r="M36" s="111"/>
    </row>
    <row r="37" spans="1:16" ht="18" customHeight="1" x14ac:dyDescent="0.2">
      <c r="A37" s="12" t="s">
        <v>273</v>
      </c>
      <c r="B37" s="12" t="s">
        <v>247</v>
      </c>
      <c r="C37" s="13">
        <f>C4+'Initial Estimates'!C52/2</f>
        <v>66.5</v>
      </c>
      <c r="D37" s="13"/>
      <c r="E37" s="13" t="s">
        <v>125</v>
      </c>
      <c r="F37" s="12" t="s">
        <v>29</v>
      </c>
      <c r="G37" s="12" t="s">
        <v>21</v>
      </c>
      <c r="H37" s="30" t="s">
        <v>248</v>
      </c>
      <c r="I37" s="110" t="s">
        <v>207</v>
      </c>
      <c r="J37" s="110"/>
      <c r="K37" s="110"/>
      <c r="L37" s="110"/>
      <c r="M37" s="110"/>
    </row>
    <row r="38" spans="1:16" ht="18" customHeight="1" x14ac:dyDescent="0.2">
      <c r="A38" s="12" t="s">
        <v>249</v>
      </c>
      <c r="B38" s="12" t="s">
        <v>250</v>
      </c>
      <c r="C38" s="13">
        <f>C37*'Initial Estimates'!C23</f>
        <v>487777.5</v>
      </c>
      <c r="D38" s="13"/>
      <c r="E38" s="13" t="s">
        <v>125</v>
      </c>
      <c r="F38" s="12" t="s">
        <v>224</v>
      </c>
      <c r="G38" s="12" t="s">
        <v>21</v>
      </c>
      <c r="H38" s="30" t="s">
        <v>255</v>
      </c>
      <c r="I38" s="110" t="s">
        <v>207</v>
      </c>
      <c r="J38" s="110"/>
      <c r="K38" s="110"/>
      <c r="L38" s="110"/>
      <c r="M38" s="110"/>
    </row>
    <row r="39" spans="1:16" ht="22" customHeight="1" x14ac:dyDescent="0.2">
      <c r="A39" s="118" t="s">
        <v>256</v>
      </c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20"/>
    </row>
    <row r="40" spans="1:16" ht="18" customHeight="1" x14ac:dyDescent="0.2">
      <c r="A40" s="23" t="s">
        <v>5</v>
      </c>
      <c r="B40" s="23" t="s">
        <v>96</v>
      </c>
      <c r="C40" s="24" t="s">
        <v>7</v>
      </c>
      <c r="D40" s="58"/>
      <c r="E40" s="24" t="s">
        <v>125</v>
      </c>
      <c r="F40" s="24" t="s">
        <v>8</v>
      </c>
      <c r="G40" s="24" t="s">
        <v>9</v>
      </c>
      <c r="H40" s="31" t="s">
        <v>10</v>
      </c>
      <c r="I40" s="111" t="s">
        <v>11</v>
      </c>
      <c r="J40" s="111"/>
      <c r="K40" s="111"/>
      <c r="L40" s="111"/>
      <c r="M40" s="111"/>
    </row>
    <row r="41" spans="1:16" ht="18" customHeight="1" x14ac:dyDescent="0.2">
      <c r="A41" s="12" t="s">
        <v>274</v>
      </c>
      <c r="B41" s="12" t="s">
        <v>258</v>
      </c>
      <c r="C41" s="13">
        <f>C5+0.4*'Initial Estimates'!C56</f>
        <v>65.599999999999994</v>
      </c>
      <c r="D41" s="13"/>
      <c r="E41" s="13" t="s">
        <v>125</v>
      </c>
      <c r="F41" s="12" t="s">
        <v>29</v>
      </c>
      <c r="G41" s="12" t="s">
        <v>21</v>
      </c>
      <c r="H41" s="30" t="s">
        <v>260</v>
      </c>
      <c r="I41" s="110" t="s">
        <v>207</v>
      </c>
      <c r="J41" s="110"/>
      <c r="K41" s="110"/>
      <c r="L41" s="110"/>
      <c r="M41" s="110"/>
    </row>
    <row r="42" spans="1:16" ht="18" customHeight="1" x14ac:dyDescent="0.2">
      <c r="A42" s="12" t="s">
        <v>257</v>
      </c>
      <c r="B42" s="12" t="s">
        <v>261</v>
      </c>
      <c r="C42" s="13">
        <f>C41*'Initial Estimates'!C38</f>
        <v>67959.205600000001</v>
      </c>
      <c r="D42" s="13"/>
      <c r="E42" s="13" t="s">
        <v>125</v>
      </c>
      <c r="F42" s="12" t="s">
        <v>224</v>
      </c>
      <c r="G42" s="12" t="s">
        <v>21</v>
      </c>
      <c r="H42" s="30" t="s">
        <v>262</v>
      </c>
      <c r="I42" s="110" t="s">
        <v>207</v>
      </c>
      <c r="J42" s="110"/>
      <c r="K42" s="110"/>
      <c r="L42" s="110"/>
      <c r="M42" s="110"/>
    </row>
    <row r="43" spans="1:16" ht="22" customHeight="1" x14ac:dyDescent="0.2">
      <c r="A43" s="118" t="s">
        <v>263</v>
      </c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20"/>
    </row>
    <row r="44" spans="1:16" ht="18" customHeight="1" x14ac:dyDescent="0.2">
      <c r="A44" s="23" t="s">
        <v>5</v>
      </c>
      <c r="B44" s="23" t="s">
        <v>96</v>
      </c>
      <c r="C44" s="24" t="s">
        <v>7</v>
      </c>
      <c r="D44" s="58"/>
      <c r="E44" s="24" t="s">
        <v>125</v>
      </c>
      <c r="F44" s="24" t="s">
        <v>8</v>
      </c>
      <c r="G44" s="24" t="s">
        <v>9</v>
      </c>
      <c r="H44" s="31" t="s">
        <v>10</v>
      </c>
      <c r="I44" s="111" t="s">
        <v>11</v>
      </c>
      <c r="J44" s="111"/>
      <c r="K44" s="111"/>
      <c r="L44" s="111"/>
      <c r="M44" s="111"/>
    </row>
    <row r="45" spans="1:16" ht="18" customHeight="1" x14ac:dyDescent="0.2">
      <c r="A45" s="12" t="s">
        <v>268</v>
      </c>
      <c r="B45" s="12" t="s">
        <v>270</v>
      </c>
      <c r="C45" s="13">
        <f>C10+0.42</f>
        <v>81.42</v>
      </c>
      <c r="D45" s="13"/>
      <c r="E45" s="13" t="s">
        <v>125</v>
      </c>
      <c r="F45" s="12" t="s">
        <v>29</v>
      </c>
      <c r="G45" s="12" t="s">
        <v>21</v>
      </c>
      <c r="H45" s="30" t="s">
        <v>276</v>
      </c>
      <c r="I45" s="110" t="s">
        <v>207</v>
      </c>
      <c r="J45" s="110"/>
      <c r="K45" s="110"/>
      <c r="L45" s="110"/>
      <c r="M45" s="110"/>
    </row>
    <row r="46" spans="1:16" ht="18" customHeight="1" x14ac:dyDescent="0.2">
      <c r="A46" s="12" t="s">
        <v>269</v>
      </c>
      <c r="B46" s="12" t="s">
        <v>271</v>
      </c>
      <c r="C46" s="13">
        <f>C11+0.42</f>
        <v>81.42</v>
      </c>
      <c r="D46" s="13"/>
      <c r="E46" s="13" t="s">
        <v>125</v>
      </c>
      <c r="F46" s="12" t="s">
        <v>29</v>
      </c>
      <c r="G46" s="12" t="s">
        <v>21</v>
      </c>
      <c r="H46" s="30" t="s">
        <v>276</v>
      </c>
      <c r="I46" s="110" t="s">
        <v>207</v>
      </c>
      <c r="J46" s="110"/>
      <c r="K46" s="110"/>
      <c r="L46" s="110"/>
      <c r="M46" s="110"/>
    </row>
    <row r="47" spans="1:16" ht="18" customHeight="1" x14ac:dyDescent="0.2">
      <c r="A47" s="12" t="s">
        <v>266</v>
      </c>
      <c r="B47" s="12" t="s">
        <v>267</v>
      </c>
      <c r="C47" s="13">
        <f>C46*'Initial Estimates'!C34</f>
        <v>104402.95263</v>
      </c>
      <c r="D47" s="13"/>
      <c r="E47" s="13" t="s">
        <v>125</v>
      </c>
      <c r="F47" s="12" t="s">
        <v>224</v>
      </c>
      <c r="G47" s="12" t="s">
        <v>21</v>
      </c>
      <c r="H47" s="30" t="s">
        <v>277</v>
      </c>
      <c r="I47" s="110" t="s">
        <v>207</v>
      </c>
      <c r="J47" s="110"/>
      <c r="K47" s="110"/>
      <c r="L47" s="110"/>
      <c r="M47" s="110"/>
    </row>
    <row r="48" spans="1:16" ht="22" customHeight="1" x14ac:dyDescent="0.2">
      <c r="A48" s="118" t="s">
        <v>264</v>
      </c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20"/>
    </row>
    <row r="49" spans="1:13" ht="18" customHeight="1" x14ac:dyDescent="0.2">
      <c r="A49" s="23" t="s">
        <v>5</v>
      </c>
      <c r="B49" s="23" t="s">
        <v>96</v>
      </c>
      <c r="C49" s="24" t="s">
        <v>7</v>
      </c>
      <c r="D49" s="58"/>
      <c r="E49" s="24" t="s">
        <v>125</v>
      </c>
      <c r="F49" s="24" t="s">
        <v>8</v>
      </c>
      <c r="G49" s="24" t="s">
        <v>9</v>
      </c>
      <c r="H49" s="31" t="s">
        <v>10</v>
      </c>
      <c r="I49" s="111" t="s">
        <v>11</v>
      </c>
      <c r="J49" s="111"/>
      <c r="K49" s="111"/>
      <c r="L49" s="111"/>
      <c r="M49" s="111"/>
    </row>
    <row r="50" spans="1:13" ht="18" customHeight="1" x14ac:dyDescent="0.2">
      <c r="A50" s="12" t="s">
        <v>272</v>
      </c>
      <c r="B50" s="12" t="s">
        <v>275</v>
      </c>
      <c r="C50" s="12">
        <f>C8+0.47*'Initial Estimates'!C50</f>
        <v>47.639899999999997</v>
      </c>
      <c r="E50" s="13" t="s">
        <v>125</v>
      </c>
      <c r="F50" s="12" t="s">
        <v>29</v>
      </c>
      <c r="G50" s="12" t="s">
        <v>21</v>
      </c>
      <c r="H50" s="30" t="s">
        <v>278</v>
      </c>
      <c r="I50" s="110" t="s">
        <v>207</v>
      </c>
      <c r="J50" s="110"/>
      <c r="K50" s="110"/>
      <c r="L50" s="110"/>
      <c r="M50" s="110"/>
    </row>
    <row r="51" spans="1:13" ht="18" customHeight="1" x14ac:dyDescent="0.2">
      <c r="A51" s="12" t="s">
        <v>279</v>
      </c>
      <c r="B51" s="12" t="s">
        <v>280</v>
      </c>
      <c r="C51" s="12">
        <f>C50*'Initial Estimates'!C35</f>
        <v>362383.61832749995</v>
      </c>
      <c r="E51" s="13" t="s">
        <v>125</v>
      </c>
      <c r="F51" s="12" t="s">
        <v>224</v>
      </c>
      <c r="G51" s="12" t="s">
        <v>21</v>
      </c>
      <c r="H51" s="30" t="s">
        <v>281</v>
      </c>
      <c r="I51" s="110" t="s">
        <v>207</v>
      </c>
      <c r="J51" s="110"/>
      <c r="K51" s="110"/>
      <c r="L51" s="110"/>
      <c r="M51" s="110"/>
    </row>
    <row r="52" spans="1:13" ht="22" customHeight="1" x14ac:dyDescent="0.2">
      <c r="A52" s="118" t="s">
        <v>265</v>
      </c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20"/>
    </row>
    <row r="53" spans="1:13" ht="18" customHeight="1" x14ac:dyDescent="0.2">
      <c r="A53" s="23" t="s">
        <v>5</v>
      </c>
      <c r="B53" s="23" t="s">
        <v>96</v>
      </c>
      <c r="C53" s="24" t="s">
        <v>7</v>
      </c>
      <c r="D53" s="58"/>
      <c r="E53" s="24" t="s">
        <v>125</v>
      </c>
      <c r="F53" s="24" t="s">
        <v>8</v>
      </c>
      <c r="G53" s="24" t="s">
        <v>9</v>
      </c>
      <c r="H53" s="31" t="s">
        <v>10</v>
      </c>
      <c r="I53" s="111" t="s">
        <v>11</v>
      </c>
      <c r="J53" s="111"/>
      <c r="K53" s="111"/>
      <c r="L53" s="111"/>
      <c r="M53" s="111"/>
    </row>
    <row r="54" spans="1:13" ht="18" customHeight="1" x14ac:dyDescent="0.2">
      <c r="A54" s="12" t="s">
        <v>282</v>
      </c>
      <c r="B54" s="12" t="s">
        <v>283</v>
      </c>
      <c r="C54" s="12">
        <f>C6+2/3*C7</f>
        <v>30.6</v>
      </c>
      <c r="E54" s="12" t="s">
        <v>125</v>
      </c>
      <c r="F54" s="12" t="s">
        <v>29</v>
      </c>
      <c r="G54" s="12" t="s">
        <v>21</v>
      </c>
      <c r="H54" s="30" t="s">
        <v>294</v>
      </c>
      <c r="I54" s="110" t="s">
        <v>207</v>
      </c>
      <c r="J54" s="110"/>
      <c r="K54" s="110"/>
      <c r="L54" s="110"/>
      <c r="M54" s="110"/>
    </row>
    <row r="55" spans="1:13" ht="18" customHeight="1" x14ac:dyDescent="0.2">
      <c r="A55" s="12" t="s">
        <v>284</v>
      </c>
      <c r="B55" s="12" t="s">
        <v>285</v>
      </c>
      <c r="C55" s="12">
        <f>C54*'Initial Estimates'!C36</f>
        <v>102638.62710000001</v>
      </c>
      <c r="E55" s="12" t="s">
        <v>125</v>
      </c>
      <c r="F55" s="12" t="s">
        <v>224</v>
      </c>
      <c r="G55" s="12" t="s">
        <v>21</v>
      </c>
      <c r="H55" s="29" t="s">
        <v>286</v>
      </c>
      <c r="I55" s="110" t="s">
        <v>207</v>
      </c>
      <c r="J55" s="110"/>
      <c r="K55" s="110"/>
      <c r="L55" s="110"/>
      <c r="M55" s="110"/>
    </row>
    <row r="56" spans="1:13" ht="22" customHeight="1" x14ac:dyDescent="0.2">
      <c r="A56" s="118" t="s">
        <v>490</v>
      </c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20"/>
    </row>
    <row r="57" spans="1:13" ht="18" customHeight="1" x14ac:dyDescent="0.2">
      <c r="A57" s="23" t="s">
        <v>5</v>
      </c>
      <c r="B57" s="23" t="s">
        <v>96</v>
      </c>
      <c r="C57" s="24" t="s">
        <v>7</v>
      </c>
      <c r="D57" s="58"/>
      <c r="E57" s="24" t="s">
        <v>125</v>
      </c>
      <c r="F57" s="24" t="s">
        <v>8</v>
      </c>
      <c r="G57" s="24" t="s">
        <v>9</v>
      </c>
      <c r="H57" s="31" t="s">
        <v>10</v>
      </c>
      <c r="I57" s="111" t="s">
        <v>11</v>
      </c>
      <c r="J57" s="111"/>
      <c r="K57" s="111"/>
      <c r="L57" s="111"/>
      <c r="M57" s="111"/>
    </row>
    <row r="58" spans="1:13" ht="18" customHeight="1" x14ac:dyDescent="0.2">
      <c r="A58" s="12" t="s">
        <v>287</v>
      </c>
      <c r="B58" s="12" t="s">
        <v>291</v>
      </c>
      <c r="C58" s="12">
        <f xml:space="preserve"> $C$14+'Initial Estimates'!$C$53/2</f>
        <v>29</v>
      </c>
      <c r="E58" s="12" t="s">
        <v>125</v>
      </c>
      <c r="F58" s="12" t="s">
        <v>29</v>
      </c>
      <c r="G58" s="12" t="s">
        <v>21</v>
      </c>
      <c r="H58" s="30" t="s">
        <v>295</v>
      </c>
      <c r="I58" s="110" t="s">
        <v>207</v>
      </c>
      <c r="J58" s="110"/>
      <c r="K58" s="110"/>
      <c r="L58" s="110"/>
      <c r="M58" s="110"/>
    </row>
    <row r="59" spans="1:13" ht="18" customHeight="1" x14ac:dyDescent="0.2">
      <c r="A59" s="12" t="s">
        <v>288</v>
      </c>
      <c r="B59" s="12" t="s">
        <v>292</v>
      </c>
      <c r="C59" s="12">
        <f xml:space="preserve"> $C$15+'Initial Estimates'!$C$53/2</f>
        <v>41</v>
      </c>
      <c r="E59" s="12" t="s">
        <v>125</v>
      </c>
      <c r="F59" s="12" t="s">
        <v>29</v>
      </c>
      <c r="G59" s="12" t="s">
        <v>21</v>
      </c>
      <c r="H59" s="30" t="s">
        <v>296</v>
      </c>
      <c r="I59" s="110" t="s">
        <v>207</v>
      </c>
      <c r="J59" s="110"/>
      <c r="K59" s="110"/>
      <c r="L59" s="110"/>
      <c r="M59" s="110"/>
    </row>
    <row r="60" spans="1:13" ht="18" customHeight="1" x14ac:dyDescent="0.2">
      <c r="A60" s="12" t="s">
        <v>290</v>
      </c>
      <c r="B60" s="12" t="s">
        <v>293</v>
      </c>
      <c r="C60" s="12">
        <f xml:space="preserve"> $C$16+'Initial Estimates'!$C$53/2</f>
        <v>52.5</v>
      </c>
      <c r="E60" s="12" t="s">
        <v>125</v>
      </c>
      <c r="F60" s="12" t="s">
        <v>29</v>
      </c>
      <c r="G60" s="12" t="s">
        <v>21</v>
      </c>
      <c r="H60" s="30" t="s">
        <v>296</v>
      </c>
      <c r="I60" s="110" t="s">
        <v>207</v>
      </c>
      <c r="J60" s="110"/>
      <c r="K60" s="110"/>
      <c r="L60" s="110"/>
      <c r="M60" s="110"/>
    </row>
    <row r="61" spans="1:13" ht="18" customHeight="1" x14ac:dyDescent="0.2">
      <c r="A61" s="12" t="s">
        <v>297</v>
      </c>
      <c r="B61" s="12" t="s">
        <v>300</v>
      </c>
      <c r="C61" s="12">
        <f>'Initial Estimates'!$C$44*('Initial Estimates'!$C$40+'Initial Estimates'!$C$43)</f>
        <v>980</v>
      </c>
      <c r="E61" s="12" t="s">
        <v>125</v>
      </c>
      <c r="F61" s="12" t="s">
        <v>223</v>
      </c>
      <c r="G61" s="12" t="s">
        <v>21</v>
      </c>
      <c r="H61" s="29" t="s">
        <v>310</v>
      </c>
      <c r="I61" s="110" t="s">
        <v>207</v>
      </c>
      <c r="J61" s="110"/>
      <c r="K61" s="110"/>
      <c r="L61" s="110"/>
      <c r="M61" s="110"/>
    </row>
    <row r="62" spans="1:13" ht="18" customHeight="1" x14ac:dyDescent="0.2">
      <c r="A62" s="12" t="s">
        <v>298</v>
      </c>
      <c r="B62" s="12" t="s">
        <v>301</v>
      </c>
      <c r="C62" s="49">
        <f>'Initial Estimates'!$C$45*('Initial Estimates'!$C$40+'Initial Estimates'!$C$43)</f>
        <v>980</v>
      </c>
      <c r="E62" s="12" t="s">
        <v>125</v>
      </c>
      <c r="F62" s="12" t="s">
        <v>223</v>
      </c>
      <c r="G62" s="12" t="s">
        <v>21</v>
      </c>
      <c r="H62" s="29" t="s">
        <v>310</v>
      </c>
      <c r="I62" s="110" t="s">
        <v>207</v>
      </c>
      <c r="J62" s="110"/>
      <c r="K62" s="110"/>
      <c r="L62" s="110"/>
      <c r="M62" s="110"/>
    </row>
    <row r="63" spans="1:13" ht="18" customHeight="1" x14ac:dyDescent="0.2">
      <c r="A63" s="12" t="s">
        <v>299</v>
      </c>
      <c r="B63" s="12" t="s">
        <v>302</v>
      </c>
      <c r="C63" s="49">
        <f>'Initial Estimates'!$C$46*('Initial Estimates'!$C$40+'Initial Estimates'!$C$43)</f>
        <v>980</v>
      </c>
      <c r="E63" s="12" t="s">
        <v>125</v>
      </c>
      <c r="F63" s="12" t="s">
        <v>223</v>
      </c>
      <c r="G63" s="12" t="s">
        <v>21</v>
      </c>
      <c r="H63" s="29" t="s">
        <v>310</v>
      </c>
      <c r="I63" s="110" t="s">
        <v>207</v>
      </c>
      <c r="J63" s="110"/>
      <c r="K63" s="110"/>
      <c r="L63" s="110"/>
      <c r="M63" s="110"/>
    </row>
    <row r="64" spans="1:13" ht="18" customHeight="1" x14ac:dyDescent="0.2">
      <c r="A64" s="12" t="s">
        <v>311</v>
      </c>
      <c r="B64" s="12" t="s">
        <v>312</v>
      </c>
      <c r="C64" s="12">
        <f xml:space="preserve"> 2*'Initial Estimates'!$C$42+2*'Initial Estimates'!$C$43</f>
        <v>480</v>
      </c>
      <c r="E64" s="12" t="s">
        <v>125</v>
      </c>
      <c r="F64" s="12" t="s">
        <v>223</v>
      </c>
      <c r="G64" s="12" t="s">
        <v>21</v>
      </c>
      <c r="H64" s="29" t="s">
        <v>313</v>
      </c>
      <c r="I64" s="110" t="s">
        <v>207</v>
      </c>
      <c r="J64" s="110"/>
      <c r="K64" s="110"/>
      <c r="L64" s="110"/>
      <c r="M64" s="110"/>
    </row>
    <row r="65" spans="1:16" ht="18" customHeight="1" x14ac:dyDescent="0.2">
      <c r="A65" s="12" t="s">
        <v>314</v>
      </c>
      <c r="B65" s="12" t="s">
        <v>201</v>
      </c>
      <c r="C65" s="12">
        <f xml:space="preserve"> 'Initial Estimates'!$C$41+'Initial Estimates'!$C$43</f>
        <v>230</v>
      </c>
      <c r="E65" s="12" t="s">
        <v>125</v>
      </c>
      <c r="F65" s="12" t="s">
        <v>223</v>
      </c>
      <c r="G65" s="12" t="s">
        <v>21</v>
      </c>
      <c r="H65" s="29" t="s">
        <v>313</v>
      </c>
      <c r="I65" s="110" t="s">
        <v>207</v>
      </c>
      <c r="J65" s="110"/>
      <c r="K65" s="110"/>
      <c r="L65" s="110"/>
      <c r="M65" s="110"/>
    </row>
    <row r="66" spans="1:16" ht="18" customHeight="1" x14ac:dyDescent="0.2">
      <c r="A66" s="12" t="s">
        <v>315</v>
      </c>
      <c r="B66" s="12" t="s">
        <v>316</v>
      </c>
      <c r="C66" s="12">
        <f xml:space="preserve"> C61*C58</f>
        <v>28420</v>
      </c>
      <c r="E66" s="12" t="s">
        <v>125</v>
      </c>
      <c r="F66" s="12" t="s">
        <v>224</v>
      </c>
      <c r="G66" s="12" t="s">
        <v>21</v>
      </c>
      <c r="H66" s="29" t="s">
        <v>321</v>
      </c>
      <c r="I66" s="110" t="s">
        <v>207</v>
      </c>
      <c r="J66" s="110"/>
      <c r="K66" s="110"/>
      <c r="L66" s="110"/>
      <c r="M66" s="110"/>
    </row>
    <row r="67" spans="1:16" ht="18" customHeight="1" x14ac:dyDescent="0.2">
      <c r="A67" s="12" t="s">
        <v>317</v>
      </c>
      <c r="B67" s="12" t="s">
        <v>319</v>
      </c>
      <c r="C67" s="12">
        <f xml:space="preserve"> C62*C59</f>
        <v>40180</v>
      </c>
      <c r="E67" s="12" t="s">
        <v>125</v>
      </c>
      <c r="F67" s="12" t="s">
        <v>224</v>
      </c>
      <c r="G67" s="12" t="s">
        <v>21</v>
      </c>
      <c r="H67" s="29" t="s">
        <v>321</v>
      </c>
      <c r="I67" s="110" t="s">
        <v>207</v>
      </c>
      <c r="J67" s="110"/>
      <c r="K67" s="110"/>
      <c r="L67" s="110"/>
      <c r="M67" s="110"/>
    </row>
    <row r="68" spans="1:16" ht="18" customHeight="1" x14ac:dyDescent="0.2">
      <c r="A68" s="12" t="s">
        <v>318</v>
      </c>
      <c r="B68" s="12" t="s">
        <v>320</v>
      </c>
      <c r="C68" s="12">
        <f xml:space="preserve"> C63*C60</f>
        <v>51450</v>
      </c>
      <c r="E68" s="12" t="s">
        <v>125</v>
      </c>
      <c r="F68" s="12" t="s">
        <v>224</v>
      </c>
      <c r="G68" s="12" t="s">
        <v>21</v>
      </c>
      <c r="H68" s="29" t="s">
        <v>321</v>
      </c>
      <c r="I68" s="110" t="s">
        <v>207</v>
      </c>
      <c r="J68" s="110"/>
      <c r="K68" s="110"/>
      <c r="L68" s="110"/>
      <c r="M68" s="110"/>
      <c r="O68" s="49"/>
      <c r="P68" s="49"/>
    </row>
    <row r="69" spans="1:16" ht="18" customHeight="1" x14ac:dyDescent="0.2">
      <c r="A69" s="12" t="s">
        <v>322</v>
      </c>
      <c r="B69" s="12" t="s">
        <v>323</v>
      </c>
      <c r="C69" s="12">
        <f>$C$12*C64</f>
        <v>2400</v>
      </c>
      <c r="E69" s="12" t="s">
        <v>125</v>
      </c>
      <c r="F69" s="12" t="s">
        <v>224</v>
      </c>
      <c r="G69" s="12" t="s">
        <v>21</v>
      </c>
      <c r="H69" s="29" t="s">
        <v>326</v>
      </c>
      <c r="I69" s="110" t="s">
        <v>207</v>
      </c>
      <c r="J69" s="110"/>
      <c r="K69" s="110"/>
      <c r="L69" s="110"/>
      <c r="M69" s="110"/>
      <c r="O69" s="49"/>
      <c r="P69" s="49"/>
    </row>
    <row r="70" spans="1:16" ht="18" customHeight="1" x14ac:dyDescent="0.2">
      <c r="A70" s="12" t="s">
        <v>324</v>
      </c>
      <c r="B70" s="12" t="s">
        <v>325</v>
      </c>
      <c r="C70" s="12">
        <f>C65*$C$13</f>
        <v>3450</v>
      </c>
      <c r="E70" s="12" t="s">
        <v>125</v>
      </c>
      <c r="F70" s="12" t="s">
        <v>224</v>
      </c>
      <c r="G70" s="12" t="s">
        <v>21</v>
      </c>
      <c r="H70" s="29" t="s">
        <v>326</v>
      </c>
      <c r="I70" s="110" t="s">
        <v>207</v>
      </c>
      <c r="J70" s="110"/>
      <c r="K70" s="110"/>
      <c r="L70" s="110"/>
      <c r="M70" s="110"/>
      <c r="O70" s="49"/>
      <c r="P70" s="49"/>
    </row>
    <row r="71" spans="1:16" s="49" customFormat="1" ht="22" customHeight="1" x14ac:dyDescent="0.2">
      <c r="A71" s="118" t="s">
        <v>491</v>
      </c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20"/>
    </row>
    <row r="72" spans="1:16" s="49" customFormat="1" ht="18" customHeight="1" x14ac:dyDescent="0.2">
      <c r="A72" s="23" t="s">
        <v>5</v>
      </c>
      <c r="B72" s="23" t="s">
        <v>96</v>
      </c>
      <c r="C72" s="50" t="s">
        <v>7</v>
      </c>
      <c r="D72" s="58"/>
      <c r="E72" s="50" t="s">
        <v>125</v>
      </c>
      <c r="F72" s="50" t="s">
        <v>8</v>
      </c>
      <c r="G72" s="50" t="s">
        <v>9</v>
      </c>
      <c r="H72" s="31" t="s">
        <v>10</v>
      </c>
      <c r="I72" s="111" t="s">
        <v>11</v>
      </c>
      <c r="J72" s="111"/>
      <c r="K72" s="111"/>
      <c r="L72" s="111"/>
      <c r="M72" s="111"/>
    </row>
    <row r="73" spans="1:16" s="49" customFormat="1" ht="18" customHeight="1" x14ac:dyDescent="0.2">
      <c r="A73" s="49" t="s">
        <v>287</v>
      </c>
      <c r="B73" s="49" t="s">
        <v>291</v>
      </c>
      <c r="C73" s="49">
        <f xml:space="preserve"> $C$14+'Initial Estimates'!$C$53/2</f>
        <v>29</v>
      </c>
      <c r="D73" s="57"/>
      <c r="E73" s="49" t="s">
        <v>125</v>
      </c>
      <c r="F73" s="49" t="s">
        <v>29</v>
      </c>
      <c r="G73" s="49" t="s">
        <v>21</v>
      </c>
      <c r="H73" s="30" t="s">
        <v>295</v>
      </c>
      <c r="I73" s="110" t="s">
        <v>207</v>
      </c>
      <c r="J73" s="110"/>
      <c r="K73" s="110"/>
      <c r="L73" s="110"/>
      <c r="M73" s="110"/>
    </row>
    <row r="74" spans="1:16" s="49" customFormat="1" ht="18" customHeight="1" x14ac:dyDescent="0.2">
      <c r="A74" s="49" t="s">
        <v>288</v>
      </c>
      <c r="B74" s="49" t="s">
        <v>292</v>
      </c>
      <c r="C74" s="49">
        <f xml:space="preserve"> $C$15+'Initial Estimates'!$C$53/2</f>
        <v>41</v>
      </c>
      <c r="D74" s="57"/>
      <c r="E74" s="49" t="s">
        <v>125</v>
      </c>
      <c r="F74" s="49" t="s">
        <v>29</v>
      </c>
      <c r="G74" s="49" t="s">
        <v>21</v>
      </c>
      <c r="H74" s="30" t="s">
        <v>296</v>
      </c>
      <c r="I74" s="110" t="s">
        <v>207</v>
      </c>
      <c r="J74" s="110"/>
      <c r="K74" s="110"/>
      <c r="L74" s="110"/>
      <c r="M74" s="110"/>
    </row>
    <row r="75" spans="1:16" s="49" customFormat="1" ht="18" customHeight="1" x14ac:dyDescent="0.2">
      <c r="A75" s="49" t="s">
        <v>290</v>
      </c>
      <c r="B75" s="49" t="s">
        <v>293</v>
      </c>
      <c r="C75" s="49">
        <f xml:space="preserve"> $C$16+'Initial Estimates'!$C$53/2</f>
        <v>52.5</v>
      </c>
      <c r="D75" s="57"/>
      <c r="E75" s="49" t="s">
        <v>125</v>
      </c>
      <c r="F75" s="49" t="s">
        <v>29</v>
      </c>
      <c r="G75" s="49" t="s">
        <v>21</v>
      </c>
      <c r="H75" s="30" t="s">
        <v>296</v>
      </c>
      <c r="I75" s="110" t="s">
        <v>207</v>
      </c>
      <c r="J75" s="110"/>
      <c r="K75" s="110"/>
      <c r="L75" s="110"/>
      <c r="M75" s="110"/>
    </row>
    <row r="76" spans="1:16" s="49" customFormat="1" ht="18" customHeight="1" x14ac:dyDescent="0.2">
      <c r="A76" s="49" t="s">
        <v>297</v>
      </c>
      <c r="B76" s="49" t="s">
        <v>300</v>
      </c>
      <c r="C76" s="49">
        <f>'Initial Estimates'!$C$44*('Initial Estimates'!$C$40)</f>
        <v>180</v>
      </c>
      <c r="D76" s="57"/>
      <c r="E76" s="49" t="s">
        <v>125</v>
      </c>
      <c r="F76" s="49" t="s">
        <v>223</v>
      </c>
      <c r="G76" s="49" t="s">
        <v>21</v>
      </c>
      <c r="H76" s="29" t="s">
        <v>310</v>
      </c>
      <c r="I76" s="110" t="s">
        <v>207</v>
      </c>
      <c r="J76" s="110"/>
      <c r="K76" s="110"/>
      <c r="L76" s="110"/>
      <c r="M76" s="110"/>
    </row>
    <row r="77" spans="1:16" s="49" customFormat="1" ht="18" customHeight="1" x14ac:dyDescent="0.2">
      <c r="A77" s="49" t="s">
        <v>298</v>
      </c>
      <c r="B77" s="49" t="s">
        <v>301</v>
      </c>
      <c r="C77" s="49">
        <f>'Initial Estimates'!$C$45*('Initial Estimates'!$C$40)</f>
        <v>180</v>
      </c>
      <c r="D77" s="57"/>
      <c r="E77" s="49" t="s">
        <v>125</v>
      </c>
      <c r="F77" s="49" t="s">
        <v>223</v>
      </c>
      <c r="G77" s="49" t="s">
        <v>21</v>
      </c>
      <c r="H77" s="29" t="s">
        <v>310</v>
      </c>
      <c r="I77" s="110" t="s">
        <v>207</v>
      </c>
      <c r="J77" s="110"/>
      <c r="K77" s="110"/>
      <c r="L77" s="110"/>
      <c r="M77" s="110"/>
    </row>
    <row r="78" spans="1:16" s="49" customFormat="1" ht="18" customHeight="1" x14ac:dyDescent="0.2">
      <c r="A78" s="49" t="s">
        <v>299</v>
      </c>
      <c r="B78" s="49" t="s">
        <v>302</v>
      </c>
      <c r="C78" s="49">
        <f>'Initial Estimates'!$C$46*('Initial Estimates'!$C$40)</f>
        <v>180</v>
      </c>
      <c r="D78" s="57"/>
      <c r="E78" s="49" t="s">
        <v>125</v>
      </c>
      <c r="F78" s="49" t="s">
        <v>223</v>
      </c>
      <c r="G78" s="49" t="s">
        <v>21</v>
      </c>
      <c r="H78" s="29" t="s">
        <v>310</v>
      </c>
      <c r="I78" s="110" t="s">
        <v>207</v>
      </c>
      <c r="J78" s="110"/>
      <c r="K78" s="110"/>
      <c r="L78" s="110"/>
      <c r="M78" s="110"/>
    </row>
    <row r="79" spans="1:16" s="49" customFormat="1" ht="18" customHeight="1" x14ac:dyDescent="0.2">
      <c r="A79" s="49" t="s">
        <v>311</v>
      </c>
      <c r="B79" s="49" t="s">
        <v>312</v>
      </c>
      <c r="C79" s="49">
        <f xml:space="preserve"> 2*'Initial Estimates'!$C$42+2*'Initial Estimates'!$C$43</f>
        <v>480</v>
      </c>
      <c r="D79" s="57"/>
      <c r="E79" s="49" t="s">
        <v>125</v>
      </c>
      <c r="F79" s="49" t="s">
        <v>223</v>
      </c>
      <c r="G79" s="49" t="s">
        <v>21</v>
      </c>
      <c r="H79" s="29" t="s">
        <v>313</v>
      </c>
      <c r="I79" s="110" t="s">
        <v>207</v>
      </c>
      <c r="J79" s="110"/>
      <c r="K79" s="110"/>
      <c r="L79" s="110"/>
      <c r="M79" s="110"/>
    </row>
    <row r="80" spans="1:16" s="49" customFormat="1" ht="18" customHeight="1" x14ac:dyDescent="0.2">
      <c r="A80" s="49" t="s">
        <v>314</v>
      </c>
      <c r="B80" s="49" t="s">
        <v>201</v>
      </c>
      <c r="C80" s="49">
        <f xml:space="preserve"> 'Initial Estimates'!$C$41</f>
        <v>30</v>
      </c>
      <c r="D80" s="57"/>
      <c r="E80" s="49" t="s">
        <v>125</v>
      </c>
      <c r="F80" s="49" t="s">
        <v>223</v>
      </c>
      <c r="G80" s="49" t="s">
        <v>21</v>
      </c>
      <c r="H80" s="29" t="s">
        <v>313</v>
      </c>
      <c r="I80" s="110" t="s">
        <v>207</v>
      </c>
      <c r="J80" s="110"/>
      <c r="K80" s="110"/>
      <c r="L80" s="110"/>
      <c r="M80" s="110"/>
    </row>
    <row r="81" spans="1:16" s="49" customFormat="1" ht="18" customHeight="1" x14ac:dyDescent="0.2">
      <c r="A81" s="49" t="s">
        <v>315</v>
      </c>
      <c r="B81" s="49" t="s">
        <v>316</v>
      </c>
      <c r="C81" s="49">
        <f xml:space="preserve"> C76*C73</f>
        <v>5220</v>
      </c>
      <c r="D81" s="57"/>
      <c r="E81" s="49" t="s">
        <v>125</v>
      </c>
      <c r="F81" s="49" t="s">
        <v>224</v>
      </c>
      <c r="G81" s="49" t="s">
        <v>21</v>
      </c>
      <c r="H81" s="29" t="s">
        <v>321</v>
      </c>
      <c r="I81" s="110" t="s">
        <v>207</v>
      </c>
      <c r="J81" s="110"/>
      <c r="K81" s="110"/>
      <c r="L81" s="110"/>
      <c r="M81" s="110"/>
    </row>
    <row r="82" spans="1:16" s="49" customFormat="1" ht="18" customHeight="1" x14ac:dyDescent="0.2">
      <c r="A82" s="49" t="s">
        <v>317</v>
      </c>
      <c r="B82" s="49" t="s">
        <v>319</v>
      </c>
      <c r="C82" s="49">
        <f xml:space="preserve"> C77*C74</f>
        <v>7380</v>
      </c>
      <c r="D82" s="57"/>
      <c r="E82" s="49" t="s">
        <v>125</v>
      </c>
      <c r="F82" s="49" t="s">
        <v>224</v>
      </c>
      <c r="G82" s="49" t="s">
        <v>21</v>
      </c>
      <c r="H82" s="29" t="s">
        <v>321</v>
      </c>
      <c r="I82" s="110" t="s">
        <v>207</v>
      </c>
      <c r="J82" s="110"/>
      <c r="K82" s="110"/>
      <c r="L82" s="110"/>
      <c r="M82" s="110"/>
    </row>
    <row r="83" spans="1:16" s="49" customFormat="1" ht="18" customHeight="1" x14ac:dyDescent="0.2">
      <c r="A83" s="49" t="s">
        <v>318</v>
      </c>
      <c r="B83" s="49" t="s">
        <v>320</v>
      </c>
      <c r="C83" s="49">
        <f xml:space="preserve"> C78*C75</f>
        <v>9450</v>
      </c>
      <c r="D83" s="57"/>
      <c r="E83" s="49" t="s">
        <v>125</v>
      </c>
      <c r="F83" s="49" t="s">
        <v>224</v>
      </c>
      <c r="G83" s="49" t="s">
        <v>21</v>
      </c>
      <c r="H83" s="29" t="s">
        <v>321</v>
      </c>
      <c r="I83" s="110" t="s">
        <v>207</v>
      </c>
      <c r="J83" s="110"/>
      <c r="K83" s="110"/>
      <c r="L83" s="110"/>
      <c r="M83" s="110"/>
      <c r="O83" s="12"/>
      <c r="P83" s="12"/>
    </row>
    <row r="84" spans="1:16" s="49" customFormat="1" ht="18" customHeight="1" x14ac:dyDescent="0.2">
      <c r="A84" s="49" t="s">
        <v>322</v>
      </c>
      <c r="B84" s="49" t="s">
        <v>323</v>
      </c>
      <c r="C84" s="49">
        <f>$C$12*C79</f>
        <v>2400</v>
      </c>
      <c r="D84" s="57"/>
      <c r="E84" s="49" t="s">
        <v>125</v>
      </c>
      <c r="F84" s="49" t="s">
        <v>224</v>
      </c>
      <c r="G84" s="49" t="s">
        <v>21</v>
      </c>
      <c r="H84" s="29" t="s">
        <v>326</v>
      </c>
      <c r="I84" s="110" t="s">
        <v>207</v>
      </c>
      <c r="J84" s="110"/>
      <c r="K84" s="110"/>
      <c r="L84" s="110"/>
      <c r="M84" s="110"/>
      <c r="O84" s="12"/>
      <c r="P84" s="12"/>
    </row>
    <row r="85" spans="1:16" s="49" customFormat="1" ht="18" customHeight="1" x14ac:dyDescent="0.2">
      <c r="A85" s="49" t="s">
        <v>324</v>
      </c>
      <c r="B85" s="49" t="s">
        <v>325</v>
      </c>
      <c r="C85" s="49">
        <f>C80*$C$13</f>
        <v>450</v>
      </c>
      <c r="D85" s="57"/>
      <c r="E85" s="49" t="s">
        <v>125</v>
      </c>
      <c r="F85" s="49" t="s">
        <v>224</v>
      </c>
      <c r="G85" s="49" t="s">
        <v>21</v>
      </c>
      <c r="H85" s="29" t="s">
        <v>326</v>
      </c>
      <c r="I85" s="110" t="s">
        <v>207</v>
      </c>
      <c r="J85" s="110"/>
      <c r="K85" s="110"/>
      <c r="L85" s="110"/>
      <c r="M85" s="110"/>
      <c r="O85" s="12"/>
      <c r="P85" s="12"/>
    </row>
    <row r="86" spans="1:16" ht="22" customHeight="1" x14ac:dyDescent="0.2">
      <c r="A86" s="118" t="s">
        <v>487</v>
      </c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20"/>
    </row>
    <row r="87" spans="1:16" ht="18" customHeight="1" x14ac:dyDescent="0.2">
      <c r="A87" s="23" t="s">
        <v>5</v>
      </c>
      <c r="B87" s="23" t="s">
        <v>96</v>
      </c>
      <c r="C87" s="24" t="s">
        <v>7</v>
      </c>
      <c r="D87" s="58"/>
      <c r="E87" s="24" t="s">
        <v>125</v>
      </c>
      <c r="F87" s="24" t="s">
        <v>8</v>
      </c>
      <c r="G87" s="24" t="s">
        <v>9</v>
      </c>
      <c r="H87" s="31" t="s">
        <v>10</v>
      </c>
      <c r="I87" s="111" t="s">
        <v>11</v>
      </c>
      <c r="J87" s="111"/>
      <c r="K87" s="111"/>
      <c r="L87" s="111"/>
      <c r="M87" s="111"/>
    </row>
    <row r="88" spans="1:16" ht="18" customHeight="1" x14ac:dyDescent="0.2">
      <c r="A88" s="12" t="s">
        <v>327</v>
      </c>
      <c r="B88" s="12" t="s">
        <v>328</v>
      </c>
      <c r="C88" s="13">
        <f>SUM($C$66:$C$70,$C$55,$C$51,$C$47,$C$42,$C$38,$C$32:$C$33:$C$22:$C$23)</f>
        <v>3510362.456252086</v>
      </c>
      <c r="D88" s="13"/>
      <c r="E88" s="12" t="s">
        <v>125</v>
      </c>
      <c r="F88" s="12" t="s">
        <v>224</v>
      </c>
      <c r="G88" s="12" t="s">
        <v>21</v>
      </c>
      <c r="H88" s="29" t="s">
        <v>329</v>
      </c>
      <c r="I88" s="110"/>
      <c r="J88" s="110"/>
      <c r="K88" s="110"/>
      <c r="L88" s="110"/>
      <c r="M88" s="110"/>
    </row>
    <row r="89" spans="1:16" ht="18" customHeight="1" x14ac:dyDescent="0.2">
      <c r="A89" s="12" t="s">
        <v>330</v>
      </c>
      <c r="B89" s="12" t="s">
        <v>331</v>
      </c>
      <c r="C89" s="12">
        <f>SUM($C$61:$C$65)+'Initial Estimates'!$C$39+'Initial Estimates'!$C$38+'Initial Estimates'!$C$37+'Initial Estimates'!$C$36+'Initial Estimates'!$C$35+'Initial Estimates'!$C$34+'Initial Estimates'!$C$33+'Initial Estimates'!$C$27</f>
        <v>48500.637938321612</v>
      </c>
      <c r="E89" s="12" t="s">
        <v>125</v>
      </c>
      <c r="F89" s="12" t="s">
        <v>223</v>
      </c>
      <c r="G89" s="12" t="s">
        <v>21</v>
      </c>
      <c r="H89" s="29" t="s">
        <v>332</v>
      </c>
      <c r="I89" s="110"/>
      <c r="J89" s="110"/>
      <c r="K89" s="110"/>
      <c r="L89" s="110"/>
      <c r="M89" s="110"/>
    </row>
    <row r="90" spans="1:16" ht="18" customHeight="1" x14ac:dyDescent="0.2">
      <c r="A90" s="12" t="s">
        <v>289</v>
      </c>
      <c r="B90" s="47" t="s">
        <v>333</v>
      </c>
      <c r="C90" s="47">
        <f>C88/C89</f>
        <v>72.377655335507612</v>
      </c>
      <c r="D90" s="67"/>
      <c r="E90" s="12" t="s">
        <v>125</v>
      </c>
      <c r="F90" s="12" t="s">
        <v>29</v>
      </c>
      <c r="G90" s="12" t="s">
        <v>21</v>
      </c>
      <c r="H90" s="29" t="s">
        <v>334</v>
      </c>
      <c r="I90" s="110"/>
      <c r="J90" s="110"/>
      <c r="K90" s="110"/>
      <c r="L90" s="110"/>
      <c r="M90" s="110"/>
    </row>
    <row r="91" spans="1:16" ht="18" customHeight="1" x14ac:dyDescent="0.2">
      <c r="A91" s="12" t="s">
        <v>335</v>
      </c>
      <c r="B91" s="47" t="s">
        <v>336</v>
      </c>
      <c r="C91" s="47">
        <f>(C90-$C$19)/'Initial Estimates'!$C$10*100</f>
        <v>11.468084527950836</v>
      </c>
      <c r="D91" s="67"/>
      <c r="E91" s="12" t="s">
        <v>125</v>
      </c>
      <c r="F91" s="12" t="s">
        <v>337</v>
      </c>
      <c r="G91" s="12" t="s">
        <v>21</v>
      </c>
      <c r="H91" s="29" t="s">
        <v>338</v>
      </c>
      <c r="I91" s="110"/>
      <c r="J91" s="110"/>
      <c r="K91" s="110"/>
      <c r="L91" s="110"/>
      <c r="M91" s="110"/>
      <c r="O91" s="49"/>
      <c r="P91" s="49"/>
    </row>
    <row r="92" spans="1:16" ht="18" customHeight="1" x14ac:dyDescent="0.2">
      <c r="A92" s="118" t="s">
        <v>488</v>
      </c>
      <c r="B92" s="121"/>
      <c r="C92" s="121"/>
      <c r="D92" s="121"/>
      <c r="E92" s="119"/>
      <c r="F92" s="119"/>
      <c r="G92" s="119"/>
      <c r="H92" s="119"/>
      <c r="I92" s="119"/>
      <c r="J92" s="119"/>
      <c r="K92" s="119"/>
      <c r="L92" s="119"/>
      <c r="M92" s="120"/>
      <c r="O92" s="49"/>
      <c r="P92" s="49"/>
    </row>
    <row r="93" spans="1:16" ht="18" customHeight="1" x14ac:dyDescent="0.2">
      <c r="A93" s="23" t="s">
        <v>5</v>
      </c>
      <c r="B93" s="23" t="s">
        <v>96</v>
      </c>
      <c r="C93" s="50" t="s">
        <v>7</v>
      </c>
      <c r="D93" s="58"/>
      <c r="E93" s="50" t="s">
        <v>125</v>
      </c>
      <c r="F93" s="50" t="s">
        <v>8</v>
      </c>
      <c r="G93" s="50" t="s">
        <v>9</v>
      </c>
      <c r="H93" s="31" t="s">
        <v>10</v>
      </c>
      <c r="I93" s="111" t="s">
        <v>11</v>
      </c>
      <c r="J93" s="111"/>
      <c r="K93" s="111"/>
      <c r="L93" s="111"/>
      <c r="M93" s="111"/>
      <c r="O93" s="49"/>
      <c r="P93" s="49"/>
    </row>
    <row r="94" spans="1:16" s="49" customFormat="1" ht="18" customHeight="1" x14ac:dyDescent="0.2">
      <c r="A94" s="49" t="s">
        <v>327</v>
      </c>
      <c r="B94" s="49" t="s">
        <v>328</v>
      </c>
      <c r="C94" s="13">
        <f>SUM($C$66:$C$70,$C$55,$C$51,$C$47,$C$42,$C$38,$C$32,$C$34,$C$22:$C$23)</f>
        <v>3021579.5358293517</v>
      </c>
      <c r="D94" s="13"/>
      <c r="E94" s="49" t="s">
        <v>125</v>
      </c>
      <c r="F94" s="49" t="s">
        <v>224</v>
      </c>
      <c r="G94" s="49" t="s">
        <v>21</v>
      </c>
      <c r="H94" s="29" t="s">
        <v>329</v>
      </c>
      <c r="I94" s="110"/>
      <c r="J94" s="110"/>
      <c r="K94" s="110"/>
      <c r="L94" s="110"/>
      <c r="M94" s="110"/>
    </row>
    <row r="95" spans="1:16" s="49" customFormat="1" ht="18" customHeight="1" x14ac:dyDescent="0.2">
      <c r="A95" s="49" t="s">
        <v>330</v>
      </c>
      <c r="B95" s="49" t="s">
        <v>331</v>
      </c>
      <c r="C95" s="49">
        <f>SUM($C$61:$C$65)+'Initial Estimates'!$C$39+'Initial Estimates'!$C$38+'Initial Estimates'!$C$37+'Initial Estimates'!$C$36+'Initial Estimates'!$C$35+'Initial Estimates'!$C$34+'Initial Estimates'!$C$33+'Initial Estimates'!$C$28</f>
        <v>38417.667463390797</v>
      </c>
      <c r="D95" s="57"/>
      <c r="E95" s="49" t="s">
        <v>125</v>
      </c>
      <c r="F95" s="49" t="s">
        <v>223</v>
      </c>
      <c r="G95" s="49" t="s">
        <v>21</v>
      </c>
      <c r="H95" s="29" t="s">
        <v>332</v>
      </c>
      <c r="I95" s="110"/>
      <c r="J95" s="110"/>
      <c r="K95" s="110"/>
      <c r="L95" s="110"/>
      <c r="M95" s="110"/>
    </row>
    <row r="96" spans="1:16" s="49" customFormat="1" ht="18" customHeight="1" x14ac:dyDescent="0.2">
      <c r="A96" s="49" t="s">
        <v>289</v>
      </c>
      <c r="B96" s="47" t="s">
        <v>333</v>
      </c>
      <c r="C96" s="47">
        <f>C94/C95</f>
        <v>78.650780626093294</v>
      </c>
      <c r="D96" s="67"/>
      <c r="E96" s="49" t="s">
        <v>125</v>
      </c>
      <c r="F96" s="49" t="s">
        <v>29</v>
      </c>
      <c r="G96" s="49" t="s">
        <v>21</v>
      </c>
      <c r="H96" s="29" t="s">
        <v>334</v>
      </c>
      <c r="I96" s="110"/>
      <c r="J96" s="110"/>
      <c r="K96" s="110"/>
      <c r="L96" s="110"/>
      <c r="M96" s="110"/>
    </row>
    <row r="97" spans="1:16" s="49" customFormat="1" ht="18" customHeight="1" x14ac:dyDescent="0.2">
      <c r="A97" s="49" t="s">
        <v>335</v>
      </c>
      <c r="B97" s="47" t="s">
        <v>336</v>
      </c>
      <c r="C97" s="47">
        <f>(C96-$C$19)/'Initial Estimates'!$C$10*100</f>
        <v>42.19025358331605</v>
      </c>
      <c r="D97" s="67"/>
      <c r="E97" s="49" t="s">
        <v>125</v>
      </c>
      <c r="F97" s="49" t="s">
        <v>337</v>
      </c>
      <c r="G97" s="49" t="s">
        <v>21</v>
      </c>
      <c r="H97" s="29" t="s">
        <v>338</v>
      </c>
      <c r="I97" s="110"/>
      <c r="J97" s="110"/>
      <c r="K97" s="110"/>
      <c r="L97" s="110"/>
      <c r="M97" s="110"/>
    </row>
    <row r="98" spans="1:16" s="49" customFormat="1" ht="18" customHeight="1" x14ac:dyDescent="0.2">
      <c r="A98" s="118" t="s">
        <v>494</v>
      </c>
      <c r="B98" s="121"/>
      <c r="C98" s="121"/>
      <c r="D98" s="121"/>
      <c r="E98" s="119"/>
      <c r="F98" s="119"/>
      <c r="G98" s="119"/>
      <c r="H98" s="119"/>
      <c r="I98" s="119"/>
      <c r="J98" s="119"/>
      <c r="K98" s="119"/>
      <c r="L98" s="119"/>
      <c r="M98" s="120"/>
    </row>
    <row r="99" spans="1:16" s="49" customFormat="1" ht="18" customHeight="1" x14ac:dyDescent="0.2">
      <c r="A99" s="23" t="s">
        <v>5</v>
      </c>
      <c r="B99" s="23" t="s">
        <v>96</v>
      </c>
      <c r="C99" s="50" t="s">
        <v>7</v>
      </c>
      <c r="D99" s="58"/>
      <c r="E99" s="50" t="s">
        <v>125</v>
      </c>
      <c r="F99" s="50" t="s">
        <v>8</v>
      </c>
      <c r="G99" s="50" t="s">
        <v>9</v>
      </c>
      <c r="H99" s="31" t="s">
        <v>10</v>
      </c>
      <c r="I99" s="111" t="s">
        <v>11</v>
      </c>
      <c r="J99" s="111"/>
      <c r="K99" s="111"/>
      <c r="L99" s="111"/>
      <c r="M99" s="111"/>
    </row>
    <row r="100" spans="1:16" s="49" customFormat="1" ht="18" customHeight="1" x14ac:dyDescent="0.2">
      <c r="A100" s="49" t="s">
        <v>327</v>
      </c>
      <c r="B100" s="49" t="s">
        <v>328</v>
      </c>
      <c r="C100" s="13">
        <f>SUM($C$81:$C$85,$C$55,$C$51,$C$47,$C$42,$C$38,$C$32:$C$33:$C$22:$C$23)</f>
        <v>3409362.4562520855</v>
      </c>
      <c r="D100" s="13"/>
      <c r="E100" s="49" t="s">
        <v>125</v>
      </c>
      <c r="F100" s="49" t="s">
        <v>224</v>
      </c>
      <c r="G100" s="49" t="s">
        <v>21</v>
      </c>
      <c r="H100" s="29" t="s">
        <v>329</v>
      </c>
      <c r="I100" s="110"/>
      <c r="J100" s="110"/>
      <c r="K100" s="110"/>
      <c r="L100" s="110"/>
      <c r="M100" s="110"/>
    </row>
    <row r="101" spans="1:16" s="49" customFormat="1" ht="18" customHeight="1" x14ac:dyDescent="0.2">
      <c r="A101" s="49" t="s">
        <v>330</v>
      </c>
      <c r="B101" s="49" t="s">
        <v>331</v>
      </c>
      <c r="C101" s="49">
        <f>SUM($C$76:$C$80)+'Initial Estimates'!$C$39+'Initial Estimates'!$C$38+'Initial Estimates'!$C$37+'Initial Estimates'!$C$36+'Initial Estimates'!$C$35+'Initial Estimates'!$C$34+'Initial Estimates'!$C$33+'Initial Estimates'!$C$27</f>
        <v>45900.637938321612</v>
      </c>
      <c r="D101" s="57"/>
      <c r="E101" s="49" t="s">
        <v>125</v>
      </c>
      <c r="F101" s="49" t="s">
        <v>223</v>
      </c>
      <c r="G101" s="49" t="s">
        <v>21</v>
      </c>
      <c r="H101" s="29" t="s">
        <v>332</v>
      </c>
      <c r="I101" s="110"/>
      <c r="J101" s="110"/>
      <c r="K101" s="110"/>
      <c r="L101" s="110"/>
      <c r="M101" s="110"/>
    </row>
    <row r="102" spans="1:16" s="49" customFormat="1" ht="18" customHeight="1" x14ac:dyDescent="0.2">
      <c r="A102" s="49" t="s">
        <v>289</v>
      </c>
      <c r="B102" s="47" t="s">
        <v>333</v>
      </c>
      <c r="C102" s="47">
        <f>C100/C101</f>
        <v>74.27701682127757</v>
      </c>
      <c r="D102" s="67"/>
      <c r="E102" s="49" t="s">
        <v>125</v>
      </c>
      <c r="F102" s="49" t="s">
        <v>29</v>
      </c>
      <c r="G102" s="49" t="s">
        <v>21</v>
      </c>
      <c r="H102" s="29" t="s">
        <v>334</v>
      </c>
      <c r="I102" s="110"/>
      <c r="J102" s="110"/>
      <c r="K102" s="110"/>
      <c r="L102" s="110"/>
      <c r="M102" s="110"/>
    </row>
    <row r="103" spans="1:16" s="49" customFormat="1" ht="18" customHeight="1" x14ac:dyDescent="0.2">
      <c r="A103" s="49" t="s">
        <v>335</v>
      </c>
      <c r="B103" s="47" t="s">
        <v>336</v>
      </c>
      <c r="C103" s="47">
        <f>(C102-$C$19)/'Initial Estimates'!$C$10*100</f>
        <v>20.770067504545636</v>
      </c>
      <c r="D103" s="67"/>
      <c r="E103" s="49" t="s">
        <v>125</v>
      </c>
      <c r="F103" s="49" t="s">
        <v>337</v>
      </c>
      <c r="G103" s="49" t="s">
        <v>21</v>
      </c>
      <c r="H103" s="29" t="s">
        <v>338</v>
      </c>
      <c r="I103" s="110"/>
      <c r="J103" s="110"/>
      <c r="K103" s="110"/>
      <c r="L103" s="110"/>
      <c r="M103" s="110"/>
    </row>
    <row r="104" spans="1:16" s="49" customFormat="1" ht="18" customHeight="1" x14ac:dyDescent="0.2">
      <c r="A104" s="118" t="s">
        <v>466</v>
      </c>
      <c r="B104" s="121"/>
      <c r="C104" s="121"/>
      <c r="D104" s="121"/>
      <c r="E104" s="119"/>
      <c r="F104" s="119"/>
      <c r="G104" s="119"/>
      <c r="H104" s="119"/>
      <c r="I104" s="119"/>
      <c r="J104" s="119"/>
      <c r="K104" s="119"/>
      <c r="L104" s="119"/>
      <c r="M104" s="120"/>
    </row>
    <row r="105" spans="1:16" s="49" customFormat="1" ht="18" customHeight="1" x14ac:dyDescent="0.2">
      <c r="A105" s="23" t="s">
        <v>5</v>
      </c>
      <c r="B105" s="23" t="s">
        <v>96</v>
      </c>
      <c r="C105" s="50" t="s">
        <v>7</v>
      </c>
      <c r="D105" s="58"/>
      <c r="E105" s="50" t="s">
        <v>125</v>
      </c>
      <c r="F105" s="50" t="s">
        <v>8</v>
      </c>
      <c r="G105" s="50" t="s">
        <v>9</v>
      </c>
      <c r="H105" s="31" t="s">
        <v>10</v>
      </c>
      <c r="I105" s="111" t="s">
        <v>11</v>
      </c>
      <c r="J105" s="111"/>
      <c r="K105" s="111"/>
      <c r="L105" s="111"/>
      <c r="M105" s="111"/>
    </row>
    <row r="106" spans="1:16" s="49" customFormat="1" ht="18" customHeight="1" x14ac:dyDescent="0.2">
      <c r="A106" s="49" t="s">
        <v>327</v>
      </c>
      <c r="B106" s="49" t="s">
        <v>328</v>
      </c>
      <c r="C106" s="13">
        <f>SUM($C$81:$C$85,$C$55,$C$51,$C$47,$C$42,$C$38,$C$32,$C$34,$C$22:$C$23)</f>
        <v>2920579.5358293517</v>
      </c>
      <c r="D106" s="13"/>
      <c r="E106" s="49" t="s">
        <v>125</v>
      </c>
      <c r="F106" s="49" t="s">
        <v>224</v>
      </c>
      <c r="G106" s="49" t="s">
        <v>21</v>
      </c>
      <c r="H106" s="29" t="s">
        <v>329</v>
      </c>
      <c r="I106" s="110"/>
      <c r="J106" s="110"/>
      <c r="K106" s="110"/>
      <c r="L106" s="110"/>
      <c r="M106" s="110"/>
    </row>
    <row r="107" spans="1:16" s="49" customFormat="1" ht="18" customHeight="1" x14ac:dyDescent="0.2">
      <c r="A107" s="49" t="s">
        <v>330</v>
      </c>
      <c r="B107" s="49" t="s">
        <v>331</v>
      </c>
      <c r="C107" s="49">
        <f>SUM($C$76:$C$80)+'Initial Estimates'!$C$39+'Initial Estimates'!$C$38+'Initial Estimates'!$C$37+'Initial Estimates'!$C$36+'Initial Estimates'!$C$35+'Initial Estimates'!$C$34+'Initial Estimates'!$C$33+'Initial Estimates'!$C$28</f>
        <v>35817.667463390797</v>
      </c>
      <c r="D107" s="57"/>
      <c r="E107" s="49" t="s">
        <v>125</v>
      </c>
      <c r="F107" s="49" t="s">
        <v>223</v>
      </c>
      <c r="G107" s="49" t="s">
        <v>21</v>
      </c>
      <c r="H107" s="29" t="s">
        <v>332</v>
      </c>
      <c r="I107" s="110"/>
      <c r="J107" s="110"/>
      <c r="K107" s="110"/>
      <c r="L107" s="110"/>
      <c r="M107" s="110"/>
      <c r="O107" s="12"/>
      <c r="P107" s="12"/>
    </row>
    <row r="108" spans="1:16" s="49" customFormat="1" ht="18" customHeight="1" x14ac:dyDescent="0.2">
      <c r="A108" s="49" t="s">
        <v>289</v>
      </c>
      <c r="B108" s="47" t="s">
        <v>333</v>
      </c>
      <c r="C108" s="47">
        <f>C106/C107</f>
        <v>81.540193504070956</v>
      </c>
      <c r="D108" s="67"/>
      <c r="E108" s="49" t="s">
        <v>125</v>
      </c>
      <c r="F108" s="49" t="s">
        <v>29</v>
      </c>
      <c r="G108" s="49" t="s">
        <v>21</v>
      </c>
      <c r="H108" s="29" t="s">
        <v>334</v>
      </c>
      <c r="I108" s="110"/>
      <c r="J108" s="110"/>
      <c r="K108" s="110"/>
      <c r="L108" s="110"/>
      <c r="M108" s="110"/>
      <c r="O108" s="12"/>
      <c r="P108" s="12"/>
    </row>
    <row r="109" spans="1:16" s="49" customFormat="1" ht="18" customHeight="1" x14ac:dyDescent="0.2">
      <c r="A109" s="49" t="s">
        <v>335</v>
      </c>
      <c r="B109" s="47" t="s">
        <v>336</v>
      </c>
      <c r="C109" s="47">
        <f>(C108-$C$19)/'Initial Estimates'!$C$10*100</f>
        <v>56.340940329713121</v>
      </c>
      <c r="D109" s="67"/>
      <c r="E109" s="49" t="s">
        <v>125</v>
      </c>
      <c r="F109" s="49" t="s">
        <v>337</v>
      </c>
      <c r="G109" s="49" t="s">
        <v>21</v>
      </c>
      <c r="H109" s="29" t="s">
        <v>338</v>
      </c>
      <c r="I109" s="110"/>
      <c r="J109" s="110"/>
      <c r="K109" s="110"/>
      <c r="L109" s="110"/>
      <c r="M109" s="110"/>
      <c r="O109" s="12"/>
      <c r="P109" s="12"/>
    </row>
  </sheetData>
  <mergeCells count="109">
    <mergeCell ref="I109:M109"/>
    <mergeCell ref="A104:M104"/>
    <mergeCell ref="I105:M105"/>
    <mergeCell ref="I106:M106"/>
    <mergeCell ref="I107:M107"/>
    <mergeCell ref="I108:M108"/>
    <mergeCell ref="I99:M99"/>
    <mergeCell ref="I100:M100"/>
    <mergeCell ref="I101:M101"/>
    <mergeCell ref="I102:M102"/>
    <mergeCell ref="I103:M103"/>
    <mergeCell ref="I83:M83"/>
    <mergeCell ref="I84:M84"/>
    <mergeCell ref="I85:M85"/>
    <mergeCell ref="I34:M34"/>
    <mergeCell ref="A98:M98"/>
    <mergeCell ref="I97:M97"/>
    <mergeCell ref="I29:M29"/>
    <mergeCell ref="I72:M72"/>
    <mergeCell ref="I73:M73"/>
    <mergeCell ref="I74:M74"/>
    <mergeCell ref="I75:M75"/>
    <mergeCell ref="I76:M76"/>
    <mergeCell ref="I77:M77"/>
    <mergeCell ref="I78:M78"/>
    <mergeCell ref="I79:M79"/>
    <mergeCell ref="I80:M80"/>
    <mergeCell ref="A71:M71"/>
    <mergeCell ref="I81:M81"/>
    <mergeCell ref="I82:M82"/>
    <mergeCell ref="A92:M92"/>
    <mergeCell ref="I93:M93"/>
    <mergeCell ref="I94:M94"/>
    <mergeCell ref="I95:M95"/>
    <mergeCell ref="I96:M96"/>
    <mergeCell ref="I87:M87"/>
    <mergeCell ref="I88:M88"/>
    <mergeCell ref="I89:M89"/>
    <mergeCell ref="I90:M90"/>
    <mergeCell ref="I91:M91"/>
    <mergeCell ref="A86:M86"/>
    <mergeCell ref="I18:M18"/>
    <mergeCell ref="I25:M25"/>
    <mergeCell ref="I40:M40"/>
    <mergeCell ref="I44:M44"/>
    <mergeCell ref="I49:M49"/>
    <mergeCell ref="I53:M53"/>
    <mergeCell ref="I57:M57"/>
    <mergeCell ref="I65:M65"/>
    <mergeCell ref="I66:M66"/>
    <mergeCell ref="I67:M67"/>
    <mergeCell ref="I68:M68"/>
    <mergeCell ref="I69:M69"/>
    <mergeCell ref="I70:M70"/>
    <mergeCell ref="I59:M59"/>
    <mergeCell ref="I60:M60"/>
    <mergeCell ref="I61:M61"/>
    <mergeCell ref="I62:M62"/>
    <mergeCell ref="I63:M63"/>
    <mergeCell ref="I64:M64"/>
    <mergeCell ref="A52:M52"/>
    <mergeCell ref="A56:M56"/>
    <mergeCell ref="I54:M54"/>
    <mergeCell ref="I55:M55"/>
    <mergeCell ref="I58:M58"/>
    <mergeCell ref="I51:M51"/>
    <mergeCell ref="I5:M5"/>
    <mergeCell ref="I6:M6"/>
    <mergeCell ref="A17:M17"/>
    <mergeCell ref="I22:M22"/>
    <mergeCell ref="I23:M23"/>
    <mergeCell ref="A24:M24"/>
    <mergeCell ref="I26:M26"/>
    <mergeCell ref="I28:M28"/>
    <mergeCell ref="I45:M45"/>
    <mergeCell ref="I46:M46"/>
    <mergeCell ref="I47:M47"/>
    <mergeCell ref="I50:M50"/>
    <mergeCell ref="A43:M43"/>
    <mergeCell ref="A48:M48"/>
    <mergeCell ref="I37:M37"/>
    <mergeCell ref="I38:M38"/>
    <mergeCell ref="I36:M36"/>
    <mergeCell ref="I42:M42"/>
    <mergeCell ref="A35:M35"/>
    <mergeCell ref="A39:M39"/>
    <mergeCell ref="I41:M41"/>
    <mergeCell ref="I27:M27"/>
    <mergeCell ref="I30:M30"/>
    <mergeCell ref="I31:M31"/>
    <mergeCell ref="I32:M32"/>
    <mergeCell ref="I33:M33"/>
    <mergeCell ref="I20:M20"/>
    <mergeCell ref="I21:M21"/>
    <mergeCell ref="I13:M13"/>
    <mergeCell ref="I14:M14"/>
    <mergeCell ref="I15:M15"/>
    <mergeCell ref="I16:M16"/>
    <mergeCell ref="I19:M19"/>
    <mergeCell ref="I12:M12"/>
    <mergeCell ref="A1:M1"/>
    <mergeCell ref="I2:M2"/>
    <mergeCell ref="I3:M3"/>
    <mergeCell ref="I4:M4"/>
    <mergeCell ref="I7:M7"/>
    <mergeCell ref="I8:M8"/>
    <mergeCell ref="I9:M9"/>
    <mergeCell ref="I10:M10"/>
    <mergeCell ref="I11:M11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1"/>
  <sheetViews>
    <sheetView zoomScale="130" zoomScaleNormal="130" zoomScalePageLayoutView="130" workbookViewId="0">
      <selection activeCell="C29" sqref="C29"/>
    </sheetView>
  </sheetViews>
  <sheetFormatPr baseColWidth="10" defaultColWidth="15.1640625" defaultRowHeight="18" customHeight="1" x14ac:dyDescent="0.2"/>
  <cols>
    <col min="1" max="1" width="54.1640625" style="93" customWidth="1"/>
    <col min="2" max="2" width="19.33203125" style="93" customWidth="1"/>
    <col min="3" max="3" width="15.1640625" style="93"/>
    <col min="4" max="4" width="2" style="93" customWidth="1"/>
    <col min="5" max="5" width="15.1640625" style="93"/>
    <col min="6" max="6" width="30.33203125" style="93" customWidth="1"/>
    <col min="7" max="7" width="38.6640625" style="29" customWidth="1"/>
    <col min="8" max="16384" width="15.1640625" style="93"/>
  </cols>
  <sheetData>
    <row r="1" spans="1:12" ht="22" customHeight="1" x14ac:dyDescent="0.2">
      <c r="A1" s="118" t="s">
        <v>404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2" ht="18" customHeight="1" x14ac:dyDescent="0.2">
      <c r="A2" s="23" t="s">
        <v>5</v>
      </c>
      <c r="B2" s="23" t="s">
        <v>96</v>
      </c>
      <c r="C2" s="94" t="s">
        <v>7</v>
      </c>
      <c r="D2" s="94" t="s">
        <v>125</v>
      </c>
      <c r="E2" s="94" t="s">
        <v>8</v>
      </c>
      <c r="F2" s="94" t="s">
        <v>9</v>
      </c>
      <c r="G2" s="31" t="s">
        <v>10</v>
      </c>
      <c r="H2" s="122" t="s">
        <v>11</v>
      </c>
      <c r="I2" s="123"/>
      <c r="J2" s="123"/>
      <c r="K2" s="123"/>
      <c r="L2" s="124"/>
    </row>
    <row r="3" spans="1:12" ht="18" customHeight="1" x14ac:dyDescent="0.2">
      <c r="A3" s="93" t="s">
        <v>342</v>
      </c>
      <c r="B3" s="93" t="s">
        <v>346</v>
      </c>
      <c r="C3" s="13">
        <v>5.91E-2</v>
      </c>
      <c r="D3" s="93" t="s">
        <v>125</v>
      </c>
      <c r="E3" s="93" t="s">
        <v>137</v>
      </c>
      <c r="F3" s="93" t="s">
        <v>21</v>
      </c>
      <c r="G3" s="29" t="s">
        <v>441</v>
      </c>
      <c r="H3" s="110" t="s">
        <v>341</v>
      </c>
      <c r="I3" s="110"/>
      <c r="J3" s="110"/>
      <c r="K3" s="110"/>
      <c r="L3" s="110"/>
    </row>
    <row r="4" spans="1:12" ht="18" customHeight="1" x14ac:dyDescent="0.2">
      <c r="A4" s="93" t="s">
        <v>343</v>
      </c>
      <c r="B4" s="93" t="s">
        <v>347</v>
      </c>
      <c r="C4" s="13">
        <v>0.89429999999999998</v>
      </c>
      <c r="D4" s="93" t="s">
        <v>125</v>
      </c>
      <c r="E4" s="93" t="s">
        <v>137</v>
      </c>
      <c r="F4" s="93" t="s">
        <v>21</v>
      </c>
      <c r="G4" s="29" t="s">
        <v>441</v>
      </c>
      <c r="H4" s="110" t="s">
        <v>341</v>
      </c>
      <c r="I4" s="110"/>
      <c r="J4" s="110"/>
      <c r="K4" s="110"/>
      <c r="L4" s="110"/>
    </row>
    <row r="5" spans="1:12" ht="18" customHeight="1" x14ac:dyDescent="0.2">
      <c r="A5" s="93" t="s">
        <v>344</v>
      </c>
      <c r="B5" s="93" t="s">
        <v>348</v>
      </c>
      <c r="C5" s="13">
        <v>9.8500000000000004E-2</v>
      </c>
      <c r="D5" s="93" t="s">
        <v>125</v>
      </c>
      <c r="E5" s="93" t="s">
        <v>137</v>
      </c>
      <c r="F5" s="93" t="s">
        <v>21</v>
      </c>
      <c r="G5" s="29" t="s">
        <v>393</v>
      </c>
      <c r="H5" s="110" t="s">
        <v>341</v>
      </c>
      <c r="I5" s="110"/>
      <c r="J5" s="110"/>
      <c r="K5" s="110"/>
      <c r="L5" s="110"/>
    </row>
    <row r="6" spans="1:12" ht="18" customHeight="1" x14ac:dyDescent="0.2">
      <c r="A6" s="93" t="s">
        <v>345</v>
      </c>
      <c r="B6" s="93" t="s">
        <v>349</v>
      </c>
      <c r="C6" s="13">
        <v>0.83540000000000003</v>
      </c>
      <c r="D6" s="93" t="s">
        <v>125</v>
      </c>
      <c r="E6" s="93" t="s">
        <v>137</v>
      </c>
      <c r="F6" s="93" t="s">
        <v>21</v>
      </c>
      <c r="G6" s="29" t="s">
        <v>393</v>
      </c>
      <c r="H6" s="110" t="s">
        <v>341</v>
      </c>
      <c r="I6" s="110"/>
      <c r="J6" s="110"/>
      <c r="K6" s="110"/>
      <c r="L6" s="110"/>
    </row>
    <row r="7" spans="1:12" ht="18" customHeight="1" x14ac:dyDescent="0.2">
      <c r="A7" s="93" t="s">
        <v>350</v>
      </c>
      <c r="B7" s="93" t="s">
        <v>351</v>
      </c>
      <c r="C7" s="13">
        <f xml:space="preserve"> 'Cg Calcs Supersonic'!C90</f>
        <v>72.377655335507612</v>
      </c>
      <c r="D7" s="93" t="s">
        <v>125</v>
      </c>
      <c r="E7" s="93" t="s">
        <v>29</v>
      </c>
      <c r="F7" s="93" t="s">
        <v>21</v>
      </c>
      <c r="G7" s="29" t="s">
        <v>352</v>
      </c>
      <c r="H7" s="110" t="s">
        <v>341</v>
      </c>
      <c r="I7" s="110"/>
      <c r="J7" s="110"/>
      <c r="K7" s="110"/>
      <c r="L7" s="110"/>
    </row>
    <row r="8" spans="1:12" ht="18" customHeight="1" x14ac:dyDescent="0.2">
      <c r="A8" s="93" t="s">
        <v>364</v>
      </c>
      <c r="B8" s="93" t="s">
        <v>363</v>
      </c>
      <c r="C8" s="13">
        <f xml:space="preserve"> C7-'Cg Calcs Supersonic'!$C$19</f>
        <v>2.3416553355076104</v>
      </c>
      <c r="D8" s="93" t="s">
        <v>125</v>
      </c>
      <c r="E8" s="93" t="s">
        <v>29</v>
      </c>
      <c r="F8" s="93" t="s">
        <v>21</v>
      </c>
      <c r="G8" s="29" t="s">
        <v>368</v>
      </c>
      <c r="H8" s="110" t="s">
        <v>341</v>
      </c>
      <c r="I8" s="110"/>
      <c r="J8" s="110"/>
      <c r="K8" s="110"/>
      <c r="L8" s="110"/>
    </row>
    <row r="9" spans="1:12" ht="18" customHeight="1" x14ac:dyDescent="0.2">
      <c r="A9" s="93" t="s">
        <v>365</v>
      </c>
      <c r="B9" s="93" t="s">
        <v>366</v>
      </c>
      <c r="C9" s="13">
        <f>'Cg Calcs Supersonic'!$C$10+(1-0.5)*'Initial Estimates'!$C$8 - C7</f>
        <v>23.65834466449239</v>
      </c>
      <c r="D9" s="93" t="s">
        <v>125</v>
      </c>
      <c r="E9" s="93" t="s">
        <v>29</v>
      </c>
      <c r="F9" s="93" t="s">
        <v>21</v>
      </c>
      <c r="G9" s="29" t="s">
        <v>367</v>
      </c>
      <c r="H9" s="110" t="s">
        <v>341</v>
      </c>
      <c r="I9" s="110"/>
      <c r="J9" s="110"/>
      <c r="K9" s="110"/>
      <c r="L9" s="110"/>
    </row>
    <row r="10" spans="1:12" ht="18" customHeight="1" x14ac:dyDescent="0.2">
      <c r="A10" s="93" t="s">
        <v>394</v>
      </c>
      <c r="B10" s="93" t="s">
        <v>395</v>
      </c>
      <c r="C10" s="13">
        <f>C9+C8</f>
        <v>26</v>
      </c>
      <c r="D10" s="93" t="s">
        <v>125</v>
      </c>
      <c r="E10" s="93" t="s">
        <v>29</v>
      </c>
      <c r="F10" s="93" t="s">
        <v>21</v>
      </c>
      <c r="G10" s="29" t="s">
        <v>396</v>
      </c>
      <c r="H10" s="110" t="s">
        <v>455</v>
      </c>
      <c r="I10" s="110"/>
      <c r="J10" s="110"/>
      <c r="K10" s="110"/>
      <c r="L10" s="110"/>
    </row>
    <row r="11" spans="1:12" ht="18" customHeight="1" x14ac:dyDescent="0.2">
      <c r="A11" s="93" t="s">
        <v>369</v>
      </c>
      <c r="B11" s="93" t="s">
        <v>370</v>
      </c>
      <c r="C11" s="13">
        <f>'Initial Estimates'!C21</f>
        <v>3</v>
      </c>
      <c r="D11" s="93" t="s">
        <v>125</v>
      </c>
      <c r="E11" s="93" t="s">
        <v>137</v>
      </c>
      <c r="F11" s="93" t="s">
        <v>14</v>
      </c>
      <c r="G11" s="29" t="s">
        <v>137</v>
      </c>
      <c r="H11" s="110" t="s">
        <v>341</v>
      </c>
      <c r="I11" s="110"/>
      <c r="J11" s="110"/>
      <c r="K11" s="110"/>
      <c r="L11" s="110"/>
    </row>
    <row r="12" spans="1:12" ht="18" customHeight="1" x14ac:dyDescent="0.2">
      <c r="A12" s="93" t="s">
        <v>377</v>
      </c>
      <c r="B12" s="93" t="s">
        <v>378</v>
      </c>
      <c r="C12" s="93">
        <f>'Subsonic Stability'!C10*'Initial Estimates'!C15*1.68</f>
        <v>1456.4012440319998</v>
      </c>
      <c r="D12" s="93" t="s">
        <v>125</v>
      </c>
      <c r="E12" s="93" t="s">
        <v>504</v>
      </c>
      <c r="F12" s="93" t="s">
        <v>21</v>
      </c>
      <c r="G12" s="29" t="s">
        <v>383</v>
      </c>
      <c r="H12" s="110" t="s">
        <v>384</v>
      </c>
      <c r="I12" s="110"/>
      <c r="J12" s="110"/>
      <c r="K12" s="110"/>
      <c r="L12" s="110"/>
    </row>
    <row r="13" spans="1:12" ht="18" customHeight="1" x14ac:dyDescent="0.2">
      <c r="A13" s="93" t="s">
        <v>385</v>
      </c>
      <c r="B13" s="93" t="s">
        <v>386</v>
      </c>
      <c r="C13" s="93">
        <f>0.5*'Initial Estimates'!$C$20*'Stability Constants Supersonic'!C12^2</f>
        <v>489.97515881574805</v>
      </c>
      <c r="D13" s="93" t="s">
        <v>125</v>
      </c>
      <c r="E13" s="93" t="s">
        <v>387</v>
      </c>
      <c r="F13" s="93" t="s">
        <v>21</v>
      </c>
      <c r="G13" s="29" t="s">
        <v>388</v>
      </c>
      <c r="H13" s="110" t="s">
        <v>384</v>
      </c>
      <c r="I13" s="110"/>
      <c r="J13" s="110"/>
      <c r="K13" s="110"/>
      <c r="L13" s="110"/>
    </row>
    <row r="14" spans="1:12" ht="18" customHeight="1" x14ac:dyDescent="0.2">
      <c r="A14" s="93" t="s">
        <v>389</v>
      </c>
      <c r="B14" s="93" t="s">
        <v>117</v>
      </c>
      <c r="C14" s="93">
        <f>PI()*('Initial Estimates'!C58/2)^2*'Initial Estimates'!C50</f>
        <v>2392.9373797714861</v>
      </c>
      <c r="D14" s="93" t="s">
        <v>125</v>
      </c>
      <c r="E14" s="93" t="s">
        <v>360</v>
      </c>
      <c r="F14" s="93" t="s">
        <v>21</v>
      </c>
      <c r="G14" s="29" t="s">
        <v>390</v>
      </c>
      <c r="H14" s="110" t="s">
        <v>384</v>
      </c>
      <c r="I14" s="110"/>
      <c r="J14" s="110"/>
      <c r="K14" s="110"/>
      <c r="L14" s="110"/>
    </row>
    <row r="15" spans="1:12" ht="18" customHeight="1" x14ac:dyDescent="0.2">
      <c r="A15" s="93" t="s">
        <v>391</v>
      </c>
      <c r="B15" s="93" t="s">
        <v>392</v>
      </c>
      <c r="C15" s="93">
        <f>PI()*('Initial Estimates'!C58/2)^2*'Initial Estimates'!C51</f>
        <v>1696.6760174334224</v>
      </c>
      <c r="D15" s="93" t="s">
        <v>125</v>
      </c>
      <c r="E15" s="93" t="s">
        <v>360</v>
      </c>
      <c r="F15" s="93" t="s">
        <v>21</v>
      </c>
      <c r="G15" s="29" t="s">
        <v>393</v>
      </c>
      <c r="H15" s="110" t="s">
        <v>384</v>
      </c>
      <c r="I15" s="110"/>
      <c r="J15" s="110"/>
      <c r="K15" s="110"/>
      <c r="L15" s="110"/>
    </row>
    <row r="16" spans="1:12" ht="18" customHeight="1" x14ac:dyDescent="0.2">
      <c r="A16" s="93" t="s">
        <v>397</v>
      </c>
      <c r="B16" s="93" t="s">
        <v>398</v>
      </c>
      <c r="C16" s="13">
        <v>1</v>
      </c>
      <c r="D16" s="93" t="s">
        <v>125</v>
      </c>
      <c r="E16" s="93" t="s">
        <v>137</v>
      </c>
      <c r="F16" s="93" t="s">
        <v>400</v>
      </c>
      <c r="G16" s="29" t="s">
        <v>401</v>
      </c>
      <c r="H16" s="110" t="s">
        <v>341</v>
      </c>
      <c r="I16" s="110"/>
      <c r="J16" s="110"/>
      <c r="K16" s="110"/>
      <c r="L16" s="110"/>
    </row>
    <row r="17" spans="1:12" ht="22" customHeight="1" x14ac:dyDescent="0.2">
      <c r="A17" s="118" t="s">
        <v>567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20"/>
    </row>
    <row r="18" spans="1:12" ht="18" customHeight="1" x14ac:dyDescent="0.2">
      <c r="A18" s="93" t="s">
        <v>350</v>
      </c>
      <c r="B18" s="93" t="s">
        <v>351</v>
      </c>
      <c r="C18" s="13">
        <f xml:space="preserve"> 'Cg Calcs Supersonic'!C96</f>
        <v>78.650780626093294</v>
      </c>
      <c r="D18" s="93" t="s">
        <v>125</v>
      </c>
      <c r="E18" s="93" t="s">
        <v>29</v>
      </c>
      <c r="F18" s="93" t="s">
        <v>21</v>
      </c>
      <c r="G18" s="29" t="s">
        <v>352</v>
      </c>
      <c r="H18" s="110" t="s">
        <v>341</v>
      </c>
      <c r="I18" s="110"/>
      <c r="J18" s="110"/>
      <c r="K18" s="110"/>
      <c r="L18" s="110"/>
    </row>
    <row r="19" spans="1:12" ht="18" customHeight="1" x14ac:dyDescent="0.2">
      <c r="A19" s="93" t="s">
        <v>364</v>
      </c>
      <c r="B19" s="93" t="s">
        <v>363</v>
      </c>
      <c r="C19" s="13">
        <f xml:space="preserve"> C18-'Cg Calcs Supersonic'!$C$19</f>
        <v>8.6147806260932924</v>
      </c>
      <c r="D19" s="93" t="s">
        <v>125</v>
      </c>
      <c r="E19" s="93" t="s">
        <v>29</v>
      </c>
      <c r="F19" s="93" t="s">
        <v>21</v>
      </c>
      <c r="G19" s="29" t="s">
        <v>368</v>
      </c>
      <c r="H19" s="110" t="s">
        <v>341</v>
      </c>
      <c r="I19" s="110"/>
      <c r="J19" s="110"/>
      <c r="K19" s="110"/>
      <c r="L19" s="110"/>
    </row>
    <row r="20" spans="1:12" ht="18" customHeight="1" x14ac:dyDescent="0.2">
      <c r="A20" s="93" t="s">
        <v>365</v>
      </c>
      <c r="B20" s="93" t="s">
        <v>366</v>
      </c>
      <c r="C20" s="13">
        <f>'Cg Calcs Supersonic'!$C$10+(1-0.5)*'Initial Estimates'!$C$8 - C18</f>
        <v>17.385219373906708</v>
      </c>
      <c r="D20" s="93" t="s">
        <v>125</v>
      </c>
      <c r="E20" s="93" t="s">
        <v>29</v>
      </c>
      <c r="F20" s="93" t="s">
        <v>21</v>
      </c>
      <c r="G20" s="29" t="s">
        <v>367</v>
      </c>
      <c r="H20" s="110" t="s">
        <v>341</v>
      </c>
      <c r="I20" s="110"/>
      <c r="J20" s="110"/>
      <c r="K20" s="110"/>
      <c r="L20" s="110"/>
    </row>
    <row r="21" spans="1:12" ht="18" customHeight="1" x14ac:dyDescent="0.2">
      <c r="A21" s="93" t="s">
        <v>394</v>
      </c>
      <c r="B21" s="93" t="s">
        <v>395</v>
      </c>
      <c r="C21" s="13">
        <f>C20+C19</f>
        <v>26</v>
      </c>
      <c r="D21" s="93" t="s">
        <v>125</v>
      </c>
      <c r="E21" s="93" t="s">
        <v>29</v>
      </c>
      <c r="F21" s="93" t="s">
        <v>21</v>
      </c>
      <c r="G21" s="29" t="s">
        <v>396</v>
      </c>
      <c r="H21" s="110" t="s">
        <v>455</v>
      </c>
      <c r="I21" s="110"/>
      <c r="J21" s="110"/>
      <c r="K21" s="110"/>
      <c r="L21" s="110"/>
    </row>
    <row r="22" spans="1:12" ht="22" customHeight="1" x14ac:dyDescent="0.2">
      <c r="A22" s="118" t="s">
        <v>568</v>
      </c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20"/>
    </row>
    <row r="23" spans="1:12" ht="18" customHeight="1" x14ac:dyDescent="0.2">
      <c r="A23" s="93" t="s">
        <v>350</v>
      </c>
      <c r="B23" s="93" t="s">
        <v>351</v>
      </c>
      <c r="C23" s="13">
        <f xml:space="preserve"> 'Cg Calcs Supersonic'!C102</f>
        <v>74.27701682127757</v>
      </c>
      <c r="D23" s="93" t="s">
        <v>125</v>
      </c>
      <c r="E23" s="93" t="s">
        <v>29</v>
      </c>
      <c r="F23" s="93" t="s">
        <v>21</v>
      </c>
      <c r="G23" s="29" t="s">
        <v>352</v>
      </c>
      <c r="H23" s="110" t="s">
        <v>341</v>
      </c>
      <c r="I23" s="110"/>
      <c r="J23" s="110"/>
      <c r="K23" s="110"/>
      <c r="L23" s="110"/>
    </row>
    <row r="24" spans="1:12" ht="18" customHeight="1" x14ac:dyDescent="0.2">
      <c r="A24" s="93" t="s">
        <v>364</v>
      </c>
      <c r="B24" s="93" t="s">
        <v>363</v>
      </c>
      <c r="C24" s="13">
        <f xml:space="preserve"> C23-'Cg Calcs Supersonic'!$C$19</f>
        <v>4.2410168212775687</v>
      </c>
      <c r="D24" s="93" t="s">
        <v>125</v>
      </c>
      <c r="E24" s="93" t="s">
        <v>29</v>
      </c>
      <c r="F24" s="93" t="s">
        <v>21</v>
      </c>
      <c r="G24" s="29" t="s">
        <v>368</v>
      </c>
      <c r="H24" s="110" t="s">
        <v>341</v>
      </c>
      <c r="I24" s="110"/>
      <c r="J24" s="110"/>
      <c r="K24" s="110"/>
      <c r="L24" s="110"/>
    </row>
    <row r="25" spans="1:12" ht="18" customHeight="1" x14ac:dyDescent="0.2">
      <c r="A25" s="93" t="s">
        <v>365</v>
      </c>
      <c r="B25" s="93" t="s">
        <v>366</v>
      </c>
      <c r="C25" s="13">
        <f>'Cg Calcs Supersonic'!$C$10+(1-0.5)*'Initial Estimates'!$C$8 - C23</f>
        <v>21.758983178722431</v>
      </c>
      <c r="D25" s="93" t="s">
        <v>125</v>
      </c>
      <c r="E25" s="93" t="s">
        <v>29</v>
      </c>
      <c r="F25" s="93" t="s">
        <v>21</v>
      </c>
      <c r="G25" s="29" t="s">
        <v>367</v>
      </c>
      <c r="H25" s="110" t="s">
        <v>341</v>
      </c>
      <c r="I25" s="110"/>
      <c r="J25" s="110"/>
      <c r="K25" s="110"/>
      <c r="L25" s="110"/>
    </row>
    <row r="26" spans="1:12" ht="18" customHeight="1" x14ac:dyDescent="0.2">
      <c r="A26" s="93" t="s">
        <v>394</v>
      </c>
      <c r="B26" s="93" t="s">
        <v>395</v>
      </c>
      <c r="C26" s="13">
        <f>C25+C24</f>
        <v>26</v>
      </c>
      <c r="D26" s="93" t="s">
        <v>125</v>
      </c>
      <c r="E26" s="93" t="s">
        <v>29</v>
      </c>
      <c r="F26" s="93" t="s">
        <v>21</v>
      </c>
      <c r="G26" s="29" t="s">
        <v>396</v>
      </c>
      <c r="H26" s="110" t="s">
        <v>455</v>
      </c>
      <c r="I26" s="110"/>
      <c r="J26" s="110"/>
      <c r="K26" s="110"/>
      <c r="L26" s="110"/>
    </row>
    <row r="27" spans="1:12" ht="22" customHeight="1" x14ac:dyDescent="0.2">
      <c r="A27" s="118" t="s">
        <v>569</v>
      </c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20"/>
    </row>
    <row r="28" spans="1:12" ht="18" customHeight="1" x14ac:dyDescent="0.2">
      <c r="A28" s="93" t="s">
        <v>350</v>
      </c>
      <c r="B28" s="93" t="s">
        <v>351</v>
      </c>
      <c r="C28" s="13">
        <f xml:space="preserve"> 'Cg Calcs Supersonic'!C108</f>
        <v>81.540193504070956</v>
      </c>
      <c r="D28" s="93" t="s">
        <v>125</v>
      </c>
      <c r="E28" s="93" t="s">
        <v>29</v>
      </c>
      <c r="F28" s="93" t="s">
        <v>21</v>
      </c>
      <c r="G28" s="29" t="s">
        <v>352</v>
      </c>
      <c r="H28" s="110" t="s">
        <v>341</v>
      </c>
      <c r="I28" s="110"/>
      <c r="J28" s="110"/>
      <c r="K28" s="110"/>
      <c r="L28" s="110"/>
    </row>
    <row r="29" spans="1:12" ht="18" customHeight="1" x14ac:dyDescent="0.2">
      <c r="A29" s="93" t="s">
        <v>364</v>
      </c>
      <c r="B29" s="93" t="s">
        <v>363</v>
      </c>
      <c r="C29" s="13">
        <f xml:space="preserve"> C28-'Cg Calcs Supersonic'!$C$19</f>
        <v>11.504193504070955</v>
      </c>
      <c r="D29" s="93" t="s">
        <v>125</v>
      </c>
      <c r="E29" s="93" t="s">
        <v>29</v>
      </c>
      <c r="F29" s="93" t="s">
        <v>21</v>
      </c>
      <c r="G29" s="29" t="s">
        <v>368</v>
      </c>
      <c r="H29" s="110" t="s">
        <v>341</v>
      </c>
      <c r="I29" s="110"/>
      <c r="J29" s="110"/>
      <c r="K29" s="110"/>
      <c r="L29" s="110"/>
    </row>
    <row r="30" spans="1:12" ht="18" customHeight="1" x14ac:dyDescent="0.2">
      <c r="A30" s="93" t="s">
        <v>365</v>
      </c>
      <c r="B30" s="93" t="s">
        <v>366</v>
      </c>
      <c r="C30" s="13">
        <f>'Cg Calcs Supersonic'!$C$10+(1-0.5)*'Initial Estimates'!$C$8 - C28</f>
        <v>14.495806495929045</v>
      </c>
      <c r="D30" s="93" t="s">
        <v>125</v>
      </c>
      <c r="E30" s="93" t="s">
        <v>29</v>
      </c>
      <c r="F30" s="93" t="s">
        <v>21</v>
      </c>
      <c r="G30" s="29" t="s">
        <v>367</v>
      </c>
      <c r="H30" s="110" t="s">
        <v>341</v>
      </c>
      <c r="I30" s="110"/>
      <c r="J30" s="110"/>
      <c r="K30" s="110"/>
      <c r="L30" s="110"/>
    </row>
    <row r="31" spans="1:12" ht="18" customHeight="1" x14ac:dyDescent="0.2">
      <c r="A31" s="93" t="s">
        <v>394</v>
      </c>
      <c r="B31" s="93" t="s">
        <v>395</v>
      </c>
      <c r="C31" s="13">
        <f>C30+C29</f>
        <v>26</v>
      </c>
      <c r="D31" s="93" t="s">
        <v>125</v>
      </c>
      <c r="E31" s="93" t="s">
        <v>29</v>
      </c>
      <c r="F31" s="93" t="s">
        <v>21</v>
      </c>
      <c r="G31" s="29" t="s">
        <v>396</v>
      </c>
      <c r="H31" s="110" t="s">
        <v>455</v>
      </c>
      <c r="I31" s="110"/>
      <c r="J31" s="110"/>
      <c r="K31" s="110"/>
      <c r="L31" s="110"/>
    </row>
  </sheetData>
  <mergeCells count="31">
    <mergeCell ref="H28:L28"/>
    <mergeCell ref="H29:L29"/>
    <mergeCell ref="H30:L30"/>
    <mergeCell ref="H31:L31"/>
    <mergeCell ref="A17:L17"/>
    <mergeCell ref="A22:L22"/>
    <mergeCell ref="A27:L27"/>
    <mergeCell ref="H20:L20"/>
    <mergeCell ref="H21:L21"/>
    <mergeCell ref="H23:L23"/>
    <mergeCell ref="H24:L24"/>
    <mergeCell ref="H25:L25"/>
    <mergeCell ref="H26:L26"/>
    <mergeCell ref="H13:L13"/>
    <mergeCell ref="H14:L14"/>
    <mergeCell ref="H15:L15"/>
    <mergeCell ref="H16:L16"/>
    <mergeCell ref="H18:L18"/>
    <mergeCell ref="H19:L19"/>
    <mergeCell ref="H7:L7"/>
    <mergeCell ref="H8:L8"/>
    <mergeCell ref="H9:L9"/>
    <mergeCell ref="H10:L10"/>
    <mergeCell ref="H11:L11"/>
    <mergeCell ref="H12:L12"/>
    <mergeCell ref="A1:L1"/>
    <mergeCell ref="H2:L2"/>
    <mergeCell ref="H3:L3"/>
    <mergeCell ref="H4:L4"/>
    <mergeCell ref="H5:L5"/>
    <mergeCell ref="H6:L6"/>
  </mergeCells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P1412"/>
  <sheetViews>
    <sheetView tabSelected="1" topLeftCell="A879" zoomScale="90" zoomScaleNormal="90" zoomScalePageLayoutView="90" workbookViewId="0">
      <selection activeCell="G908" sqref="G908"/>
    </sheetView>
  </sheetViews>
  <sheetFormatPr baseColWidth="10" defaultColWidth="15.1640625" defaultRowHeight="18" customHeight="1" x14ac:dyDescent="0.2"/>
  <cols>
    <col min="1" max="1" width="51" style="49" customWidth="1"/>
    <col min="2" max="2" width="19.33203125" style="49" customWidth="1"/>
    <col min="3" max="3" width="15.1640625" style="49"/>
    <col min="4" max="4" width="2" style="49" customWidth="1"/>
    <col min="5" max="5" width="15.1640625" style="49"/>
    <col min="6" max="6" width="30.33203125" style="49" customWidth="1"/>
    <col min="7" max="7" width="52.83203125" style="29" customWidth="1"/>
    <col min="8" max="12" width="15.1640625" style="49"/>
    <col min="13" max="13" width="5.1640625" style="49" customWidth="1"/>
    <col min="14" max="14" width="4" style="49" customWidth="1"/>
    <col min="15" max="15" width="3.5" style="49" customWidth="1"/>
    <col min="16" max="16384" width="15.1640625" style="49"/>
  </cols>
  <sheetData>
    <row r="1" spans="1:16" ht="22" customHeight="1" x14ac:dyDescent="0.2">
      <c r="A1" s="118" t="s">
        <v>500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6" ht="18" customHeight="1" x14ac:dyDescent="0.2">
      <c r="A2" s="23" t="s">
        <v>5</v>
      </c>
      <c r="B2" s="23" t="s">
        <v>96</v>
      </c>
      <c r="C2" s="50" t="s">
        <v>7</v>
      </c>
      <c r="D2" s="50" t="s">
        <v>125</v>
      </c>
      <c r="E2" s="50" t="s">
        <v>8</v>
      </c>
      <c r="F2" s="50" t="s">
        <v>9</v>
      </c>
      <c r="G2" s="31" t="s">
        <v>10</v>
      </c>
      <c r="H2" s="122" t="s">
        <v>11</v>
      </c>
      <c r="I2" s="123"/>
      <c r="J2" s="123"/>
      <c r="K2" s="123"/>
      <c r="L2" s="124"/>
    </row>
    <row r="3" spans="1:16" ht="18" customHeight="1" x14ac:dyDescent="0.2">
      <c r="A3" s="52" t="s">
        <v>410</v>
      </c>
      <c r="B3" s="49" t="s">
        <v>411</v>
      </c>
      <c r="C3" s="13">
        <f>C4/'Initial Estimates'!$C$5*'Stability Constants Supersonic'!$C$10/'Initial Estimates'!$C$10</f>
        <v>0.24487131718436378</v>
      </c>
      <c r="D3" s="49" t="s">
        <v>125</v>
      </c>
      <c r="E3" s="49" t="s">
        <v>137</v>
      </c>
      <c r="F3" s="49" t="s">
        <v>14</v>
      </c>
      <c r="G3" s="29" t="s">
        <v>137</v>
      </c>
      <c r="H3" s="128" t="s">
        <v>412</v>
      </c>
      <c r="I3" s="128"/>
      <c r="J3" s="128"/>
      <c r="K3" s="128"/>
      <c r="L3" s="128"/>
    </row>
    <row r="4" spans="1:16" ht="18" customHeight="1" x14ac:dyDescent="0.2">
      <c r="A4" s="52" t="s">
        <v>375</v>
      </c>
      <c r="B4" s="49" t="s">
        <v>376</v>
      </c>
      <c r="C4" s="13">
        <v>200</v>
      </c>
      <c r="D4" s="49" t="s">
        <v>125</v>
      </c>
      <c r="E4" s="49" t="s">
        <v>222</v>
      </c>
      <c r="F4" s="49" t="s">
        <v>21</v>
      </c>
      <c r="G4" s="29" t="s">
        <v>456</v>
      </c>
      <c r="H4" s="128" t="s">
        <v>382</v>
      </c>
      <c r="I4" s="128"/>
      <c r="J4" s="128"/>
      <c r="K4" s="128"/>
      <c r="L4" s="128"/>
      <c r="P4" s="49">
        <f>SQRT(C4*'Initial Estimates'!C6)</f>
        <v>26.374888756600981</v>
      </c>
    </row>
    <row r="5" spans="1:16" ht="18" customHeight="1" x14ac:dyDescent="0.2">
      <c r="A5" s="52" t="s">
        <v>353</v>
      </c>
      <c r="B5" s="49" t="s">
        <v>354</v>
      </c>
      <c r="C5" s="13">
        <v>0</v>
      </c>
      <c r="D5" s="49" t="s">
        <v>125</v>
      </c>
      <c r="E5" s="49" t="s">
        <v>137</v>
      </c>
      <c r="F5" s="49" t="s">
        <v>14</v>
      </c>
      <c r="G5" s="29" t="s">
        <v>355</v>
      </c>
      <c r="H5" s="110" t="s">
        <v>413</v>
      </c>
      <c r="I5" s="110"/>
      <c r="J5" s="110"/>
      <c r="K5" s="110"/>
      <c r="L5" s="110"/>
    </row>
    <row r="6" spans="1:16" ht="18" customHeight="1" x14ac:dyDescent="0.2">
      <c r="A6" s="52" t="s">
        <v>339</v>
      </c>
      <c r="B6" s="49" t="s">
        <v>340</v>
      </c>
      <c r="C6" s="13">
        <v>0</v>
      </c>
      <c r="D6" s="13" t="s">
        <v>125</v>
      </c>
      <c r="E6" s="49" t="s">
        <v>137</v>
      </c>
      <c r="F6" s="49" t="s">
        <v>14</v>
      </c>
      <c r="G6" s="29" t="s">
        <v>418</v>
      </c>
      <c r="H6" s="127" t="s">
        <v>341</v>
      </c>
      <c r="I6" s="127"/>
      <c r="J6" s="127"/>
      <c r="K6" s="127"/>
      <c r="L6" s="127"/>
    </row>
    <row r="7" spans="1:16" ht="18" customHeight="1" x14ac:dyDescent="0.2">
      <c r="A7" s="52" t="s">
        <v>414</v>
      </c>
      <c r="B7" s="49" t="s">
        <v>415</v>
      </c>
      <c r="C7" s="13">
        <f>2*C11/(PI()*'Initial Estimates'!$C$6)*(1+C6)</f>
        <v>1.8307845953795511E-2</v>
      </c>
      <c r="D7" s="49" t="s">
        <v>125</v>
      </c>
      <c r="E7" s="49" t="s">
        <v>137</v>
      </c>
      <c r="F7" s="49" t="s">
        <v>14</v>
      </c>
      <c r="G7" s="29" t="s">
        <v>416</v>
      </c>
      <c r="H7" s="110" t="s">
        <v>417</v>
      </c>
      <c r="I7" s="110"/>
      <c r="J7" s="110"/>
      <c r="K7" s="110"/>
      <c r="L7" s="110"/>
    </row>
    <row r="8" spans="1:16" ht="22" customHeight="1" x14ac:dyDescent="0.2">
      <c r="A8" s="118" t="s">
        <v>501</v>
      </c>
      <c r="B8" s="119"/>
      <c r="C8" s="119"/>
      <c r="D8" s="119"/>
      <c r="E8" s="119"/>
      <c r="F8" s="119"/>
      <c r="G8" s="119"/>
      <c r="H8" s="121"/>
      <c r="I8" s="121"/>
      <c r="J8" s="121"/>
      <c r="K8" s="121"/>
      <c r="L8" s="125"/>
    </row>
    <row r="9" spans="1:16" ht="18" customHeight="1" x14ac:dyDescent="0.2">
      <c r="A9" s="23" t="s">
        <v>5</v>
      </c>
      <c r="B9" s="23" t="s">
        <v>96</v>
      </c>
      <c r="C9" s="50" t="s">
        <v>7</v>
      </c>
      <c r="D9" s="50" t="s">
        <v>125</v>
      </c>
      <c r="E9" s="50" t="s">
        <v>8</v>
      </c>
      <c r="F9" s="50" t="s">
        <v>9</v>
      </c>
      <c r="G9" s="31" t="s">
        <v>10</v>
      </c>
      <c r="H9" s="122" t="s">
        <v>11</v>
      </c>
      <c r="I9" s="123"/>
      <c r="J9" s="123"/>
      <c r="K9" s="123"/>
      <c r="L9" s="124"/>
    </row>
    <row r="10" spans="1:16" ht="18" customHeight="1" x14ac:dyDescent="0.2">
      <c r="A10" s="49" t="s">
        <v>379</v>
      </c>
      <c r="B10" s="49" t="s">
        <v>380</v>
      </c>
      <c r="C10" s="36">
        <v>1.6</v>
      </c>
      <c r="D10" s="49" t="s">
        <v>125</v>
      </c>
      <c r="E10" s="49" t="s">
        <v>137</v>
      </c>
      <c r="F10" s="49" t="s">
        <v>484</v>
      </c>
      <c r="G10" s="29" t="s">
        <v>137</v>
      </c>
      <c r="H10" s="126" t="s">
        <v>309</v>
      </c>
      <c r="I10" s="126"/>
      <c r="J10" s="126"/>
      <c r="K10" s="126"/>
      <c r="L10" s="126"/>
    </row>
    <row r="11" spans="1:16" ht="18" customHeight="1" x14ac:dyDescent="0.2">
      <c r="A11" s="49" t="s">
        <v>557</v>
      </c>
      <c r="B11" s="49" t="s">
        <v>406</v>
      </c>
      <c r="C11" s="36">
        <f>'Final Aircraft Checkouts'!C4</f>
        <v>0.10002496405735427</v>
      </c>
      <c r="D11" s="49" t="s">
        <v>125</v>
      </c>
      <c r="E11" s="49" t="s">
        <v>137</v>
      </c>
      <c r="F11" s="49" t="s">
        <v>21</v>
      </c>
      <c r="G11" s="29" t="s">
        <v>550</v>
      </c>
      <c r="H11" s="127" t="s">
        <v>526</v>
      </c>
      <c r="I11" s="127"/>
      <c r="J11" s="127"/>
      <c r="K11" s="127"/>
      <c r="L11" s="127"/>
    </row>
    <row r="12" spans="1:16" s="63" customFormat="1" ht="18" customHeight="1" x14ac:dyDescent="0.2">
      <c r="A12" s="91">
        <v>42000</v>
      </c>
      <c r="B12" s="63" t="s">
        <v>406</v>
      </c>
      <c r="C12" s="36">
        <f>'Final Aircraft Checkouts'!C5</f>
        <v>0.10493623478130983</v>
      </c>
      <c r="D12" s="63" t="s">
        <v>125</v>
      </c>
      <c r="E12" s="63" t="s">
        <v>137</v>
      </c>
      <c r="F12" s="63" t="s">
        <v>21</v>
      </c>
      <c r="G12" s="29" t="s">
        <v>550</v>
      </c>
      <c r="H12" s="127" t="s">
        <v>526</v>
      </c>
      <c r="I12" s="127"/>
      <c r="J12" s="127"/>
      <c r="K12" s="127"/>
      <c r="L12" s="127"/>
    </row>
    <row r="13" spans="1:16" s="63" customFormat="1" ht="18" customHeight="1" x14ac:dyDescent="0.2">
      <c r="A13" s="91">
        <v>43000</v>
      </c>
      <c r="B13" s="63" t="s">
        <v>406</v>
      </c>
      <c r="C13" s="36">
        <f>'Final Aircraft Checkouts'!C6</f>
        <v>0.11007268503893636</v>
      </c>
      <c r="D13" s="63" t="s">
        <v>125</v>
      </c>
      <c r="E13" s="63" t="s">
        <v>137</v>
      </c>
      <c r="F13" s="63" t="s">
        <v>21</v>
      </c>
      <c r="G13" s="29" t="s">
        <v>550</v>
      </c>
      <c r="H13" s="127" t="s">
        <v>526</v>
      </c>
      <c r="I13" s="127"/>
      <c r="J13" s="127"/>
      <c r="K13" s="127"/>
      <c r="L13" s="127"/>
    </row>
    <row r="14" spans="1:16" s="63" customFormat="1" ht="18" customHeight="1" x14ac:dyDescent="0.2">
      <c r="A14" s="91">
        <v>44000</v>
      </c>
      <c r="B14" s="63" t="s">
        <v>406</v>
      </c>
      <c r="C14" s="36">
        <f>'Final Aircraft Checkouts'!C7</f>
        <v>0.11547530393752714</v>
      </c>
      <c r="D14" s="63" t="s">
        <v>125</v>
      </c>
      <c r="E14" s="63" t="s">
        <v>137</v>
      </c>
      <c r="F14" s="63" t="s">
        <v>21</v>
      </c>
      <c r="G14" s="29" t="s">
        <v>550</v>
      </c>
      <c r="H14" s="127" t="s">
        <v>526</v>
      </c>
      <c r="I14" s="127"/>
      <c r="J14" s="127"/>
      <c r="K14" s="127"/>
      <c r="L14" s="127"/>
    </row>
    <row r="15" spans="1:16" s="63" customFormat="1" ht="18" customHeight="1" x14ac:dyDescent="0.2">
      <c r="A15" s="91">
        <v>45000</v>
      </c>
      <c r="B15" s="63" t="s">
        <v>406</v>
      </c>
      <c r="C15" s="36">
        <f>'Final Aircraft Checkouts'!C8</f>
        <v>0.12112043019534267</v>
      </c>
      <c r="D15" s="63" t="s">
        <v>125</v>
      </c>
      <c r="E15" s="63" t="s">
        <v>137</v>
      </c>
      <c r="F15" s="63" t="s">
        <v>21</v>
      </c>
      <c r="G15" s="29" t="s">
        <v>550</v>
      </c>
      <c r="H15" s="127" t="s">
        <v>526</v>
      </c>
      <c r="I15" s="127"/>
      <c r="J15" s="127"/>
      <c r="K15" s="127"/>
      <c r="L15" s="127"/>
    </row>
    <row r="16" spans="1:16" s="63" customFormat="1" ht="18" customHeight="1" x14ac:dyDescent="0.2">
      <c r="A16" s="91">
        <v>46000</v>
      </c>
      <c r="B16" s="63" t="s">
        <v>406</v>
      </c>
      <c r="C16" s="36">
        <f>'Final Aircraft Checkouts'!C9</f>
        <v>0.12705689784276589</v>
      </c>
      <c r="D16" s="63" t="s">
        <v>125</v>
      </c>
      <c r="E16" s="63" t="s">
        <v>137</v>
      </c>
      <c r="F16" s="63" t="s">
        <v>21</v>
      </c>
      <c r="G16" s="29" t="s">
        <v>550</v>
      </c>
      <c r="H16" s="127" t="s">
        <v>526</v>
      </c>
      <c r="I16" s="127"/>
      <c r="J16" s="127"/>
      <c r="K16" s="127"/>
      <c r="L16" s="127"/>
    </row>
    <row r="17" spans="1:12" s="63" customFormat="1" ht="18" customHeight="1" x14ac:dyDescent="0.2">
      <c r="A17" s="91">
        <v>47000</v>
      </c>
      <c r="B17" s="63" t="s">
        <v>406</v>
      </c>
      <c r="C17" s="36">
        <f>'Final Aircraft Checkouts'!C10</f>
        <v>0.13328725274769557</v>
      </c>
      <c r="D17" s="63" t="s">
        <v>125</v>
      </c>
      <c r="E17" s="63" t="s">
        <v>137</v>
      </c>
      <c r="F17" s="63" t="s">
        <v>21</v>
      </c>
      <c r="G17" s="29" t="s">
        <v>550</v>
      </c>
      <c r="H17" s="127" t="s">
        <v>526</v>
      </c>
      <c r="I17" s="127"/>
      <c r="J17" s="127"/>
      <c r="K17" s="127"/>
      <c r="L17" s="127"/>
    </row>
    <row r="18" spans="1:12" s="63" customFormat="1" ht="18" customHeight="1" x14ac:dyDescent="0.2">
      <c r="A18" s="91">
        <v>48000</v>
      </c>
      <c r="B18" s="63" t="s">
        <v>406</v>
      </c>
      <c r="C18" s="36">
        <f>'Final Aircraft Checkouts'!C11</f>
        <v>0.13981017448016708</v>
      </c>
      <c r="D18" s="63" t="s">
        <v>125</v>
      </c>
      <c r="E18" s="63" t="s">
        <v>137</v>
      </c>
      <c r="F18" s="63" t="s">
        <v>21</v>
      </c>
      <c r="G18" s="29" t="s">
        <v>550</v>
      </c>
      <c r="H18" s="127" t="s">
        <v>526</v>
      </c>
      <c r="I18" s="127"/>
      <c r="J18" s="127"/>
      <c r="K18" s="127"/>
      <c r="L18" s="127"/>
    </row>
    <row r="19" spans="1:12" s="63" customFormat="1" ht="18" customHeight="1" x14ac:dyDescent="0.2">
      <c r="A19" s="91">
        <v>49000</v>
      </c>
      <c r="B19" s="63" t="s">
        <v>406</v>
      </c>
      <c r="C19" s="36">
        <f>'Final Aircraft Checkouts'!C12</f>
        <v>0.14669629258398459</v>
      </c>
      <c r="D19" s="63" t="s">
        <v>125</v>
      </c>
      <c r="E19" s="63" t="s">
        <v>137</v>
      </c>
      <c r="F19" s="63" t="s">
        <v>21</v>
      </c>
      <c r="G19" s="29" t="s">
        <v>550</v>
      </c>
      <c r="H19" s="127" t="s">
        <v>526</v>
      </c>
      <c r="I19" s="127"/>
      <c r="J19" s="127"/>
      <c r="K19" s="127"/>
      <c r="L19" s="127"/>
    </row>
    <row r="20" spans="1:12" ht="18" customHeight="1" x14ac:dyDescent="0.2">
      <c r="A20" s="49" t="s">
        <v>447</v>
      </c>
      <c r="B20" s="47" t="s">
        <v>448</v>
      </c>
      <c r="C20" s="48">
        <v>0.10158298411673315</v>
      </c>
      <c r="D20" s="49" t="s">
        <v>125</v>
      </c>
      <c r="E20" s="49" t="s">
        <v>137</v>
      </c>
      <c r="F20" s="49" t="s">
        <v>399</v>
      </c>
      <c r="G20" s="29" t="s">
        <v>137</v>
      </c>
      <c r="H20" s="127" t="s">
        <v>449</v>
      </c>
      <c r="I20" s="127"/>
      <c r="J20" s="127"/>
      <c r="K20" s="127"/>
      <c r="L20" s="127"/>
    </row>
    <row r="21" spans="1:12" s="63" customFormat="1" ht="18" customHeight="1" x14ac:dyDescent="0.2">
      <c r="A21" s="63" t="s">
        <v>447</v>
      </c>
      <c r="B21" s="47" t="s">
        <v>448</v>
      </c>
      <c r="C21" s="48">
        <v>0.10158298411673315</v>
      </c>
      <c r="D21" s="63" t="s">
        <v>125</v>
      </c>
      <c r="E21" s="63" t="s">
        <v>137</v>
      </c>
      <c r="F21" s="63" t="s">
        <v>399</v>
      </c>
      <c r="G21" s="29" t="s">
        <v>137</v>
      </c>
      <c r="H21" s="127" t="s">
        <v>449</v>
      </c>
      <c r="I21" s="127"/>
      <c r="J21" s="127"/>
      <c r="K21" s="127"/>
      <c r="L21" s="127"/>
    </row>
    <row r="22" spans="1:12" s="63" customFormat="1" ht="18" customHeight="1" x14ac:dyDescent="0.2">
      <c r="A22" s="63" t="s">
        <v>447</v>
      </c>
      <c r="B22" s="47" t="s">
        <v>448</v>
      </c>
      <c r="C22" s="48">
        <v>0.10158298411673315</v>
      </c>
      <c r="D22" s="63" t="s">
        <v>125</v>
      </c>
      <c r="E22" s="63" t="s">
        <v>137</v>
      </c>
      <c r="F22" s="63" t="s">
        <v>399</v>
      </c>
      <c r="G22" s="29" t="s">
        <v>137</v>
      </c>
      <c r="H22" s="127" t="s">
        <v>449</v>
      </c>
      <c r="I22" s="127"/>
      <c r="J22" s="127"/>
      <c r="K22" s="127"/>
      <c r="L22" s="127"/>
    </row>
    <row r="23" spans="1:12" s="63" customFormat="1" ht="18" customHeight="1" x14ac:dyDescent="0.2">
      <c r="A23" s="63" t="s">
        <v>447</v>
      </c>
      <c r="B23" s="47" t="s">
        <v>448</v>
      </c>
      <c r="C23" s="48">
        <v>0.10158298411673315</v>
      </c>
      <c r="D23" s="63" t="s">
        <v>125</v>
      </c>
      <c r="E23" s="63" t="s">
        <v>137</v>
      </c>
      <c r="F23" s="63" t="s">
        <v>399</v>
      </c>
      <c r="G23" s="29" t="s">
        <v>137</v>
      </c>
      <c r="H23" s="127" t="s">
        <v>449</v>
      </c>
      <c r="I23" s="127"/>
      <c r="J23" s="127"/>
      <c r="K23" s="127"/>
      <c r="L23" s="127"/>
    </row>
    <row r="24" spans="1:12" s="63" customFormat="1" ht="18" customHeight="1" x14ac:dyDescent="0.2">
      <c r="A24" s="63" t="s">
        <v>447</v>
      </c>
      <c r="B24" s="47" t="s">
        <v>448</v>
      </c>
      <c r="C24" s="48">
        <v>0.10158298411673315</v>
      </c>
      <c r="D24" s="63" t="s">
        <v>125</v>
      </c>
      <c r="E24" s="63" t="s">
        <v>137</v>
      </c>
      <c r="F24" s="63" t="s">
        <v>399</v>
      </c>
      <c r="G24" s="29" t="s">
        <v>137</v>
      </c>
      <c r="H24" s="127" t="s">
        <v>449</v>
      </c>
      <c r="I24" s="127"/>
      <c r="J24" s="127"/>
      <c r="K24" s="127"/>
      <c r="L24" s="127"/>
    </row>
    <row r="25" spans="1:12" s="63" customFormat="1" ht="18" customHeight="1" x14ac:dyDescent="0.2">
      <c r="A25" s="63" t="s">
        <v>447</v>
      </c>
      <c r="B25" s="47" t="s">
        <v>448</v>
      </c>
      <c r="C25" s="48">
        <v>0.10158298411673315</v>
      </c>
      <c r="D25" s="63" t="s">
        <v>125</v>
      </c>
      <c r="E25" s="63" t="s">
        <v>137</v>
      </c>
      <c r="F25" s="63" t="s">
        <v>399</v>
      </c>
      <c r="G25" s="29" t="s">
        <v>137</v>
      </c>
      <c r="H25" s="127" t="s">
        <v>449</v>
      </c>
      <c r="I25" s="127"/>
      <c r="J25" s="127"/>
      <c r="K25" s="127"/>
      <c r="L25" s="127"/>
    </row>
    <row r="26" spans="1:12" s="63" customFormat="1" ht="18" customHeight="1" x14ac:dyDescent="0.2">
      <c r="A26" s="63" t="s">
        <v>447</v>
      </c>
      <c r="B26" s="47" t="s">
        <v>448</v>
      </c>
      <c r="C26" s="48">
        <v>0.10158298411673315</v>
      </c>
      <c r="D26" s="63" t="s">
        <v>125</v>
      </c>
      <c r="E26" s="63" t="s">
        <v>137</v>
      </c>
      <c r="F26" s="63" t="s">
        <v>399</v>
      </c>
      <c r="G26" s="29" t="s">
        <v>137</v>
      </c>
      <c r="H26" s="127" t="s">
        <v>449</v>
      </c>
      <c r="I26" s="127"/>
      <c r="J26" s="127"/>
      <c r="K26" s="127"/>
      <c r="L26" s="127"/>
    </row>
    <row r="27" spans="1:12" s="63" customFormat="1" ht="18" customHeight="1" x14ac:dyDescent="0.2">
      <c r="A27" s="63" t="s">
        <v>447</v>
      </c>
      <c r="B27" s="47" t="s">
        <v>448</v>
      </c>
      <c r="C27" s="48">
        <v>0.10158298411673315</v>
      </c>
      <c r="D27" s="63" t="s">
        <v>125</v>
      </c>
      <c r="E27" s="63" t="s">
        <v>137</v>
      </c>
      <c r="F27" s="63" t="s">
        <v>399</v>
      </c>
      <c r="G27" s="29" t="s">
        <v>137</v>
      </c>
      <c r="H27" s="127" t="s">
        <v>449</v>
      </c>
      <c r="I27" s="127"/>
      <c r="J27" s="127"/>
      <c r="K27" s="127"/>
      <c r="L27" s="127"/>
    </row>
    <row r="28" spans="1:12" s="63" customFormat="1" ht="18" customHeight="1" x14ac:dyDescent="0.2">
      <c r="A28" s="63" t="s">
        <v>447</v>
      </c>
      <c r="B28" s="47" t="s">
        <v>448</v>
      </c>
      <c r="C28" s="48">
        <v>0.10158298411673315</v>
      </c>
      <c r="D28" s="63" t="s">
        <v>125</v>
      </c>
      <c r="E28" s="63" t="s">
        <v>137</v>
      </c>
      <c r="F28" s="63" t="s">
        <v>399</v>
      </c>
      <c r="G28" s="29" t="s">
        <v>137</v>
      </c>
      <c r="H28" s="127" t="s">
        <v>449</v>
      </c>
      <c r="I28" s="127"/>
      <c r="J28" s="127"/>
      <c r="K28" s="127"/>
      <c r="L28" s="127"/>
    </row>
    <row r="29" spans="1:12" ht="18" customHeight="1" x14ac:dyDescent="0.2">
      <c r="A29" s="49" t="s">
        <v>558</v>
      </c>
      <c r="B29" s="49" t="s">
        <v>436</v>
      </c>
      <c r="C29" s="36">
        <f xml:space="preserve"> ABS((C11-CFD!$B$19)/(CFD!$B$20-CFD!$B$19)*(CFD!$A$20-CFD!$A$19) + CFD!$A$19)*PI()/180</f>
        <v>3.4984799452226774E-2</v>
      </c>
      <c r="D29" s="49" t="s">
        <v>125</v>
      </c>
      <c r="E29" s="49" t="s">
        <v>407</v>
      </c>
      <c r="F29" s="49" t="s">
        <v>21</v>
      </c>
      <c r="G29" s="29" t="s">
        <v>550</v>
      </c>
      <c r="H29" s="127" t="s">
        <v>526</v>
      </c>
      <c r="I29" s="127"/>
      <c r="J29" s="127"/>
      <c r="K29" s="127"/>
      <c r="L29" s="127"/>
    </row>
    <row r="30" spans="1:12" s="63" customFormat="1" ht="18" customHeight="1" x14ac:dyDescent="0.2">
      <c r="A30" s="91">
        <v>42000</v>
      </c>
      <c r="B30" s="63" t="s">
        <v>436</v>
      </c>
      <c r="C30" s="36">
        <f xml:space="preserve"> ABS((C12-CFD!$B$19)/(CFD!$B$20-CFD!$B$19)*(CFD!$A$20-CFD!$A$19) + CFD!$A$19)*PI()/180</f>
        <v>3.6692326236884745E-2</v>
      </c>
      <c r="E30" s="63" t="s">
        <v>407</v>
      </c>
      <c r="F30" s="63" t="s">
        <v>21</v>
      </c>
      <c r="G30" s="29" t="s">
        <v>550</v>
      </c>
      <c r="H30" s="127" t="s">
        <v>526</v>
      </c>
      <c r="I30" s="127"/>
      <c r="J30" s="127"/>
      <c r="K30" s="127"/>
      <c r="L30" s="127"/>
    </row>
    <row r="31" spans="1:12" s="63" customFormat="1" ht="18" customHeight="1" x14ac:dyDescent="0.2">
      <c r="A31" s="91">
        <v>43000</v>
      </c>
      <c r="B31" s="63" t="s">
        <v>436</v>
      </c>
      <c r="C31" s="36">
        <f xml:space="preserve"> ABS((C13-CFD!$B$19)/(CFD!$B$20-CFD!$B$19)*(CFD!$A$20-CFD!$A$19) + CFD!$A$19)*PI()/180</f>
        <v>3.8478142349643585E-2</v>
      </c>
      <c r="E31" s="63" t="s">
        <v>407</v>
      </c>
      <c r="F31" s="63" t="s">
        <v>21</v>
      </c>
      <c r="G31" s="29" t="s">
        <v>550</v>
      </c>
      <c r="H31" s="127" t="s">
        <v>526</v>
      </c>
      <c r="I31" s="127"/>
      <c r="J31" s="127"/>
      <c r="K31" s="127"/>
      <c r="L31" s="127"/>
    </row>
    <row r="32" spans="1:12" s="63" customFormat="1" ht="18" customHeight="1" x14ac:dyDescent="0.2">
      <c r="A32" s="91">
        <v>44000</v>
      </c>
      <c r="B32" s="63" t="s">
        <v>436</v>
      </c>
      <c r="C32" s="36">
        <f xml:space="preserve"> ABS((C14-CFD!$B$19)/(CFD!$B$20-CFD!$B$19)*(CFD!$A$20-CFD!$A$19) + CFD!$A$19)*PI()/180</f>
        <v>4.0356498684521652E-2</v>
      </c>
      <c r="E32" s="63" t="s">
        <v>407</v>
      </c>
      <c r="F32" s="63" t="s">
        <v>21</v>
      </c>
      <c r="G32" s="29" t="s">
        <v>550</v>
      </c>
      <c r="H32" s="127" t="s">
        <v>526</v>
      </c>
      <c r="I32" s="127"/>
      <c r="J32" s="127"/>
      <c r="K32" s="127"/>
      <c r="L32" s="127"/>
    </row>
    <row r="33" spans="1:12" s="63" customFormat="1" ht="18" customHeight="1" x14ac:dyDescent="0.2">
      <c r="A33" s="91">
        <v>45000</v>
      </c>
      <c r="B33" s="63" t="s">
        <v>436</v>
      </c>
      <c r="C33" s="36">
        <f xml:space="preserve"> ABS((C15-CFD!$B$19)/(CFD!$B$20-CFD!$B$19)*(CFD!$A$20-CFD!$A$19) + CFD!$A$19)*PI()/180</f>
        <v>4.2319168801845705E-2</v>
      </c>
      <c r="E33" s="63" t="s">
        <v>407</v>
      </c>
      <c r="F33" s="63" t="s">
        <v>21</v>
      </c>
      <c r="G33" s="29" t="s">
        <v>550</v>
      </c>
      <c r="H33" s="127" t="s">
        <v>526</v>
      </c>
      <c r="I33" s="127"/>
      <c r="J33" s="127"/>
      <c r="K33" s="127"/>
      <c r="L33" s="127"/>
    </row>
    <row r="34" spans="1:12" s="63" customFormat="1" ht="18" customHeight="1" x14ac:dyDescent="0.2">
      <c r="A34" s="91">
        <v>46000</v>
      </c>
      <c r="B34" s="63" t="s">
        <v>436</v>
      </c>
      <c r="C34" s="36">
        <f xml:space="preserve"> ABS((C16-CFD!$B$19)/(CFD!$B$20-CFD!$B$19)*(CFD!$A$20-CFD!$A$19) + CFD!$A$19)*PI()/180</f>
        <v>4.4383131080444449E-2</v>
      </c>
      <c r="E34" s="63" t="s">
        <v>407</v>
      </c>
      <c r="F34" s="63" t="s">
        <v>21</v>
      </c>
      <c r="G34" s="29" t="s">
        <v>550</v>
      </c>
      <c r="H34" s="127" t="s">
        <v>526</v>
      </c>
      <c r="I34" s="127"/>
      <c r="J34" s="127"/>
      <c r="K34" s="127"/>
      <c r="L34" s="127"/>
    </row>
    <row r="35" spans="1:12" s="63" customFormat="1" ht="18" customHeight="1" x14ac:dyDescent="0.2">
      <c r="A35" s="91">
        <v>47000</v>
      </c>
      <c r="B35" s="63" t="s">
        <v>436</v>
      </c>
      <c r="C35" s="36">
        <f xml:space="preserve"> ABS((C17-CFD!$B$19)/(CFD!$B$20-CFD!$B$19)*(CFD!$A$20-CFD!$A$19) + CFD!$A$19)*PI()/180</f>
        <v>4.6549270655320968E-2</v>
      </c>
      <c r="E35" s="63" t="s">
        <v>407</v>
      </c>
      <c r="F35" s="63" t="s">
        <v>21</v>
      </c>
      <c r="G35" s="29" t="s">
        <v>550</v>
      </c>
      <c r="H35" s="127" t="s">
        <v>526</v>
      </c>
      <c r="I35" s="127"/>
      <c r="J35" s="127"/>
      <c r="K35" s="127"/>
      <c r="L35" s="127"/>
    </row>
    <row r="36" spans="1:12" s="63" customFormat="1" ht="18" customHeight="1" x14ac:dyDescent="0.2">
      <c r="A36" s="91">
        <v>48000</v>
      </c>
      <c r="B36" s="63" t="s">
        <v>436</v>
      </c>
      <c r="C36" s="36">
        <f xml:space="preserve"> ABS((C18-CFD!$B$19)/(CFD!$B$20-CFD!$B$19)*(CFD!$A$20-CFD!$A$19) + CFD!$A$19)*PI()/180</f>
        <v>4.8817128445789504E-2</v>
      </c>
      <c r="E36" s="63" t="s">
        <v>407</v>
      </c>
      <c r="F36" s="63" t="s">
        <v>21</v>
      </c>
      <c r="G36" s="29" t="s">
        <v>550</v>
      </c>
      <c r="H36" s="127" t="s">
        <v>526</v>
      </c>
      <c r="I36" s="127"/>
      <c r="J36" s="127"/>
      <c r="K36" s="127"/>
      <c r="L36" s="127"/>
    </row>
    <row r="37" spans="1:12" s="63" customFormat="1" ht="18" customHeight="1" x14ac:dyDescent="0.2">
      <c r="A37" s="91">
        <v>49000</v>
      </c>
      <c r="B37" s="63" t="s">
        <v>436</v>
      </c>
      <c r="C37" s="36">
        <f xml:space="preserve"> ABS((C19-CFD!$B$19)/(CFD!$B$20-CFD!$B$19)*(CFD!$A$20-CFD!$A$19) + CFD!$A$19)*PI()/180</f>
        <v>5.1211260589072459E-2</v>
      </c>
      <c r="E37" s="63" t="s">
        <v>407</v>
      </c>
      <c r="F37" s="63" t="s">
        <v>21</v>
      </c>
      <c r="G37" s="29" t="s">
        <v>550</v>
      </c>
      <c r="H37" s="127" t="s">
        <v>526</v>
      </c>
      <c r="I37" s="127"/>
      <c r="J37" s="127"/>
      <c r="K37" s="127"/>
      <c r="L37" s="127"/>
    </row>
    <row r="38" spans="1:12" ht="18" customHeight="1" x14ac:dyDescent="0.2">
      <c r="A38" s="49" t="s">
        <v>560</v>
      </c>
      <c r="B38" s="47" t="s">
        <v>481</v>
      </c>
      <c r="C38" s="48">
        <f>C20/C56</f>
        <v>3.5529733607750816E-2</v>
      </c>
      <c r="D38" s="49" t="s">
        <v>125</v>
      </c>
      <c r="E38" s="49" t="s">
        <v>407</v>
      </c>
      <c r="F38" s="49" t="s">
        <v>21</v>
      </c>
      <c r="G38" s="29" t="s">
        <v>482</v>
      </c>
      <c r="H38" s="127" t="s">
        <v>483</v>
      </c>
      <c r="I38" s="127"/>
      <c r="J38" s="127"/>
      <c r="K38" s="127"/>
      <c r="L38" s="127"/>
    </row>
    <row r="39" spans="1:12" s="63" customFormat="1" ht="18" customHeight="1" x14ac:dyDescent="0.2">
      <c r="A39" s="91">
        <v>42000</v>
      </c>
      <c r="B39" s="47" t="s">
        <v>481</v>
      </c>
      <c r="C39" s="48">
        <f>C21/C57</f>
        <v>3.5519818307711247E-2</v>
      </c>
      <c r="D39" s="63" t="s">
        <v>125</v>
      </c>
      <c r="E39" s="63" t="s">
        <v>407</v>
      </c>
      <c r="F39" s="63" t="s">
        <v>21</v>
      </c>
      <c r="G39" s="29" t="s">
        <v>482</v>
      </c>
      <c r="H39" s="127" t="s">
        <v>483</v>
      </c>
      <c r="I39" s="127"/>
      <c r="J39" s="127"/>
      <c r="K39" s="127"/>
      <c r="L39" s="127"/>
    </row>
    <row r="40" spans="1:12" s="63" customFormat="1" ht="18" customHeight="1" x14ac:dyDescent="0.2">
      <c r="A40" s="91">
        <v>43000</v>
      </c>
      <c r="B40" s="47" t="s">
        <v>481</v>
      </c>
      <c r="C40" s="48">
        <f t="shared" ref="C40:C46" si="0">C22/C58</f>
        <v>3.5510394988207988E-2</v>
      </c>
      <c r="D40" s="63" t="s">
        <v>125</v>
      </c>
      <c r="E40" s="63" t="s">
        <v>407</v>
      </c>
      <c r="F40" s="63" t="s">
        <v>21</v>
      </c>
      <c r="G40" s="29" t="s">
        <v>482</v>
      </c>
      <c r="H40" s="127" t="s">
        <v>483</v>
      </c>
      <c r="I40" s="127"/>
      <c r="J40" s="127"/>
      <c r="K40" s="127"/>
      <c r="L40" s="127"/>
    </row>
    <row r="41" spans="1:12" s="63" customFormat="1" ht="18" customHeight="1" x14ac:dyDescent="0.2">
      <c r="A41" s="91">
        <v>44000</v>
      </c>
      <c r="B41" s="47" t="s">
        <v>481</v>
      </c>
      <c r="C41" s="48">
        <f t="shared" si="0"/>
        <v>3.5501387959927765E-2</v>
      </c>
      <c r="D41" s="63" t="s">
        <v>125</v>
      </c>
      <c r="E41" s="63" t="s">
        <v>407</v>
      </c>
      <c r="F41" s="63" t="s">
        <v>21</v>
      </c>
      <c r="G41" s="29" t="s">
        <v>482</v>
      </c>
      <c r="H41" s="127" t="s">
        <v>483</v>
      </c>
      <c r="I41" s="127"/>
      <c r="J41" s="127"/>
      <c r="K41" s="127"/>
      <c r="L41" s="127"/>
    </row>
    <row r="42" spans="1:12" s="63" customFormat="1" ht="18" customHeight="1" x14ac:dyDescent="0.2">
      <c r="A42" s="91">
        <v>45000</v>
      </c>
      <c r="B42" s="47" t="s">
        <v>481</v>
      </c>
      <c r="C42" s="48">
        <f t="shared" si="0"/>
        <v>3.549283506752722E-2</v>
      </c>
      <c r="D42" s="63" t="s">
        <v>125</v>
      </c>
      <c r="E42" s="63" t="s">
        <v>407</v>
      </c>
      <c r="F42" s="63" t="s">
        <v>21</v>
      </c>
      <c r="G42" s="29" t="s">
        <v>482</v>
      </c>
      <c r="H42" s="127" t="s">
        <v>483</v>
      </c>
      <c r="I42" s="127"/>
      <c r="J42" s="127"/>
      <c r="K42" s="127"/>
      <c r="L42" s="127"/>
    </row>
    <row r="43" spans="1:12" s="63" customFormat="1" ht="18" customHeight="1" x14ac:dyDescent="0.2">
      <c r="A43" s="91">
        <v>46000</v>
      </c>
      <c r="B43" s="47" t="s">
        <v>481</v>
      </c>
      <c r="C43" s="48">
        <f t="shared" si="0"/>
        <v>3.5484660621693073E-2</v>
      </c>
      <c r="D43" s="63" t="s">
        <v>125</v>
      </c>
      <c r="E43" s="63" t="s">
        <v>407</v>
      </c>
      <c r="F43" s="63" t="s">
        <v>21</v>
      </c>
      <c r="G43" s="29" t="s">
        <v>482</v>
      </c>
      <c r="H43" s="127" t="s">
        <v>483</v>
      </c>
      <c r="I43" s="127"/>
      <c r="J43" s="127"/>
      <c r="K43" s="127"/>
      <c r="L43" s="127"/>
    </row>
    <row r="44" spans="1:12" s="63" customFormat="1" ht="18" customHeight="1" x14ac:dyDescent="0.2">
      <c r="A44" s="91">
        <v>47000</v>
      </c>
      <c r="B44" s="47" t="s">
        <v>481</v>
      </c>
      <c r="C44" s="48">
        <f t="shared" si="0"/>
        <v>3.5476864622425316E-2</v>
      </c>
      <c r="D44" s="63" t="s">
        <v>125</v>
      </c>
      <c r="E44" s="63" t="s">
        <v>407</v>
      </c>
      <c r="F44" s="63" t="s">
        <v>21</v>
      </c>
      <c r="G44" s="29" t="s">
        <v>482</v>
      </c>
      <c r="H44" s="127" t="s">
        <v>483</v>
      </c>
      <c r="I44" s="127"/>
      <c r="J44" s="127"/>
      <c r="K44" s="127"/>
      <c r="L44" s="127"/>
    </row>
    <row r="45" spans="1:12" s="63" customFormat="1" ht="18" customHeight="1" x14ac:dyDescent="0.2">
      <c r="A45" s="91">
        <v>48000</v>
      </c>
      <c r="B45" s="47" t="s">
        <v>481</v>
      </c>
      <c r="C45" s="48">
        <f t="shared" si="0"/>
        <v>3.5469447069723957E-2</v>
      </c>
      <c r="D45" s="63" t="s">
        <v>125</v>
      </c>
      <c r="E45" s="63" t="s">
        <v>407</v>
      </c>
      <c r="F45" s="63" t="s">
        <v>21</v>
      </c>
      <c r="G45" s="29" t="s">
        <v>482</v>
      </c>
      <c r="H45" s="127" t="s">
        <v>483</v>
      </c>
      <c r="I45" s="127"/>
      <c r="J45" s="127"/>
      <c r="K45" s="127"/>
      <c r="L45" s="127"/>
    </row>
    <row r="46" spans="1:12" s="63" customFormat="1" ht="18" customHeight="1" x14ac:dyDescent="0.2">
      <c r="A46" s="91">
        <v>49000</v>
      </c>
      <c r="B46" s="47" t="s">
        <v>481</v>
      </c>
      <c r="C46" s="48">
        <f t="shared" si="0"/>
        <v>3.5462332274275719E-2</v>
      </c>
      <c r="D46" s="63" t="s">
        <v>125</v>
      </c>
      <c r="E46" s="63" t="s">
        <v>407</v>
      </c>
      <c r="F46" s="63" t="s">
        <v>21</v>
      </c>
      <c r="G46" s="29" t="s">
        <v>482</v>
      </c>
      <c r="H46" s="127" t="s">
        <v>483</v>
      </c>
      <c r="I46" s="127"/>
      <c r="J46" s="127"/>
      <c r="K46" s="127"/>
      <c r="L46" s="127"/>
    </row>
    <row r="47" spans="1:12" ht="18" customHeight="1" x14ac:dyDescent="0.2">
      <c r="A47" s="49" t="s">
        <v>559</v>
      </c>
      <c r="B47" s="49" t="s">
        <v>420</v>
      </c>
      <c r="C47" s="36">
        <f t="shared" ref="C47:C55" si="1">C11/C29</f>
        <v>2.8590978260127686</v>
      </c>
      <c r="D47" s="49" t="s">
        <v>125</v>
      </c>
      <c r="E47" s="49" t="s">
        <v>421</v>
      </c>
      <c r="F47" s="49" t="s">
        <v>21</v>
      </c>
      <c r="G47" s="29" t="s">
        <v>422</v>
      </c>
      <c r="H47" s="110" t="s">
        <v>423</v>
      </c>
      <c r="I47" s="110"/>
      <c r="J47" s="110"/>
      <c r="K47" s="110"/>
      <c r="L47" s="110"/>
    </row>
    <row r="48" spans="1:12" s="63" customFormat="1" ht="18" customHeight="1" x14ac:dyDescent="0.2">
      <c r="A48" s="91">
        <v>42000</v>
      </c>
      <c r="B48" s="63" t="s">
        <v>420</v>
      </c>
      <c r="C48" s="36">
        <f t="shared" si="1"/>
        <v>2.8598959385633962</v>
      </c>
      <c r="D48" s="63" t="s">
        <v>125</v>
      </c>
      <c r="E48" s="63" t="s">
        <v>421</v>
      </c>
      <c r="F48" s="63" t="s">
        <v>21</v>
      </c>
      <c r="G48" s="29" t="s">
        <v>422</v>
      </c>
      <c r="H48" s="110" t="s">
        <v>423</v>
      </c>
      <c r="I48" s="110"/>
      <c r="J48" s="110"/>
      <c r="K48" s="110"/>
      <c r="L48" s="110"/>
    </row>
    <row r="49" spans="1:12" s="63" customFormat="1" ht="18" customHeight="1" x14ac:dyDescent="0.2">
      <c r="A49" s="91">
        <v>43000</v>
      </c>
      <c r="B49" s="63" t="s">
        <v>420</v>
      </c>
      <c r="C49" s="36">
        <f t="shared" si="1"/>
        <v>2.8606548631876958</v>
      </c>
      <c r="D49" s="63" t="s">
        <v>125</v>
      </c>
      <c r="E49" s="63" t="s">
        <v>421</v>
      </c>
      <c r="F49" s="63" t="s">
        <v>21</v>
      </c>
      <c r="G49" s="29" t="s">
        <v>422</v>
      </c>
      <c r="H49" s="110" t="s">
        <v>423</v>
      </c>
      <c r="I49" s="110"/>
      <c r="J49" s="110"/>
      <c r="K49" s="110"/>
      <c r="L49" s="110"/>
    </row>
    <row r="50" spans="1:12" s="63" customFormat="1" ht="18" customHeight="1" x14ac:dyDescent="0.2">
      <c r="A50" s="91">
        <v>44000</v>
      </c>
      <c r="B50" s="63" t="s">
        <v>420</v>
      </c>
      <c r="C50" s="36">
        <f t="shared" si="1"/>
        <v>2.8613806376076076</v>
      </c>
      <c r="D50" s="63" t="s">
        <v>125</v>
      </c>
      <c r="E50" s="63" t="s">
        <v>421</v>
      </c>
      <c r="F50" s="63" t="s">
        <v>21</v>
      </c>
      <c r="G50" s="29" t="s">
        <v>422</v>
      </c>
      <c r="H50" s="110" t="s">
        <v>423</v>
      </c>
      <c r="I50" s="110"/>
      <c r="J50" s="110"/>
      <c r="K50" s="110"/>
      <c r="L50" s="110"/>
    </row>
    <row r="51" spans="1:12" s="63" customFormat="1" ht="18" customHeight="1" x14ac:dyDescent="0.2">
      <c r="A51" s="91">
        <v>45000</v>
      </c>
      <c r="B51" s="63" t="s">
        <v>420</v>
      </c>
      <c r="C51" s="36">
        <f t="shared" si="1"/>
        <v>2.8620701593283688</v>
      </c>
      <c r="D51" s="63" t="s">
        <v>125</v>
      </c>
      <c r="E51" s="63" t="s">
        <v>421</v>
      </c>
      <c r="F51" s="63" t="s">
        <v>21</v>
      </c>
      <c r="G51" s="29" t="s">
        <v>422</v>
      </c>
      <c r="H51" s="110" t="s">
        <v>423</v>
      </c>
      <c r="I51" s="110"/>
      <c r="J51" s="110"/>
      <c r="K51" s="110"/>
      <c r="L51" s="110"/>
    </row>
    <row r="52" spans="1:12" s="63" customFormat="1" ht="18" customHeight="1" x14ac:dyDescent="0.2">
      <c r="A52" s="91">
        <v>46000</v>
      </c>
      <c r="B52" s="63" t="s">
        <v>420</v>
      </c>
      <c r="C52" s="36">
        <f t="shared" si="1"/>
        <v>2.8627294818942626</v>
      </c>
      <c r="D52" s="63" t="s">
        <v>125</v>
      </c>
      <c r="E52" s="63" t="s">
        <v>421</v>
      </c>
      <c r="F52" s="63" t="s">
        <v>21</v>
      </c>
      <c r="G52" s="29" t="s">
        <v>422</v>
      </c>
      <c r="H52" s="110" t="s">
        <v>423</v>
      </c>
      <c r="I52" s="110"/>
      <c r="J52" s="110"/>
      <c r="K52" s="110"/>
      <c r="L52" s="110"/>
    </row>
    <row r="53" spans="1:12" s="63" customFormat="1" ht="18" customHeight="1" x14ac:dyDescent="0.2">
      <c r="A53" s="91">
        <v>47000</v>
      </c>
      <c r="B53" s="63" t="s">
        <v>420</v>
      </c>
      <c r="C53" s="36">
        <f t="shared" si="1"/>
        <v>2.863358563330352</v>
      </c>
      <c r="D53" s="63" t="s">
        <v>125</v>
      </c>
      <c r="E53" s="63" t="s">
        <v>421</v>
      </c>
      <c r="F53" s="63" t="s">
        <v>21</v>
      </c>
      <c r="G53" s="29" t="s">
        <v>422</v>
      </c>
      <c r="H53" s="110" t="s">
        <v>423</v>
      </c>
      <c r="I53" s="110"/>
      <c r="J53" s="110"/>
      <c r="K53" s="110"/>
      <c r="L53" s="110"/>
    </row>
    <row r="54" spans="1:12" s="63" customFormat="1" ht="18" customHeight="1" x14ac:dyDescent="0.2">
      <c r="A54" s="91">
        <v>48000</v>
      </c>
      <c r="B54" s="63" t="s">
        <v>420</v>
      </c>
      <c r="C54" s="36">
        <f t="shared" si="1"/>
        <v>2.8639573635598747</v>
      </c>
      <c r="D54" s="63" t="s">
        <v>125</v>
      </c>
      <c r="E54" s="63" t="s">
        <v>421</v>
      </c>
      <c r="F54" s="63" t="s">
        <v>21</v>
      </c>
      <c r="G54" s="29" t="s">
        <v>422</v>
      </c>
      <c r="H54" s="110" t="s">
        <v>423</v>
      </c>
      <c r="I54" s="110"/>
      <c r="J54" s="110"/>
      <c r="K54" s="110"/>
      <c r="L54" s="110"/>
    </row>
    <row r="55" spans="1:12" s="63" customFormat="1" ht="18" customHeight="1" x14ac:dyDescent="0.2">
      <c r="A55" s="91">
        <v>49000</v>
      </c>
      <c r="B55" s="63" t="s">
        <v>420</v>
      </c>
      <c r="C55" s="36">
        <f t="shared" si="1"/>
        <v>2.8645319583343136</v>
      </c>
      <c r="D55" s="63" t="s">
        <v>125</v>
      </c>
      <c r="E55" s="63" t="s">
        <v>421</v>
      </c>
      <c r="F55" s="63" t="s">
        <v>21</v>
      </c>
      <c r="G55" s="29" t="s">
        <v>422</v>
      </c>
      <c r="H55" s="110" t="s">
        <v>423</v>
      </c>
      <c r="I55" s="110"/>
      <c r="J55" s="110"/>
      <c r="K55" s="110"/>
      <c r="L55" s="110"/>
    </row>
    <row r="56" spans="1:12" ht="18" customHeight="1" x14ac:dyDescent="0.2">
      <c r="A56" s="49" t="s">
        <v>425</v>
      </c>
      <c r="B56" s="49" t="s">
        <v>426</v>
      </c>
      <c r="C56" s="36">
        <f>C47</f>
        <v>2.8590978260127686</v>
      </c>
      <c r="D56" s="49" t="s">
        <v>125</v>
      </c>
      <c r="E56" s="49" t="s">
        <v>421</v>
      </c>
      <c r="F56" s="49" t="s">
        <v>21</v>
      </c>
      <c r="G56" s="29" t="s">
        <v>427</v>
      </c>
      <c r="H56" s="110" t="s">
        <v>428</v>
      </c>
      <c r="I56" s="110"/>
      <c r="J56" s="110"/>
      <c r="K56" s="110"/>
      <c r="L56" s="110"/>
    </row>
    <row r="57" spans="1:12" s="63" customFormat="1" ht="18" customHeight="1" x14ac:dyDescent="0.2">
      <c r="A57" s="91">
        <v>42000</v>
      </c>
      <c r="B57" s="63" t="s">
        <v>426</v>
      </c>
      <c r="C57" s="36">
        <f t="shared" ref="C57:C64" si="2">C48</f>
        <v>2.8598959385633962</v>
      </c>
      <c r="D57" s="63" t="s">
        <v>125</v>
      </c>
      <c r="E57" s="63" t="s">
        <v>421</v>
      </c>
      <c r="F57" s="63" t="s">
        <v>21</v>
      </c>
      <c r="G57" s="29" t="s">
        <v>427</v>
      </c>
      <c r="H57" s="110" t="s">
        <v>428</v>
      </c>
      <c r="I57" s="110"/>
      <c r="J57" s="110"/>
      <c r="K57" s="110"/>
      <c r="L57" s="110"/>
    </row>
    <row r="58" spans="1:12" s="63" customFormat="1" ht="18" customHeight="1" x14ac:dyDescent="0.2">
      <c r="A58" s="91">
        <v>43000</v>
      </c>
      <c r="B58" s="63" t="s">
        <v>426</v>
      </c>
      <c r="C58" s="36">
        <f t="shared" si="2"/>
        <v>2.8606548631876958</v>
      </c>
      <c r="D58" s="63" t="s">
        <v>125</v>
      </c>
      <c r="E58" s="63" t="s">
        <v>421</v>
      </c>
      <c r="F58" s="63" t="s">
        <v>21</v>
      </c>
      <c r="G58" s="29" t="s">
        <v>427</v>
      </c>
      <c r="H58" s="110" t="s">
        <v>428</v>
      </c>
      <c r="I58" s="110"/>
      <c r="J58" s="110"/>
      <c r="K58" s="110"/>
      <c r="L58" s="110"/>
    </row>
    <row r="59" spans="1:12" s="63" customFormat="1" ht="18" customHeight="1" x14ac:dyDescent="0.2">
      <c r="A59" s="91">
        <v>44000</v>
      </c>
      <c r="B59" s="63" t="s">
        <v>426</v>
      </c>
      <c r="C59" s="36">
        <f t="shared" si="2"/>
        <v>2.8613806376076076</v>
      </c>
      <c r="D59" s="63" t="s">
        <v>125</v>
      </c>
      <c r="E59" s="63" t="s">
        <v>421</v>
      </c>
      <c r="F59" s="63" t="s">
        <v>21</v>
      </c>
      <c r="G59" s="29" t="s">
        <v>427</v>
      </c>
      <c r="H59" s="110" t="s">
        <v>428</v>
      </c>
      <c r="I59" s="110"/>
      <c r="J59" s="110"/>
      <c r="K59" s="110"/>
      <c r="L59" s="110"/>
    </row>
    <row r="60" spans="1:12" s="63" customFormat="1" ht="18" customHeight="1" x14ac:dyDescent="0.2">
      <c r="A60" s="91">
        <v>45000</v>
      </c>
      <c r="B60" s="63" t="s">
        <v>426</v>
      </c>
      <c r="C60" s="36">
        <f t="shared" si="2"/>
        <v>2.8620701593283688</v>
      </c>
      <c r="D60" s="63" t="s">
        <v>125</v>
      </c>
      <c r="E60" s="63" t="s">
        <v>421</v>
      </c>
      <c r="F60" s="63" t="s">
        <v>21</v>
      </c>
      <c r="G60" s="29" t="s">
        <v>427</v>
      </c>
      <c r="H60" s="110" t="s">
        <v>428</v>
      </c>
      <c r="I60" s="110"/>
      <c r="J60" s="110"/>
      <c r="K60" s="110"/>
      <c r="L60" s="110"/>
    </row>
    <row r="61" spans="1:12" s="63" customFormat="1" ht="18" customHeight="1" x14ac:dyDescent="0.2">
      <c r="A61" s="91">
        <v>46000</v>
      </c>
      <c r="B61" s="63" t="s">
        <v>426</v>
      </c>
      <c r="C61" s="36">
        <f t="shared" si="2"/>
        <v>2.8627294818942626</v>
      </c>
      <c r="D61" s="63" t="s">
        <v>125</v>
      </c>
      <c r="E61" s="63" t="s">
        <v>421</v>
      </c>
      <c r="F61" s="63" t="s">
        <v>21</v>
      </c>
      <c r="G61" s="29" t="s">
        <v>427</v>
      </c>
      <c r="H61" s="110" t="s">
        <v>428</v>
      </c>
      <c r="I61" s="110"/>
      <c r="J61" s="110"/>
      <c r="K61" s="110"/>
      <c r="L61" s="110"/>
    </row>
    <row r="62" spans="1:12" s="63" customFormat="1" ht="18" customHeight="1" x14ac:dyDescent="0.2">
      <c r="A62" s="91">
        <v>47000</v>
      </c>
      <c r="B62" s="63" t="s">
        <v>426</v>
      </c>
      <c r="C62" s="36">
        <f t="shared" si="2"/>
        <v>2.863358563330352</v>
      </c>
      <c r="D62" s="63" t="s">
        <v>125</v>
      </c>
      <c r="E62" s="63" t="s">
        <v>421</v>
      </c>
      <c r="F62" s="63" t="s">
        <v>21</v>
      </c>
      <c r="G62" s="29" t="s">
        <v>427</v>
      </c>
      <c r="H62" s="110" t="s">
        <v>428</v>
      </c>
      <c r="I62" s="110"/>
      <c r="J62" s="110"/>
      <c r="K62" s="110"/>
      <c r="L62" s="110"/>
    </row>
    <row r="63" spans="1:12" s="63" customFormat="1" ht="18" customHeight="1" x14ac:dyDescent="0.2">
      <c r="A63" s="91">
        <v>48000</v>
      </c>
      <c r="B63" s="63" t="s">
        <v>426</v>
      </c>
      <c r="C63" s="36">
        <f t="shared" si="2"/>
        <v>2.8639573635598747</v>
      </c>
      <c r="D63" s="63" t="s">
        <v>125</v>
      </c>
      <c r="E63" s="63" t="s">
        <v>421</v>
      </c>
      <c r="F63" s="63" t="s">
        <v>21</v>
      </c>
      <c r="G63" s="29" t="s">
        <v>427</v>
      </c>
      <c r="H63" s="110" t="s">
        <v>428</v>
      </c>
      <c r="I63" s="110"/>
      <c r="J63" s="110"/>
      <c r="K63" s="110"/>
      <c r="L63" s="110"/>
    </row>
    <row r="64" spans="1:12" s="63" customFormat="1" ht="18" customHeight="1" x14ac:dyDescent="0.2">
      <c r="A64" s="91">
        <v>49000</v>
      </c>
      <c r="B64" s="63" t="s">
        <v>426</v>
      </c>
      <c r="C64" s="36">
        <f t="shared" si="2"/>
        <v>2.8645319583343136</v>
      </c>
      <c r="D64" s="63" t="s">
        <v>125</v>
      </c>
      <c r="E64" s="63" t="s">
        <v>421</v>
      </c>
      <c r="F64" s="63" t="s">
        <v>21</v>
      </c>
      <c r="G64" s="29" t="s">
        <v>427</v>
      </c>
      <c r="H64" s="110" t="s">
        <v>428</v>
      </c>
      <c r="I64" s="110"/>
      <c r="J64" s="110"/>
      <c r="K64" s="110"/>
      <c r="L64" s="110"/>
    </row>
    <row r="65" spans="1:12" ht="18" customHeight="1" x14ac:dyDescent="0.2">
      <c r="A65" s="52" t="s">
        <v>429</v>
      </c>
      <c r="B65" s="49" t="s">
        <v>430</v>
      </c>
      <c r="C65" s="36">
        <f>$C$7/C29</f>
        <v>0.52330858659903567</v>
      </c>
      <c r="D65" s="49" t="s">
        <v>125</v>
      </c>
      <c r="E65" s="49" t="s">
        <v>431</v>
      </c>
      <c r="F65" s="49" t="s">
        <v>21</v>
      </c>
      <c r="G65" s="29" t="s">
        <v>432</v>
      </c>
      <c r="H65" s="110" t="s">
        <v>433</v>
      </c>
      <c r="I65" s="110"/>
      <c r="J65" s="110"/>
      <c r="K65" s="110"/>
      <c r="L65" s="110"/>
    </row>
    <row r="66" spans="1:12" s="63" customFormat="1" ht="18" customHeight="1" x14ac:dyDescent="0.2">
      <c r="A66" s="91">
        <v>42000</v>
      </c>
      <c r="B66" s="63" t="s">
        <v>430</v>
      </c>
      <c r="C66" s="36">
        <f t="shared" ref="C66:C73" si="3">$C$7/C30</f>
        <v>0.49895571721456178</v>
      </c>
      <c r="D66" s="63" t="s">
        <v>125</v>
      </c>
      <c r="E66" s="63" t="s">
        <v>431</v>
      </c>
      <c r="F66" s="63" t="s">
        <v>21</v>
      </c>
      <c r="G66" s="29" t="s">
        <v>432</v>
      </c>
      <c r="H66" s="110" t="s">
        <v>433</v>
      </c>
      <c r="I66" s="110"/>
      <c r="J66" s="110"/>
      <c r="K66" s="110"/>
      <c r="L66" s="110"/>
    </row>
    <row r="67" spans="1:12" s="63" customFormat="1" ht="18" customHeight="1" x14ac:dyDescent="0.2">
      <c r="A67" s="91">
        <v>43000</v>
      </c>
      <c r="B67" s="63" t="s">
        <v>430</v>
      </c>
      <c r="C67" s="36">
        <f t="shared" si="3"/>
        <v>0.47579859202753566</v>
      </c>
      <c r="D67" s="63" t="s">
        <v>125</v>
      </c>
      <c r="E67" s="63" t="s">
        <v>431</v>
      </c>
      <c r="F67" s="63" t="s">
        <v>21</v>
      </c>
      <c r="G67" s="29" t="s">
        <v>432</v>
      </c>
      <c r="H67" s="110" t="s">
        <v>433</v>
      </c>
      <c r="I67" s="110"/>
      <c r="J67" s="110"/>
      <c r="K67" s="110"/>
      <c r="L67" s="110"/>
    </row>
    <row r="68" spans="1:12" s="63" customFormat="1" ht="18" customHeight="1" x14ac:dyDescent="0.2">
      <c r="A68" s="91">
        <v>44000</v>
      </c>
      <c r="B68" s="63" t="s">
        <v>430</v>
      </c>
      <c r="C68" s="36">
        <f t="shared" si="3"/>
        <v>0.45365298156594813</v>
      </c>
      <c r="D68" s="63" t="s">
        <v>125</v>
      </c>
      <c r="E68" s="63" t="s">
        <v>431</v>
      </c>
      <c r="F68" s="63" t="s">
        <v>21</v>
      </c>
      <c r="G68" s="29" t="s">
        <v>432</v>
      </c>
      <c r="H68" s="110" t="s">
        <v>433</v>
      </c>
      <c r="I68" s="110"/>
      <c r="J68" s="110"/>
      <c r="K68" s="110"/>
      <c r="L68" s="110"/>
    </row>
    <row r="69" spans="1:12" s="63" customFormat="1" ht="18" customHeight="1" x14ac:dyDescent="0.2">
      <c r="A69" s="91">
        <v>45000</v>
      </c>
      <c r="B69" s="63" t="s">
        <v>430</v>
      </c>
      <c r="C69" s="36">
        <f t="shared" si="3"/>
        <v>0.43261355249011968</v>
      </c>
      <c r="D69" s="63" t="s">
        <v>125</v>
      </c>
      <c r="E69" s="63" t="s">
        <v>431</v>
      </c>
      <c r="F69" s="63" t="s">
        <v>21</v>
      </c>
      <c r="G69" s="29" t="s">
        <v>432</v>
      </c>
      <c r="H69" s="110" t="s">
        <v>433</v>
      </c>
      <c r="I69" s="110"/>
      <c r="J69" s="110"/>
      <c r="K69" s="110"/>
      <c r="L69" s="110"/>
    </row>
    <row r="70" spans="1:12" s="63" customFormat="1" ht="18" customHeight="1" x14ac:dyDescent="0.2">
      <c r="A70" s="91">
        <v>46000</v>
      </c>
      <c r="B70" s="63" t="s">
        <v>430</v>
      </c>
      <c r="C70" s="36">
        <f t="shared" si="3"/>
        <v>0.41249559253970908</v>
      </c>
      <c r="D70" s="63" t="s">
        <v>125</v>
      </c>
      <c r="E70" s="63" t="s">
        <v>431</v>
      </c>
      <c r="F70" s="63" t="s">
        <v>21</v>
      </c>
      <c r="G70" s="29" t="s">
        <v>432</v>
      </c>
      <c r="H70" s="110" t="s">
        <v>433</v>
      </c>
      <c r="I70" s="110"/>
      <c r="J70" s="110"/>
      <c r="K70" s="110"/>
      <c r="L70" s="110"/>
    </row>
    <row r="71" spans="1:12" s="63" customFormat="1" ht="18" customHeight="1" x14ac:dyDescent="0.2">
      <c r="A71" s="91">
        <v>47000</v>
      </c>
      <c r="B71" s="63" t="s">
        <v>430</v>
      </c>
      <c r="C71" s="36">
        <f t="shared" si="3"/>
        <v>0.39330038249917826</v>
      </c>
      <c r="D71" s="63" t="s">
        <v>125</v>
      </c>
      <c r="E71" s="63" t="s">
        <v>431</v>
      </c>
      <c r="F71" s="63" t="s">
        <v>21</v>
      </c>
      <c r="G71" s="29" t="s">
        <v>432</v>
      </c>
      <c r="H71" s="110" t="s">
        <v>433</v>
      </c>
      <c r="I71" s="110"/>
      <c r="J71" s="110"/>
      <c r="K71" s="110"/>
      <c r="L71" s="110"/>
    </row>
    <row r="72" spans="1:12" s="63" customFormat="1" ht="18" customHeight="1" x14ac:dyDescent="0.2">
      <c r="A72" s="91">
        <v>48000</v>
      </c>
      <c r="B72" s="63" t="s">
        <v>430</v>
      </c>
      <c r="C72" s="36">
        <f t="shared" si="3"/>
        <v>0.37502914523385017</v>
      </c>
      <c r="D72" s="63" t="s">
        <v>125</v>
      </c>
      <c r="E72" s="63" t="s">
        <v>431</v>
      </c>
      <c r="F72" s="63" t="s">
        <v>21</v>
      </c>
      <c r="G72" s="29" t="s">
        <v>432</v>
      </c>
      <c r="H72" s="110" t="s">
        <v>433</v>
      </c>
      <c r="I72" s="110"/>
      <c r="J72" s="110"/>
      <c r="K72" s="110"/>
      <c r="L72" s="110"/>
    </row>
    <row r="73" spans="1:12" s="63" customFormat="1" ht="18" customHeight="1" x14ac:dyDescent="0.2">
      <c r="A73" s="91">
        <v>49000</v>
      </c>
      <c r="B73" s="63" t="s">
        <v>430</v>
      </c>
      <c r="C73" s="36">
        <f t="shared" si="3"/>
        <v>0.3574964908733777</v>
      </c>
      <c r="D73" s="63" t="s">
        <v>125</v>
      </c>
      <c r="E73" s="63" t="s">
        <v>431</v>
      </c>
      <c r="F73" s="63" t="s">
        <v>21</v>
      </c>
      <c r="G73" s="29" t="s">
        <v>432</v>
      </c>
      <c r="H73" s="110" t="s">
        <v>433</v>
      </c>
      <c r="I73" s="110"/>
      <c r="J73" s="110"/>
      <c r="K73" s="110"/>
      <c r="L73" s="110"/>
    </row>
    <row r="74" spans="1:12" ht="18" customHeight="1" x14ac:dyDescent="0.2">
      <c r="A74" s="49" t="s">
        <v>434</v>
      </c>
      <c r="B74" s="49" t="s">
        <v>435</v>
      </c>
      <c r="C74" s="36">
        <f>2*'Stability Constants Subsonic'!$C$13*('Stability Constants Subsonic'!$C$4-'Stability Constants Subsonic'!$C$3)*'Stability Constants Subsonic'!$C$14*'Supersonic Stability'!C29</f>
        <v>68518.092846343556</v>
      </c>
      <c r="D74" s="49" t="s">
        <v>125</v>
      </c>
      <c r="E74" s="49" t="s">
        <v>224</v>
      </c>
      <c r="F74" s="49" t="s">
        <v>21</v>
      </c>
      <c r="G74" s="29" t="s">
        <v>437</v>
      </c>
      <c r="H74" s="110" t="s">
        <v>438</v>
      </c>
      <c r="I74" s="110"/>
      <c r="J74" s="110"/>
      <c r="K74" s="110"/>
      <c r="L74" s="110"/>
    </row>
    <row r="75" spans="1:12" s="63" customFormat="1" ht="18" customHeight="1" x14ac:dyDescent="0.2">
      <c r="A75" s="91">
        <v>42000</v>
      </c>
      <c r="B75" s="63" t="s">
        <v>435</v>
      </c>
      <c r="C75" s="36">
        <f>2*'Stability Constants Subsonic'!$C$13*('Stability Constants Subsonic'!$C$4-'Stability Constants Subsonic'!$C$3)*'Stability Constants Subsonic'!$C$14*'Supersonic Stability'!C30</f>
        <v>71862.301777098677</v>
      </c>
      <c r="D75" s="63" t="s">
        <v>125</v>
      </c>
      <c r="E75" s="63" t="s">
        <v>224</v>
      </c>
      <c r="F75" s="63" t="s">
        <v>21</v>
      </c>
      <c r="G75" s="29" t="s">
        <v>437</v>
      </c>
      <c r="H75" s="110" t="s">
        <v>438</v>
      </c>
      <c r="I75" s="110"/>
      <c r="J75" s="110"/>
      <c r="K75" s="110"/>
      <c r="L75" s="110"/>
    </row>
    <row r="76" spans="1:12" s="63" customFormat="1" ht="18" customHeight="1" x14ac:dyDescent="0.2">
      <c r="A76" s="91">
        <v>43000</v>
      </c>
      <c r="B76" s="63" t="s">
        <v>435</v>
      </c>
      <c r="C76" s="36">
        <f>2*'Stability Constants Subsonic'!$C$13*('Stability Constants Subsonic'!$C$4-'Stability Constants Subsonic'!$C$3)*'Stability Constants Subsonic'!$C$14*'Supersonic Stability'!C31</f>
        <v>75359.841169530962</v>
      </c>
      <c r="D76" s="63" t="s">
        <v>125</v>
      </c>
      <c r="E76" s="63" t="s">
        <v>224</v>
      </c>
      <c r="F76" s="63" t="s">
        <v>21</v>
      </c>
      <c r="G76" s="29" t="s">
        <v>437</v>
      </c>
      <c r="H76" s="110" t="s">
        <v>438</v>
      </c>
      <c r="I76" s="110"/>
      <c r="J76" s="110"/>
      <c r="K76" s="110"/>
      <c r="L76" s="110"/>
    </row>
    <row r="77" spans="1:12" s="63" customFormat="1" ht="18" customHeight="1" x14ac:dyDescent="0.2">
      <c r="A77" s="91">
        <v>44000</v>
      </c>
      <c r="B77" s="63" t="s">
        <v>435</v>
      </c>
      <c r="C77" s="36">
        <f>2*'Stability Constants Subsonic'!$C$13*('Stability Constants Subsonic'!$C$4-'Stability Constants Subsonic'!$C$3)*'Stability Constants Subsonic'!$C$14*'Supersonic Stability'!C32</f>
        <v>79038.621547490256</v>
      </c>
      <c r="D77" s="63" t="s">
        <v>125</v>
      </c>
      <c r="E77" s="63" t="s">
        <v>224</v>
      </c>
      <c r="F77" s="63" t="s">
        <v>21</v>
      </c>
      <c r="G77" s="29" t="s">
        <v>437</v>
      </c>
      <c r="H77" s="110" t="s">
        <v>438</v>
      </c>
      <c r="I77" s="110"/>
      <c r="J77" s="110"/>
      <c r="K77" s="110"/>
      <c r="L77" s="110"/>
    </row>
    <row r="78" spans="1:12" s="63" customFormat="1" ht="18" customHeight="1" x14ac:dyDescent="0.2">
      <c r="A78" s="91">
        <v>45000</v>
      </c>
      <c r="B78" s="63" t="s">
        <v>435</v>
      </c>
      <c r="C78" s="36">
        <f>2*'Stability Constants Subsonic'!$C$13*('Stability Constants Subsonic'!$C$4-'Stability Constants Subsonic'!$C$3)*'Stability Constants Subsonic'!$C$14*'Supersonic Stability'!C33</f>
        <v>82882.531343491501</v>
      </c>
      <c r="D78" s="63" t="s">
        <v>125</v>
      </c>
      <c r="E78" s="63" t="s">
        <v>224</v>
      </c>
      <c r="F78" s="63" t="s">
        <v>21</v>
      </c>
      <c r="G78" s="29" t="s">
        <v>437</v>
      </c>
      <c r="H78" s="110" t="s">
        <v>438</v>
      </c>
      <c r="I78" s="110"/>
      <c r="J78" s="110"/>
      <c r="K78" s="110"/>
      <c r="L78" s="110"/>
    </row>
    <row r="79" spans="1:12" s="63" customFormat="1" ht="18" customHeight="1" x14ac:dyDescent="0.2">
      <c r="A79" s="91">
        <v>46000</v>
      </c>
      <c r="B79" s="63" t="s">
        <v>435</v>
      </c>
      <c r="C79" s="36">
        <f>2*'Stability Constants Subsonic'!$C$13*('Stability Constants Subsonic'!$C$4-'Stability Constants Subsonic'!$C$3)*'Stability Constants Subsonic'!$C$14*'Supersonic Stability'!C34</f>
        <v>86924.822888695096</v>
      </c>
      <c r="D79" s="63" t="s">
        <v>125</v>
      </c>
      <c r="E79" s="63" t="s">
        <v>224</v>
      </c>
      <c r="F79" s="63" t="s">
        <v>21</v>
      </c>
      <c r="G79" s="29" t="s">
        <v>437</v>
      </c>
      <c r="H79" s="110" t="s">
        <v>438</v>
      </c>
      <c r="I79" s="110"/>
      <c r="J79" s="110"/>
      <c r="K79" s="110"/>
      <c r="L79" s="110"/>
    </row>
    <row r="80" spans="1:12" s="63" customFormat="1" ht="18" customHeight="1" x14ac:dyDescent="0.2">
      <c r="A80" s="91">
        <v>47000</v>
      </c>
      <c r="B80" s="63" t="s">
        <v>435</v>
      </c>
      <c r="C80" s="36">
        <f>2*'Stability Constants Subsonic'!$C$13*('Stability Constants Subsonic'!$C$4-'Stability Constants Subsonic'!$C$3)*'Stability Constants Subsonic'!$C$14*'Supersonic Stability'!C35</f>
        <v>91167.229729191691</v>
      </c>
      <c r="D80" s="63" t="s">
        <v>125</v>
      </c>
      <c r="E80" s="63" t="s">
        <v>224</v>
      </c>
      <c r="F80" s="63" t="s">
        <v>21</v>
      </c>
      <c r="G80" s="29" t="s">
        <v>437</v>
      </c>
      <c r="H80" s="110" t="s">
        <v>438</v>
      </c>
      <c r="I80" s="110"/>
      <c r="J80" s="110"/>
      <c r="K80" s="110"/>
      <c r="L80" s="110"/>
    </row>
    <row r="81" spans="1:12" s="63" customFormat="1" ht="18" customHeight="1" x14ac:dyDescent="0.2">
      <c r="A81" s="91">
        <v>48000</v>
      </c>
      <c r="B81" s="63" t="s">
        <v>435</v>
      </c>
      <c r="C81" s="36">
        <f>2*'Stability Constants Subsonic'!$C$13*('Stability Constants Subsonic'!$C$4-'Stability Constants Subsonic'!$C$3)*'Stability Constants Subsonic'!$C$14*'Supersonic Stability'!C36</f>
        <v>95608.852750693288</v>
      </c>
      <c r="D81" s="63" t="s">
        <v>125</v>
      </c>
      <c r="E81" s="63" t="s">
        <v>224</v>
      </c>
      <c r="F81" s="63" t="s">
        <v>21</v>
      </c>
      <c r="G81" s="29" t="s">
        <v>437</v>
      </c>
      <c r="H81" s="110" t="s">
        <v>438</v>
      </c>
      <c r="I81" s="110"/>
      <c r="J81" s="110"/>
      <c r="K81" s="110"/>
      <c r="L81" s="110"/>
    </row>
    <row r="82" spans="1:12" s="63" customFormat="1" ht="18" customHeight="1" x14ac:dyDescent="0.2">
      <c r="A82" s="91">
        <v>49000</v>
      </c>
      <c r="B82" s="63" t="s">
        <v>435</v>
      </c>
      <c r="C82" s="36">
        <f>2*'Stability Constants Subsonic'!$C$13*('Stability Constants Subsonic'!$C$4-'Stability Constants Subsonic'!$C$3)*'Stability Constants Subsonic'!$C$14*'Supersonic Stability'!C37</f>
        <v>100297.78540282646</v>
      </c>
      <c r="D82" s="63" t="s">
        <v>125</v>
      </c>
      <c r="E82" s="63" t="s">
        <v>224</v>
      </c>
      <c r="F82" s="63" t="s">
        <v>21</v>
      </c>
      <c r="G82" s="29" t="s">
        <v>437</v>
      </c>
      <c r="H82" s="110" t="s">
        <v>438</v>
      </c>
      <c r="I82" s="110"/>
      <c r="J82" s="110"/>
      <c r="K82" s="110"/>
      <c r="L82" s="110"/>
    </row>
    <row r="83" spans="1:12" ht="18" customHeight="1" x14ac:dyDescent="0.2">
      <c r="A83" s="49" t="s">
        <v>439</v>
      </c>
      <c r="B83" s="49" t="s">
        <v>440</v>
      </c>
      <c r="C83" s="36">
        <f>2*'Stability Constants Subsonic'!$C$13*('Stability Constants Subsonic'!$C$6-'Stability Constants Subsonic'!$C$5)*'Stability Constants Subsonic'!$C$15*'Supersonic Stability'!C29</f>
        <v>42863.825115940526</v>
      </c>
      <c r="D83" s="49" t="s">
        <v>125</v>
      </c>
      <c r="E83" s="49" t="s">
        <v>224</v>
      </c>
      <c r="F83" s="49" t="s">
        <v>21</v>
      </c>
      <c r="G83" s="29" t="s">
        <v>442</v>
      </c>
      <c r="H83" s="110" t="s">
        <v>438</v>
      </c>
      <c r="I83" s="110"/>
      <c r="J83" s="110"/>
      <c r="K83" s="110"/>
      <c r="L83" s="110"/>
    </row>
    <row r="84" spans="1:12" s="63" customFormat="1" ht="18" customHeight="1" x14ac:dyDescent="0.2">
      <c r="A84" s="91">
        <v>42000</v>
      </c>
      <c r="B84" s="63" t="s">
        <v>440</v>
      </c>
      <c r="C84" s="36">
        <f>2*'Stability Constants Subsonic'!$C$13*('Stability Constants Subsonic'!$C$6-'Stability Constants Subsonic'!$C$5)*'Stability Constants Subsonic'!$C$15*'Supersonic Stability'!C30</f>
        <v>44955.908838710158</v>
      </c>
      <c r="D84" s="63" t="s">
        <v>125</v>
      </c>
      <c r="E84" s="63" t="s">
        <v>224</v>
      </c>
      <c r="F84" s="63" t="s">
        <v>21</v>
      </c>
      <c r="G84" s="29" t="s">
        <v>442</v>
      </c>
      <c r="H84" s="110" t="s">
        <v>438</v>
      </c>
      <c r="I84" s="110"/>
      <c r="J84" s="110"/>
      <c r="K84" s="110"/>
      <c r="L84" s="110"/>
    </row>
    <row r="85" spans="1:12" s="63" customFormat="1" ht="18" customHeight="1" x14ac:dyDescent="0.2">
      <c r="A85" s="91">
        <v>43000</v>
      </c>
      <c r="B85" s="63" t="s">
        <v>440</v>
      </c>
      <c r="C85" s="36">
        <f>2*'Stability Constants Subsonic'!$C$13*('Stability Constants Subsonic'!$C$6-'Stability Constants Subsonic'!$C$5)*'Stability Constants Subsonic'!$C$15*'Supersonic Stability'!C31</f>
        <v>47143.913650658607</v>
      </c>
      <c r="D85" s="63" t="s">
        <v>125</v>
      </c>
      <c r="E85" s="63" t="s">
        <v>224</v>
      </c>
      <c r="F85" s="63" t="s">
        <v>21</v>
      </c>
      <c r="G85" s="29" t="s">
        <v>442</v>
      </c>
      <c r="H85" s="110" t="s">
        <v>438</v>
      </c>
      <c r="I85" s="110"/>
      <c r="J85" s="110"/>
      <c r="K85" s="110"/>
      <c r="L85" s="110"/>
    </row>
    <row r="86" spans="1:12" s="63" customFormat="1" ht="18" customHeight="1" x14ac:dyDescent="0.2">
      <c r="A86" s="91">
        <v>44000</v>
      </c>
      <c r="B86" s="63" t="s">
        <v>440</v>
      </c>
      <c r="C86" s="36">
        <f>2*'Stability Constants Subsonic'!$C$13*('Stability Constants Subsonic'!$C$6-'Stability Constants Subsonic'!$C$5)*'Stability Constants Subsonic'!$C$15*'Supersonic Stability'!C32</f>
        <v>49445.299929964771</v>
      </c>
      <c r="D86" s="63" t="s">
        <v>125</v>
      </c>
      <c r="E86" s="63" t="s">
        <v>224</v>
      </c>
      <c r="F86" s="63" t="s">
        <v>21</v>
      </c>
      <c r="G86" s="29" t="s">
        <v>442</v>
      </c>
      <c r="H86" s="110" t="s">
        <v>438</v>
      </c>
      <c r="I86" s="110"/>
      <c r="J86" s="110"/>
      <c r="K86" s="110"/>
      <c r="L86" s="110"/>
    </row>
    <row r="87" spans="1:12" s="63" customFormat="1" ht="18" customHeight="1" x14ac:dyDescent="0.2">
      <c r="A87" s="91">
        <v>45000</v>
      </c>
      <c r="B87" s="63" t="s">
        <v>440</v>
      </c>
      <c r="C87" s="36">
        <f>2*'Stability Constants Subsonic'!$C$13*('Stability Constants Subsonic'!$C$6-'Stability Constants Subsonic'!$C$5)*'Stability Constants Subsonic'!$C$15*'Supersonic Stability'!C33</f>
        <v>51849.988537202335</v>
      </c>
      <c r="D87" s="63" t="s">
        <v>125</v>
      </c>
      <c r="E87" s="63" t="s">
        <v>224</v>
      </c>
      <c r="F87" s="63" t="s">
        <v>21</v>
      </c>
      <c r="G87" s="29" t="s">
        <v>442</v>
      </c>
      <c r="H87" s="110" t="s">
        <v>438</v>
      </c>
      <c r="I87" s="110"/>
      <c r="J87" s="110"/>
      <c r="K87" s="110"/>
      <c r="L87" s="110"/>
    </row>
    <row r="88" spans="1:12" s="63" customFormat="1" ht="18" customHeight="1" x14ac:dyDescent="0.2">
      <c r="A88" s="91">
        <v>46000</v>
      </c>
      <c r="B88" s="63" t="s">
        <v>440</v>
      </c>
      <c r="C88" s="36">
        <f>2*'Stability Constants Subsonic'!$C$13*('Stability Constants Subsonic'!$C$6-'Stability Constants Subsonic'!$C$5)*'Stability Constants Subsonic'!$C$15*'Supersonic Stability'!C34</f>
        <v>54378.781599931288</v>
      </c>
      <c r="D88" s="63" t="s">
        <v>125</v>
      </c>
      <c r="E88" s="63" t="s">
        <v>224</v>
      </c>
      <c r="F88" s="63" t="s">
        <v>21</v>
      </c>
      <c r="G88" s="29" t="s">
        <v>442</v>
      </c>
      <c r="H88" s="110" t="s">
        <v>438</v>
      </c>
      <c r="I88" s="110"/>
      <c r="J88" s="110"/>
      <c r="K88" s="110"/>
      <c r="L88" s="110"/>
    </row>
    <row r="89" spans="1:12" s="63" customFormat="1" ht="18" customHeight="1" x14ac:dyDescent="0.2">
      <c r="A89" s="91">
        <v>47000</v>
      </c>
      <c r="B89" s="63" t="s">
        <v>440</v>
      </c>
      <c r="C89" s="36">
        <f>2*'Stability Constants Subsonic'!$C$13*('Stability Constants Subsonic'!$C$6-'Stability Constants Subsonic'!$C$5)*'Stability Constants Subsonic'!$C$15*'Supersonic Stability'!C35</f>
        <v>57032.763596912977</v>
      </c>
      <c r="D89" s="63" t="s">
        <v>125</v>
      </c>
      <c r="E89" s="63" t="s">
        <v>224</v>
      </c>
      <c r="F89" s="63" t="s">
        <v>21</v>
      </c>
      <c r="G89" s="29" t="s">
        <v>442</v>
      </c>
      <c r="H89" s="110" t="s">
        <v>438</v>
      </c>
      <c r="I89" s="110"/>
      <c r="J89" s="110"/>
      <c r="K89" s="110"/>
      <c r="L89" s="110"/>
    </row>
    <row r="90" spans="1:12" s="63" customFormat="1" ht="18" customHeight="1" x14ac:dyDescent="0.2">
      <c r="A90" s="91">
        <v>48000</v>
      </c>
      <c r="B90" s="63" t="s">
        <v>440</v>
      </c>
      <c r="C90" s="36">
        <f>2*'Stability Constants Subsonic'!$C$13*('Stability Constants Subsonic'!$C$6-'Stability Constants Subsonic'!$C$5)*'Stability Constants Subsonic'!$C$15*'Supersonic Stability'!C36</f>
        <v>59811.372056601584</v>
      </c>
      <c r="D90" s="63" t="s">
        <v>125</v>
      </c>
      <c r="E90" s="63" t="s">
        <v>224</v>
      </c>
      <c r="F90" s="63" t="s">
        <v>21</v>
      </c>
      <c r="G90" s="29" t="s">
        <v>442</v>
      </c>
      <c r="H90" s="110" t="s">
        <v>438</v>
      </c>
      <c r="I90" s="110"/>
      <c r="J90" s="110"/>
      <c r="K90" s="110"/>
      <c r="L90" s="110"/>
    </row>
    <row r="91" spans="1:12" s="63" customFormat="1" ht="18" customHeight="1" x14ac:dyDescent="0.2">
      <c r="A91" s="91">
        <v>49000</v>
      </c>
      <c r="B91" s="63" t="s">
        <v>440</v>
      </c>
      <c r="C91" s="36">
        <f>2*'Stability Constants Subsonic'!$C$13*('Stability Constants Subsonic'!$C$6-'Stability Constants Subsonic'!$C$5)*'Stability Constants Subsonic'!$C$15*'Supersonic Stability'!C37</f>
        <v>62744.693473357642</v>
      </c>
      <c r="D91" s="63" t="s">
        <v>125</v>
      </c>
      <c r="E91" s="63" t="s">
        <v>224</v>
      </c>
      <c r="F91" s="63" t="s">
        <v>21</v>
      </c>
      <c r="G91" s="29" t="s">
        <v>442</v>
      </c>
      <c r="H91" s="110" t="s">
        <v>438</v>
      </c>
      <c r="I91" s="110"/>
      <c r="J91" s="110"/>
      <c r="K91" s="110"/>
      <c r="L91" s="110"/>
    </row>
    <row r="92" spans="1:12" ht="22" customHeight="1" x14ac:dyDescent="0.2">
      <c r="A92" s="118" t="s">
        <v>503</v>
      </c>
      <c r="B92" s="119"/>
      <c r="C92" s="119"/>
      <c r="D92" s="119"/>
      <c r="E92" s="119"/>
      <c r="F92" s="119"/>
      <c r="G92" s="119"/>
      <c r="H92" s="121"/>
      <c r="I92" s="121"/>
      <c r="J92" s="121"/>
      <c r="K92" s="121"/>
      <c r="L92" s="125"/>
    </row>
    <row r="93" spans="1:12" ht="18" customHeight="1" x14ac:dyDescent="0.2">
      <c r="A93" s="23" t="s">
        <v>5</v>
      </c>
      <c r="B93" s="23" t="s">
        <v>96</v>
      </c>
      <c r="C93" s="64" t="s">
        <v>7</v>
      </c>
      <c r="D93" s="64" t="s">
        <v>125</v>
      </c>
      <c r="E93" s="64" t="s">
        <v>8</v>
      </c>
      <c r="F93" s="64" t="s">
        <v>9</v>
      </c>
      <c r="G93" s="31" t="s">
        <v>10</v>
      </c>
      <c r="H93" s="122" t="s">
        <v>11</v>
      </c>
      <c r="I93" s="123"/>
      <c r="J93" s="123"/>
      <c r="K93" s="123"/>
      <c r="L93" s="124"/>
    </row>
    <row r="94" spans="1:12" ht="18" customHeight="1" x14ac:dyDescent="0.2">
      <c r="A94" s="63" t="s">
        <v>379</v>
      </c>
      <c r="B94" s="63" t="s">
        <v>380</v>
      </c>
      <c r="C94" s="36">
        <v>1.7</v>
      </c>
      <c r="D94" s="63" t="s">
        <v>125</v>
      </c>
      <c r="E94" s="63" t="s">
        <v>137</v>
      </c>
      <c r="F94" s="63" t="s">
        <v>484</v>
      </c>
      <c r="G94" s="29" t="s">
        <v>137</v>
      </c>
      <c r="H94" s="126" t="s">
        <v>309</v>
      </c>
      <c r="I94" s="126"/>
      <c r="J94" s="126"/>
      <c r="K94" s="126"/>
      <c r="L94" s="126"/>
    </row>
    <row r="95" spans="1:12" ht="18" customHeight="1" x14ac:dyDescent="0.2">
      <c r="A95" s="63" t="s">
        <v>557</v>
      </c>
      <c r="B95" s="63" t="s">
        <v>406</v>
      </c>
      <c r="C95" s="36">
        <f>'Final Aircraft Checkouts'!C34</f>
        <v>8.8603428369144283E-2</v>
      </c>
      <c r="D95" s="63" t="s">
        <v>125</v>
      </c>
      <c r="E95" s="63" t="s">
        <v>137</v>
      </c>
      <c r="F95" s="63" t="s">
        <v>21</v>
      </c>
      <c r="G95" s="29" t="s">
        <v>550</v>
      </c>
      <c r="H95" s="127" t="s">
        <v>526</v>
      </c>
      <c r="I95" s="127"/>
      <c r="J95" s="127"/>
      <c r="K95" s="127"/>
      <c r="L95" s="127"/>
    </row>
    <row r="96" spans="1:12" ht="18" customHeight="1" x14ac:dyDescent="0.2">
      <c r="A96" s="91">
        <v>42000</v>
      </c>
      <c r="B96" s="63" t="s">
        <v>406</v>
      </c>
      <c r="C96" s="36">
        <f>'Final Aircraft Checkouts'!C35</f>
        <v>9.295389655368623E-2</v>
      </c>
      <c r="D96" s="63" t="s">
        <v>125</v>
      </c>
      <c r="E96" s="63" t="s">
        <v>137</v>
      </c>
      <c r="F96" s="63" t="s">
        <v>21</v>
      </c>
      <c r="G96" s="29" t="s">
        <v>550</v>
      </c>
      <c r="H96" s="127" t="s">
        <v>526</v>
      </c>
      <c r="I96" s="127"/>
      <c r="J96" s="127"/>
      <c r="K96" s="127"/>
      <c r="L96" s="127"/>
    </row>
    <row r="97" spans="1:12" ht="18" customHeight="1" x14ac:dyDescent="0.2">
      <c r="A97" s="91">
        <v>43000</v>
      </c>
      <c r="B97" s="63" t="s">
        <v>406</v>
      </c>
      <c r="C97" s="36">
        <f>'Final Aircraft Checkouts'!C36</f>
        <v>9.7503831729992094E-2</v>
      </c>
      <c r="D97" s="63" t="s">
        <v>125</v>
      </c>
      <c r="E97" s="63" t="s">
        <v>137</v>
      </c>
      <c r="F97" s="63" t="s">
        <v>21</v>
      </c>
      <c r="G97" s="29" t="s">
        <v>550</v>
      </c>
      <c r="H97" s="127" t="s">
        <v>526</v>
      </c>
      <c r="I97" s="127"/>
      <c r="J97" s="127"/>
      <c r="K97" s="127"/>
      <c r="L97" s="127"/>
    </row>
    <row r="98" spans="1:12" ht="18" customHeight="1" x14ac:dyDescent="0.2">
      <c r="A98" s="91">
        <v>44000</v>
      </c>
      <c r="B98" s="63" t="s">
        <v>406</v>
      </c>
      <c r="C98" s="36">
        <f>'Final Aircraft Checkouts'!C37</f>
        <v>0.10228954258825937</v>
      </c>
      <c r="D98" s="63" t="s">
        <v>125</v>
      </c>
      <c r="E98" s="63" t="s">
        <v>137</v>
      </c>
      <c r="F98" s="63" t="s">
        <v>21</v>
      </c>
      <c r="G98" s="29" t="s">
        <v>550</v>
      </c>
      <c r="H98" s="127" t="s">
        <v>526</v>
      </c>
      <c r="I98" s="127"/>
      <c r="J98" s="127"/>
      <c r="K98" s="127"/>
      <c r="L98" s="127"/>
    </row>
    <row r="99" spans="1:12" ht="18" customHeight="1" x14ac:dyDescent="0.2">
      <c r="A99" s="91">
        <v>45000</v>
      </c>
      <c r="B99" s="63" t="s">
        <v>406</v>
      </c>
      <c r="C99" s="36">
        <f>'Final Aircraft Checkouts'!C38</f>
        <v>0.10729006965400599</v>
      </c>
      <c r="D99" s="63" t="s">
        <v>125</v>
      </c>
      <c r="E99" s="63" t="s">
        <v>137</v>
      </c>
      <c r="F99" s="63" t="s">
        <v>21</v>
      </c>
      <c r="G99" s="29" t="s">
        <v>550</v>
      </c>
      <c r="H99" s="127" t="s">
        <v>526</v>
      </c>
      <c r="I99" s="127"/>
      <c r="J99" s="127"/>
      <c r="K99" s="127"/>
      <c r="L99" s="127"/>
    </row>
    <row r="100" spans="1:12" ht="18" customHeight="1" x14ac:dyDescent="0.2">
      <c r="A100" s="91">
        <v>46000</v>
      </c>
      <c r="B100" s="63" t="s">
        <v>406</v>
      </c>
      <c r="C100" s="36">
        <f>'Final Aircraft Checkouts'!C39</f>
        <v>0.11254867075345354</v>
      </c>
      <c r="D100" s="63" t="s">
        <v>125</v>
      </c>
      <c r="E100" s="63" t="s">
        <v>137</v>
      </c>
      <c r="F100" s="63" t="s">
        <v>21</v>
      </c>
      <c r="G100" s="29" t="s">
        <v>550</v>
      </c>
      <c r="H100" s="127" t="s">
        <v>526</v>
      </c>
      <c r="I100" s="127"/>
      <c r="J100" s="127"/>
      <c r="K100" s="127"/>
      <c r="L100" s="127"/>
    </row>
    <row r="101" spans="1:12" ht="18" customHeight="1" x14ac:dyDescent="0.2">
      <c r="A101" s="91">
        <v>47000</v>
      </c>
      <c r="B101" s="63" t="s">
        <v>406</v>
      </c>
      <c r="C101" s="36">
        <f>'Final Aircraft Checkouts'!C40</f>
        <v>0.11806760104986186</v>
      </c>
      <c r="D101" s="63" t="s">
        <v>125</v>
      </c>
      <c r="E101" s="63" t="s">
        <v>137</v>
      </c>
      <c r="F101" s="63" t="s">
        <v>21</v>
      </c>
      <c r="G101" s="29" t="s">
        <v>550</v>
      </c>
      <c r="H101" s="127" t="s">
        <v>526</v>
      </c>
      <c r="I101" s="127"/>
      <c r="J101" s="127"/>
      <c r="K101" s="127"/>
      <c r="L101" s="127"/>
    </row>
    <row r="102" spans="1:12" ht="18" customHeight="1" x14ac:dyDescent="0.2">
      <c r="A102" s="91">
        <v>48000</v>
      </c>
      <c r="B102" s="63" t="s">
        <v>406</v>
      </c>
      <c r="C102" s="36">
        <f>'Final Aircraft Checkouts'!C41</f>
        <v>0.12384569088900618</v>
      </c>
      <c r="D102" s="63" t="s">
        <v>125</v>
      </c>
      <c r="E102" s="63" t="s">
        <v>137</v>
      </c>
      <c r="F102" s="63" t="s">
        <v>21</v>
      </c>
      <c r="G102" s="29" t="s">
        <v>550</v>
      </c>
      <c r="H102" s="127" t="s">
        <v>526</v>
      </c>
      <c r="I102" s="127"/>
      <c r="J102" s="127"/>
      <c r="K102" s="127"/>
      <c r="L102" s="127"/>
    </row>
    <row r="103" spans="1:12" ht="18" customHeight="1" x14ac:dyDescent="0.2">
      <c r="A103" s="91">
        <v>49000</v>
      </c>
      <c r="B103" s="63" t="s">
        <v>406</v>
      </c>
      <c r="C103" s="36">
        <f>'Final Aircraft Checkouts'!C42</f>
        <v>0.1299455048494812</v>
      </c>
      <c r="D103" s="63" t="s">
        <v>125</v>
      </c>
      <c r="E103" s="63" t="s">
        <v>137</v>
      </c>
      <c r="F103" s="63" t="s">
        <v>21</v>
      </c>
      <c r="G103" s="29" t="s">
        <v>550</v>
      </c>
      <c r="H103" s="127" t="s">
        <v>526</v>
      </c>
      <c r="I103" s="127"/>
      <c r="J103" s="127"/>
      <c r="K103" s="127"/>
      <c r="L103" s="127"/>
    </row>
    <row r="104" spans="1:12" ht="22" customHeight="1" x14ac:dyDescent="0.2">
      <c r="A104" s="63" t="s">
        <v>447</v>
      </c>
      <c r="B104" s="47" t="s">
        <v>448</v>
      </c>
      <c r="C104" s="48">
        <v>0.10158298411673315</v>
      </c>
      <c r="D104" s="63" t="s">
        <v>125</v>
      </c>
      <c r="E104" s="63" t="s">
        <v>137</v>
      </c>
      <c r="F104" s="63" t="s">
        <v>399</v>
      </c>
      <c r="G104" s="29" t="s">
        <v>137</v>
      </c>
      <c r="H104" s="127" t="s">
        <v>449</v>
      </c>
      <c r="I104" s="127"/>
      <c r="J104" s="127"/>
      <c r="K104" s="127"/>
      <c r="L104" s="127"/>
    </row>
    <row r="105" spans="1:12" ht="18" customHeight="1" x14ac:dyDescent="0.2">
      <c r="A105" s="63" t="s">
        <v>447</v>
      </c>
      <c r="B105" s="47" t="s">
        <v>448</v>
      </c>
      <c r="C105" s="48">
        <v>0.10158298411673315</v>
      </c>
      <c r="D105" s="63" t="s">
        <v>125</v>
      </c>
      <c r="E105" s="63" t="s">
        <v>137</v>
      </c>
      <c r="F105" s="63" t="s">
        <v>399</v>
      </c>
      <c r="G105" s="29" t="s">
        <v>137</v>
      </c>
      <c r="H105" s="127" t="s">
        <v>449</v>
      </c>
      <c r="I105" s="127"/>
      <c r="J105" s="127"/>
      <c r="K105" s="127"/>
      <c r="L105" s="127"/>
    </row>
    <row r="106" spans="1:12" ht="18" customHeight="1" x14ac:dyDescent="0.2">
      <c r="A106" s="63" t="s">
        <v>447</v>
      </c>
      <c r="B106" s="47" t="s">
        <v>448</v>
      </c>
      <c r="C106" s="48">
        <v>0.10158298411673315</v>
      </c>
      <c r="D106" s="63" t="s">
        <v>125</v>
      </c>
      <c r="E106" s="63" t="s">
        <v>137</v>
      </c>
      <c r="F106" s="63" t="s">
        <v>399</v>
      </c>
      <c r="G106" s="29" t="s">
        <v>137</v>
      </c>
      <c r="H106" s="127" t="s">
        <v>449</v>
      </c>
      <c r="I106" s="127"/>
      <c r="J106" s="127"/>
      <c r="K106" s="127"/>
      <c r="L106" s="127"/>
    </row>
    <row r="107" spans="1:12" ht="18" customHeight="1" x14ac:dyDescent="0.2">
      <c r="A107" s="63" t="s">
        <v>447</v>
      </c>
      <c r="B107" s="47" t="s">
        <v>448</v>
      </c>
      <c r="C107" s="48">
        <v>0.10158298411673315</v>
      </c>
      <c r="D107" s="63" t="s">
        <v>125</v>
      </c>
      <c r="E107" s="63" t="s">
        <v>137</v>
      </c>
      <c r="F107" s="63" t="s">
        <v>399</v>
      </c>
      <c r="G107" s="29" t="s">
        <v>137</v>
      </c>
      <c r="H107" s="127" t="s">
        <v>449</v>
      </c>
      <c r="I107" s="127"/>
      <c r="J107" s="127"/>
      <c r="K107" s="127"/>
      <c r="L107" s="127"/>
    </row>
    <row r="108" spans="1:12" ht="18" customHeight="1" x14ac:dyDescent="0.2">
      <c r="A108" s="63" t="s">
        <v>447</v>
      </c>
      <c r="B108" s="47" t="s">
        <v>448</v>
      </c>
      <c r="C108" s="48">
        <v>0.10158298411673315</v>
      </c>
      <c r="D108" s="63" t="s">
        <v>125</v>
      </c>
      <c r="E108" s="63" t="s">
        <v>137</v>
      </c>
      <c r="F108" s="63" t="s">
        <v>399</v>
      </c>
      <c r="G108" s="29" t="s">
        <v>137</v>
      </c>
      <c r="H108" s="127" t="s">
        <v>449</v>
      </c>
      <c r="I108" s="127"/>
      <c r="J108" s="127"/>
      <c r="K108" s="127"/>
      <c r="L108" s="127"/>
    </row>
    <row r="109" spans="1:12" ht="18" customHeight="1" x14ac:dyDescent="0.2">
      <c r="A109" s="63" t="s">
        <v>447</v>
      </c>
      <c r="B109" s="47" t="s">
        <v>448</v>
      </c>
      <c r="C109" s="48">
        <v>0.10158298411673315</v>
      </c>
      <c r="D109" s="63" t="s">
        <v>125</v>
      </c>
      <c r="E109" s="63" t="s">
        <v>137</v>
      </c>
      <c r="F109" s="63" t="s">
        <v>399</v>
      </c>
      <c r="G109" s="29" t="s">
        <v>137</v>
      </c>
      <c r="H109" s="127" t="s">
        <v>449</v>
      </c>
      <c r="I109" s="127"/>
      <c r="J109" s="127"/>
      <c r="K109" s="127"/>
      <c r="L109" s="127"/>
    </row>
    <row r="110" spans="1:12" ht="18" customHeight="1" x14ac:dyDescent="0.2">
      <c r="A110" s="63" t="s">
        <v>447</v>
      </c>
      <c r="B110" s="47" t="s">
        <v>448</v>
      </c>
      <c r="C110" s="48">
        <v>0.10158298411673315</v>
      </c>
      <c r="D110" s="63" t="s">
        <v>125</v>
      </c>
      <c r="E110" s="63" t="s">
        <v>137</v>
      </c>
      <c r="F110" s="63" t="s">
        <v>399</v>
      </c>
      <c r="G110" s="29" t="s">
        <v>137</v>
      </c>
      <c r="H110" s="127" t="s">
        <v>449</v>
      </c>
      <c r="I110" s="127"/>
      <c r="J110" s="127"/>
      <c r="K110" s="127"/>
      <c r="L110" s="127"/>
    </row>
    <row r="111" spans="1:12" ht="18" customHeight="1" x14ac:dyDescent="0.2">
      <c r="A111" s="63" t="s">
        <v>447</v>
      </c>
      <c r="B111" s="47" t="s">
        <v>448</v>
      </c>
      <c r="C111" s="48">
        <v>0.10158298411673315</v>
      </c>
      <c r="D111" s="63" t="s">
        <v>125</v>
      </c>
      <c r="E111" s="63" t="s">
        <v>137</v>
      </c>
      <c r="F111" s="63" t="s">
        <v>399</v>
      </c>
      <c r="G111" s="29" t="s">
        <v>137</v>
      </c>
      <c r="H111" s="127" t="s">
        <v>449</v>
      </c>
      <c r="I111" s="127"/>
      <c r="J111" s="127"/>
      <c r="K111" s="127"/>
      <c r="L111" s="127"/>
    </row>
    <row r="112" spans="1:12" ht="18" customHeight="1" x14ac:dyDescent="0.2">
      <c r="A112" s="63" t="s">
        <v>447</v>
      </c>
      <c r="B112" s="47" t="s">
        <v>448</v>
      </c>
      <c r="C112" s="48">
        <v>0.10158298411673315</v>
      </c>
      <c r="D112" s="63" t="s">
        <v>125</v>
      </c>
      <c r="E112" s="63" t="s">
        <v>137</v>
      </c>
      <c r="F112" s="63" t="s">
        <v>399</v>
      </c>
      <c r="G112" s="29" t="s">
        <v>137</v>
      </c>
      <c r="H112" s="127" t="s">
        <v>449</v>
      </c>
      <c r="I112" s="127"/>
      <c r="J112" s="127"/>
      <c r="K112" s="127"/>
      <c r="L112" s="127"/>
    </row>
    <row r="113" spans="1:12" ht="18" customHeight="1" x14ac:dyDescent="0.2">
      <c r="A113" s="63" t="s">
        <v>558</v>
      </c>
      <c r="B113" s="63" t="s">
        <v>436</v>
      </c>
      <c r="C113" s="36">
        <f xml:space="preserve"> ABS((C95-CFD!$B$26)/(CFD!$B$27-CFD!$B$26)*(CFD!$A$27-CFD!$A$26) + CFD!$A$26)*PI()/180</f>
        <v>3.3151325114529166E-2</v>
      </c>
      <c r="D113" s="63" t="s">
        <v>125</v>
      </c>
      <c r="E113" s="63" t="s">
        <v>407</v>
      </c>
      <c r="F113" s="63" t="s">
        <v>21</v>
      </c>
      <c r="G113" s="29" t="s">
        <v>550</v>
      </c>
      <c r="H113" s="127" t="s">
        <v>526</v>
      </c>
      <c r="I113" s="127"/>
      <c r="J113" s="127"/>
      <c r="K113" s="127"/>
      <c r="L113" s="127"/>
    </row>
    <row r="114" spans="1:12" ht="18" customHeight="1" x14ac:dyDescent="0.2">
      <c r="A114" s="91">
        <v>42000</v>
      </c>
      <c r="B114" s="63" t="s">
        <v>436</v>
      </c>
      <c r="C114" s="36">
        <f xml:space="preserve"> ABS((C96-CFD!$B$26)/(CFD!$B$27-CFD!$B$26)*(CFD!$A$27-CFD!$A$26) + CFD!$A$26)*PI()/180</f>
        <v>3.4777235046510258E-2</v>
      </c>
      <c r="D114" s="63"/>
      <c r="E114" s="63" t="s">
        <v>407</v>
      </c>
      <c r="F114" s="63" t="s">
        <v>21</v>
      </c>
      <c r="G114" s="29" t="s">
        <v>550</v>
      </c>
      <c r="H114" s="127" t="s">
        <v>526</v>
      </c>
      <c r="I114" s="127"/>
      <c r="J114" s="127"/>
      <c r="K114" s="127"/>
      <c r="L114" s="127"/>
    </row>
    <row r="115" spans="1:12" ht="18" customHeight="1" x14ac:dyDescent="0.2">
      <c r="A115" s="91">
        <v>43000</v>
      </c>
      <c r="B115" s="63" t="s">
        <v>436</v>
      </c>
      <c r="C115" s="36">
        <f xml:space="preserve"> ABS((C97-CFD!$B$26)/(CFD!$B$27-CFD!$B$26)*(CFD!$A$27-CFD!$A$26) + CFD!$A$26)*PI()/180</f>
        <v>3.6477692210939508E-2</v>
      </c>
      <c r="D115" s="63"/>
      <c r="E115" s="63" t="s">
        <v>407</v>
      </c>
      <c r="F115" s="63" t="s">
        <v>21</v>
      </c>
      <c r="G115" s="29" t="s">
        <v>550</v>
      </c>
      <c r="H115" s="127" t="s">
        <v>526</v>
      </c>
      <c r="I115" s="127"/>
      <c r="J115" s="127"/>
      <c r="K115" s="127"/>
      <c r="L115" s="127"/>
    </row>
    <row r="116" spans="1:12" ht="22" customHeight="1" x14ac:dyDescent="0.2">
      <c r="A116" s="91">
        <v>44000</v>
      </c>
      <c r="B116" s="63" t="s">
        <v>436</v>
      </c>
      <c r="C116" s="36">
        <f xml:space="preserve"> ABS((C98-CFD!$B$26)/(CFD!$B$27-CFD!$B$26)*(CFD!$A$27-CFD!$A$26) + CFD!$A$26)*PI()/180</f>
        <v>3.8266266333534964E-2</v>
      </c>
      <c r="D116" s="63"/>
      <c r="E116" s="63" t="s">
        <v>407</v>
      </c>
      <c r="F116" s="63" t="s">
        <v>21</v>
      </c>
      <c r="G116" s="29" t="s">
        <v>550</v>
      </c>
      <c r="H116" s="127" t="s">
        <v>526</v>
      </c>
      <c r="I116" s="127"/>
      <c r="J116" s="127"/>
      <c r="K116" s="127"/>
      <c r="L116" s="127"/>
    </row>
    <row r="117" spans="1:12" ht="18" customHeight="1" x14ac:dyDescent="0.2">
      <c r="A117" s="91">
        <v>45000</v>
      </c>
      <c r="B117" s="63" t="s">
        <v>436</v>
      </c>
      <c r="C117" s="36">
        <f xml:space="preserve"> ABS((C99-CFD!$B$26)/(CFD!$B$27-CFD!$B$26)*(CFD!$A$27-CFD!$A$26) + CFD!$A$26)*PI()/180</f>
        <v>4.0135124184335166E-2</v>
      </c>
      <c r="D117" s="63"/>
      <c r="E117" s="63" t="s">
        <v>407</v>
      </c>
      <c r="F117" s="63" t="s">
        <v>21</v>
      </c>
      <c r="G117" s="29" t="s">
        <v>550</v>
      </c>
      <c r="H117" s="127" t="s">
        <v>526</v>
      </c>
      <c r="I117" s="127"/>
      <c r="J117" s="127"/>
      <c r="K117" s="127"/>
      <c r="L117" s="127"/>
    </row>
    <row r="118" spans="1:12" ht="18" customHeight="1" x14ac:dyDescent="0.2">
      <c r="A118" s="91">
        <v>46000</v>
      </c>
      <c r="B118" s="63" t="s">
        <v>436</v>
      </c>
      <c r="C118" s="36">
        <f xml:space="preserve"> ABS((C100-CFD!$B$26)/(CFD!$B$27-CFD!$B$26)*(CFD!$A$27-CFD!$A$26) + CFD!$A$26)*PI()/180</f>
        <v>4.2100432604770997E-2</v>
      </c>
      <c r="D118" s="63"/>
      <c r="E118" s="63" t="s">
        <v>407</v>
      </c>
      <c r="F118" s="63" t="s">
        <v>21</v>
      </c>
      <c r="G118" s="29" t="s">
        <v>550</v>
      </c>
      <c r="H118" s="127" t="s">
        <v>526</v>
      </c>
      <c r="I118" s="127"/>
      <c r="J118" s="127"/>
      <c r="K118" s="127"/>
      <c r="L118" s="127"/>
    </row>
    <row r="119" spans="1:12" s="63" customFormat="1" ht="18" customHeight="1" x14ac:dyDescent="0.2">
      <c r="A119" s="91">
        <v>47000</v>
      </c>
      <c r="B119" s="63" t="s">
        <v>436</v>
      </c>
      <c r="C119" s="36">
        <f xml:space="preserve"> ABS((C101-CFD!$B$26)/(CFD!$B$27-CFD!$B$26)*(CFD!$A$27-CFD!$A$26) + CFD!$A$26)*PI()/180</f>
        <v>4.4163034421910004E-2</v>
      </c>
      <c r="E119" s="63" t="s">
        <v>407</v>
      </c>
      <c r="F119" s="63" t="s">
        <v>21</v>
      </c>
      <c r="G119" s="29" t="s">
        <v>550</v>
      </c>
      <c r="H119" s="127" t="s">
        <v>526</v>
      </c>
      <c r="I119" s="127"/>
      <c r="J119" s="127"/>
      <c r="K119" s="127"/>
      <c r="L119" s="127"/>
    </row>
    <row r="120" spans="1:12" s="63" customFormat="1" ht="18" customHeight="1" x14ac:dyDescent="0.2">
      <c r="A120" s="91">
        <v>48000</v>
      </c>
      <c r="B120" s="63" t="s">
        <v>436</v>
      </c>
      <c r="C120" s="36">
        <f xml:space="preserve"> ABS((C102-CFD!$B$26)/(CFD!$B$27-CFD!$B$26)*(CFD!$A$27-CFD!$A$26) + CFD!$A$26)*PI()/180</f>
        <v>4.6322492498336081E-2</v>
      </c>
      <c r="E120" s="63" t="s">
        <v>407</v>
      </c>
      <c r="F120" s="63" t="s">
        <v>21</v>
      </c>
      <c r="G120" s="29" t="s">
        <v>550</v>
      </c>
      <c r="H120" s="127" t="s">
        <v>526</v>
      </c>
      <c r="I120" s="127"/>
      <c r="J120" s="127"/>
      <c r="K120" s="127"/>
      <c r="L120" s="127"/>
    </row>
    <row r="121" spans="1:12" s="63" customFormat="1" ht="18" customHeight="1" x14ac:dyDescent="0.2">
      <c r="A121" s="91">
        <v>49000</v>
      </c>
      <c r="B121" s="63" t="s">
        <v>436</v>
      </c>
      <c r="C121" s="36">
        <f xml:space="preserve"> ABS((C103-CFD!$B$26)/(CFD!$B$27-CFD!$B$26)*(CFD!$A$27-CFD!$A$26) + CFD!$A$26)*PI()/180</f>
        <v>4.8602189230014983E-2</v>
      </c>
      <c r="E121" s="63" t="s">
        <v>407</v>
      </c>
      <c r="F121" s="63" t="s">
        <v>21</v>
      </c>
      <c r="G121" s="29" t="s">
        <v>550</v>
      </c>
      <c r="H121" s="127" t="s">
        <v>526</v>
      </c>
      <c r="I121" s="127"/>
      <c r="J121" s="127"/>
      <c r="K121" s="127"/>
      <c r="L121" s="127"/>
    </row>
    <row r="122" spans="1:12" s="63" customFormat="1" ht="18" customHeight="1" x14ac:dyDescent="0.2">
      <c r="A122" s="63" t="s">
        <v>560</v>
      </c>
      <c r="B122" s="47" t="s">
        <v>481</v>
      </c>
      <c r="C122" s="48">
        <f>C104/C140</f>
        <v>3.8007677519289171E-2</v>
      </c>
      <c r="D122" s="63" t="s">
        <v>125</v>
      </c>
      <c r="E122" s="63" t="s">
        <v>407</v>
      </c>
      <c r="F122" s="63" t="s">
        <v>21</v>
      </c>
      <c r="G122" s="29" t="s">
        <v>482</v>
      </c>
      <c r="H122" s="127" t="s">
        <v>483</v>
      </c>
      <c r="I122" s="127"/>
      <c r="J122" s="127"/>
      <c r="K122" s="127"/>
      <c r="L122" s="127"/>
    </row>
    <row r="123" spans="1:12" s="63" customFormat="1" ht="18" customHeight="1" x14ac:dyDescent="0.2">
      <c r="A123" s="91">
        <v>42000</v>
      </c>
      <c r="B123" s="47" t="s">
        <v>481</v>
      </c>
      <c r="C123" s="48">
        <f t="shared" ref="C123:C130" si="4">C105/C141</f>
        <v>3.800567212707609E-2</v>
      </c>
      <c r="D123" s="63" t="s">
        <v>125</v>
      </c>
      <c r="E123" s="63" t="s">
        <v>407</v>
      </c>
      <c r="F123" s="63" t="s">
        <v>21</v>
      </c>
      <c r="G123" s="29" t="s">
        <v>482</v>
      </c>
      <c r="H123" s="127" t="s">
        <v>483</v>
      </c>
      <c r="I123" s="127"/>
      <c r="J123" s="127"/>
      <c r="K123" s="127"/>
      <c r="L123" s="127"/>
    </row>
    <row r="124" spans="1:12" s="63" customFormat="1" ht="18" customHeight="1" x14ac:dyDescent="0.2">
      <c r="A124" s="91">
        <v>43000</v>
      </c>
      <c r="B124" s="47" t="s">
        <v>481</v>
      </c>
      <c r="C124" s="48">
        <f t="shared" si="4"/>
        <v>3.8003766239056803E-2</v>
      </c>
      <c r="D124" s="63" t="s">
        <v>125</v>
      </c>
      <c r="E124" s="63" t="s">
        <v>407</v>
      </c>
      <c r="F124" s="63" t="s">
        <v>21</v>
      </c>
      <c r="G124" s="29" t="s">
        <v>482</v>
      </c>
      <c r="H124" s="127" t="s">
        <v>483</v>
      </c>
      <c r="I124" s="127"/>
      <c r="J124" s="127"/>
      <c r="K124" s="127"/>
      <c r="L124" s="127"/>
    </row>
    <row r="125" spans="1:12" s="63" customFormat="1" ht="18" customHeight="1" x14ac:dyDescent="0.2">
      <c r="A125" s="91">
        <v>44000</v>
      </c>
      <c r="B125" s="47" t="s">
        <v>481</v>
      </c>
      <c r="C125" s="48">
        <f t="shared" si="4"/>
        <v>3.8001944546893783E-2</v>
      </c>
      <c r="D125" s="63" t="s">
        <v>125</v>
      </c>
      <c r="E125" s="63" t="s">
        <v>407</v>
      </c>
      <c r="F125" s="63" t="s">
        <v>21</v>
      </c>
      <c r="G125" s="29" t="s">
        <v>482</v>
      </c>
      <c r="H125" s="127" t="s">
        <v>483</v>
      </c>
      <c r="I125" s="127"/>
      <c r="J125" s="127"/>
      <c r="K125" s="127"/>
      <c r="L125" s="127"/>
    </row>
    <row r="126" spans="1:12" s="63" customFormat="1" ht="18" customHeight="1" x14ac:dyDescent="0.2">
      <c r="A126" s="91">
        <v>45000</v>
      </c>
      <c r="B126" s="47" t="s">
        <v>481</v>
      </c>
      <c r="C126" s="48">
        <f t="shared" si="4"/>
        <v>3.8000214704755793E-2</v>
      </c>
      <c r="D126" s="63" t="s">
        <v>125</v>
      </c>
      <c r="E126" s="63" t="s">
        <v>407</v>
      </c>
      <c r="F126" s="63" t="s">
        <v>21</v>
      </c>
      <c r="G126" s="29" t="s">
        <v>482</v>
      </c>
      <c r="H126" s="127" t="s">
        <v>483</v>
      </c>
      <c r="I126" s="127"/>
      <c r="J126" s="127"/>
      <c r="K126" s="127"/>
      <c r="L126" s="127"/>
    </row>
    <row r="127" spans="1:12" ht="18" customHeight="1" x14ac:dyDescent="0.2">
      <c r="A127" s="91">
        <v>46000</v>
      </c>
      <c r="B127" s="47" t="s">
        <v>481</v>
      </c>
      <c r="C127" s="48">
        <f t="shared" si="4"/>
        <v>3.7998561404305319E-2</v>
      </c>
      <c r="D127" s="63" t="s">
        <v>125</v>
      </c>
      <c r="E127" s="63" t="s">
        <v>407</v>
      </c>
      <c r="F127" s="63" t="s">
        <v>21</v>
      </c>
      <c r="G127" s="29" t="s">
        <v>482</v>
      </c>
      <c r="H127" s="127" t="s">
        <v>483</v>
      </c>
      <c r="I127" s="127"/>
      <c r="J127" s="127"/>
      <c r="K127" s="127"/>
      <c r="L127" s="127"/>
    </row>
    <row r="128" spans="1:12" s="63" customFormat="1" ht="18" customHeight="1" x14ac:dyDescent="0.2">
      <c r="A128" s="91">
        <v>47000</v>
      </c>
      <c r="B128" s="47" t="s">
        <v>481</v>
      </c>
      <c r="C128" s="48">
        <f t="shared" si="4"/>
        <v>3.7996984645542374E-2</v>
      </c>
      <c r="D128" s="63" t="s">
        <v>125</v>
      </c>
      <c r="E128" s="63" t="s">
        <v>407</v>
      </c>
      <c r="F128" s="63" t="s">
        <v>21</v>
      </c>
      <c r="G128" s="29" t="s">
        <v>482</v>
      </c>
      <c r="H128" s="127" t="s">
        <v>483</v>
      </c>
      <c r="I128" s="127"/>
      <c r="J128" s="127"/>
      <c r="K128" s="127"/>
      <c r="L128" s="127"/>
    </row>
    <row r="129" spans="1:12" s="63" customFormat="1" ht="18" customHeight="1" x14ac:dyDescent="0.2">
      <c r="A129" s="91">
        <v>48000</v>
      </c>
      <c r="B129" s="47" t="s">
        <v>481</v>
      </c>
      <c r="C129" s="48">
        <f t="shared" si="4"/>
        <v>3.7995484428466939E-2</v>
      </c>
      <c r="D129" s="63" t="s">
        <v>125</v>
      </c>
      <c r="E129" s="63" t="s">
        <v>407</v>
      </c>
      <c r="F129" s="63" t="s">
        <v>21</v>
      </c>
      <c r="G129" s="29" t="s">
        <v>482</v>
      </c>
      <c r="H129" s="127" t="s">
        <v>483</v>
      </c>
      <c r="I129" s="127"/>
      <c r="J129" s="127"/>
      <c r="K129" s="127"/>
      <c r="L129" s="127"/>
    </row>
    <row r="130" spans="1:12" s="63" customFormat="1" ht="18" customHeight="1" x14ac:dyDescent="0.2">
      <c r="A130" s="91">
        <v>49000</v>
      </c>
      <c r="B130" s="47" t="s">
        <v>481</v>
      </c>
      <c r="C130" s="48">
        <f t="shared" si="4"/>
        <v>3.7994045444741546E-2</v>
      </c>
      <c r="D130" s="63" t="s">
        <v>125</v>
      </c>
      <c r="E130" s="63" t="s">
        <v>407</v>
      </c>
      <c r="F130" s="63" t="s">
        <v>21</v>
      </c>
      <c r="G130" s="29" t="s">
        <v>482</v>
      </c>
      <c r="H130" s="127" t="s">
        <v>483</v>
      </c>
      <c r="I130" s="127"/>
      <c r="J130" s="127"/>
      <c r="K130" s="127"/>
      <c r="L130" s="127"/>
    </row>
    <row r="131" spans="1:12" s="63" customFormat="1" ht="18" customHeight="1" x14ac:dyDescent="0.2">
      <c r="A131" s="63" t="s">
        <v>559</v>
      </c>
      <c r="B131" s="63" t="s">
        <v>420</v>
      </c>
      <c r="C131" s="36">
        <f t="shared" ref="C131:C139" si="5">C95/C113</f>
        <v>2.6726964325873124</v>
      </c>
      <c r="D131" s="63" t="s">
        <v>125</v>
      </c>
      <c r="E131" s="63" t="s">
        <v>421</v>
      </c>
      <c r="F131" s="63" t="s">
        <v>21</v>
      </c>
      <c r="G131" s="29" t="s">
        <v>422</v>
      </c>
      <c r="H131" s="110" t="s">
        <v>423</v>
      </c>
      <c r="I131" s="110"/>
      <c r="J131" s="110"/>
      <c r="K131" s="110"/>
      <c r="L131" s="110"/>
    </row>
    <row r="132" spans="1:12" s="63" customFormat="1" ht="18" customHeight="1" x14ac:dyDescent="0.2">
      <c r="A132" s="91">
        <v>42000</v>
      </c>
      <c r="B132" s="63" t="s">
        <v>420</v>
      </c>
      <c r="C132" s="36">
        <f t="shared" si="5"/>
        <v>2.6728374590266268</v>
      </c>
      <c r="D132" s="63" t="s">
        <v>125</v>
      </c>
      <c r="E132" s="63" t="s">
        <v>421</v>
      </c>
      <c r="F132" s="63" t="s">
        <v>21</v>
      </c>
      <c r="G132" s="29" t="s">
        <v>422</v>
      </c>
      <c r="H132" s="110" t="s">
        <v>423</v>
      </c>
      <c r="I132" s="110"/>
      <c r="J132" s="110"/>
      <c r="K132" s="110"/>
      <c r="L132" s="110"/>
    </row>
    <row r="133" spans="1:12" s="63" customFormat="1" ht="18" customHeight="1" x14ac:dyDescent="0.2">
      <c r="A133" s="91">
        <v>43000</v>
      </c>
      <c r="B133" s="63" t="s">
        <v>420</v>
      </c>
      <c r="C133" s="36">
        <f t="shared" si="5"/>
        <v>2.6729715017648812</v>
      </c>
      <c r="D133" s="63" t="s">
        <v>125</v>
      </c>
      <c r="E133" s="63" t="s">
        <v>421</v>
      </c>
      <c r="F133" s="63" t="s">
        <v>21</v>
      </c>
      <c r="G133" s="29" t="s">
        <v>422</v>
      </c>
      <c r="H133" s="110" t="s">
        <v>423</v>
      </c>
      <c r="I133" s="110"/>
      <c r="J133" s="110"/>
      <c r="K133" s="110"/>
      <c r="L133" s="110"/>
    </row>
    <row r="134" spans="1:12" s="63" customFormat="1" ht="18" customHeight="1" x14ac:dyDescent="0.2">
      <c r="A134" s="91">
        <v>44000</v>
      </c>
      <c r="B134" s="63" t="s">
        <v>420</v>
      </c>
      <c r="C134" s="36">
        <f t="shared" si="5"/>
        <v>2.6730996355036885</v>
      </c>
      <c r="D134" s="63" t="s">
        <v>125</v>
      </c>
      <c r="E134" s="63" t="s">
        <v>421</v>
      </c>
      <c r="F134" s="63" t="s">
        <v>21</v>
      </c>
      <c r="G134" s="29" t="s">
        <v>422</v>
      </c>
      <c r="H134" s="110" t="s">
        <v>423</v>
      </c>
      <c r="I134" s="110"/>
      <c r="J134" s="110"/>
      <c r="K134" s="110"/>
      <c r="L134" s="110"/>
    </row>
    <row r="135" spans="1:12" s="63" customFormat="1" ht="18" customHeight="1" x14ac:dyDescent="0.2">
      <c r="A135" s="91">
        <v>45000</v>
      </c>
      <c r="B135" s="63" t="s">
        <v>420</v>
      </c>
      <c r="C135" s="36">
        <f t="shared" si="5"/>
        <v>2.6732213200895378</v>
      </c>
      <c r="D135" s="63" t="s">
        <v>125</v>
      </c>
      <c r="E135" s="63" t="s">
        <v>421</v>
      </c>
      <c r="F135" s="63" t="s">
        <v>21</v>
      </c>
      <c r="G135" s="29" t="s">
        <v>422</v>
      </c>
      <c r="H135" s="110" t="s">
        <v>423</v>
      </c>
      <c r="I135" s="110"/>
      <c r="J135" s="110"/>
      <c r="K135" s="110"/>
      <c r="L135" s="110"/>
    </row>
    <row r="136" spans="1:12" ht="18" customHeight="1" x14ac:dyDescent="0.2">
      <c r="A136" s="91">
        <v>46000</v>
      </c>
      <c r="B136" s="63" t="s">
        <v>420</v>
      </c>
      <c r="C136" s="36">
        <f t="shared" si="5"/>
        <v>2.6733376307562944</v>
      </c>
      <c r="D136" s="63" t="s">
        <v>125</v>
      </c>
      <c r="E136" s="63" t="s">
        <v>421</v>
      </c>
      <c r="F136" s="63" t="s">
        <v>21</v>
      </c>
      <c r="G136" s="29" t="s">
        <v>422</v>
      </c>
      <c r="H136" s="110" t="s">
        <v>423</v>
      </c>
      <c r="I136" s="110"/>
      <c r="J136" s="110"/>
      <c r="K136" s="110"/>
      <c r="L136" s="110"/>
    </row>
    <row r="137" spans="1:12" ht="18" customHeight="1" x14ac:dyDescent="0.2">
      <c r="A137" s="91">
        <v>47000</v>
      </c>
      <c r="B137" s="63" t="s">
        <v>420</v>
      </c>
      <c r="C137" s="36">
        <f t="shared" si="5"/>
        <v>2.6734485660995837</v>
      </c>
      <c r="D137" s="63" t="s">
        <v>125</v>
      </c>
      <c r="E137" s="63" t="s">
        <v>421</v>
      </c>
      <c r="F137" s="63" t="s">
        <v>21</v>
      </c>
      <c r="G137" s="29" t="s">
        <v>422</v>
      </c>
      <c r="H137" s="110" t="s">
        <v>423</v>
      </c>
      <c r="I137" s="110"/>
      <c r="J137" s="110"/>
      <c r="K137" s="110"/>
      <c r="L137" s="110"/>
    </row>
    <row r="138" spans="1:12" ht="18" customHeight="1" x14ac:dyDescent="0.2">
      <c r="A138" s="91">
        <v>48000</v>
      </c>
      <c r="B138" s="63" t="s">
        <v>420</v>
      </c>
      <c r="C138" s="36">
        <f t="shared" si="5"/>
        <v>2.6735541247797658</v>
      </c>
      <c r="D138" s="63" t="s">
        <v>125</v>
      </c>
      <c r="E138" s="63" t="s">
        <v>421</v>
      </c>
      <c r="F138" s="63" t="s">
        <v>21</v>
      </c>
      <c r="G138" s="29" t="s">
        <v>422</v>
      </c>
      <c r="H138" s="110" t="s">
        <v>423</v>
      </c>
      <c r="I138" s="110"/>
      <c r="J138" s="110"/>
      <c r="K138" s="110"/>
      <c r="L138" s="110"/>
    </row>
    <row r="139" spans="1:12" ht="18" customHeight="1" x14ac:dyDescent="0.2">
      <c r="A139" s="91">
        <v>49000</v>
      </c>
      <c r="B139" s="63" t="s">
        <v>420</v>
      </c>
      <c r="C139" s="36">
        <f t="shared" si="5"/>
        <v>2.6736553827750513</v>
      </c>
      <c r="D139" s="63" t="s">
        <v>125</v>
      </c>
      <c r="E139" s="63" t="s">
        <v>421</v>
      </c>
      <c r="F139" s="63" t="s">
        <v>21</v>
      </c>
      <c r="G139" s="29" t="s">
        <v>422</v>
      </c>
      <c r="H139" s="110" t="s">
        <v>423</v>
      </c>
      <c r="I139" s="110"/>
      <c r="J139" s="110"/>
      <c r="K139" s="110"/>
      <c r="L139" s="110"/>
    </row>
    <row r="140" spans="1:12" ht="18" customHeight="1" x14ac:dyDescent="0.2">
      <c r="A140" s="63" t="s">
        <v>425</v>
      </c>
      <c r="B140" s="63" t="s">
        <v>426</v>
      </c>
      <c r="C140" s="36">
        <f>C131</f>
        <v>2.6726964325873124</v>
      </c>
      <c r="D140" s="63" t="s">
        <v>125</v>
      </c>
      <c r="E140" s="63" t="s">
        <v>421</v>
      </c>
      <c r="F140" s="63" t="s">
        <v>21</v>
      </c>
      <c r="G140" s="29" t="s">
        <v>427</v>
      </c>
      <c r="H140" s="110" t="s">
        <v>428</v>
      </c>
      <c r="I140" s="110"/>
      <c r="J140" s="110"/>
      <c r="K140" s="110"/>
      <c r="L140" s="110"/>
    </row>
    <row r="141" spans="1:12" ht="18" customHeight="1" x14ac:dyDescent="0.2">
      <c r="A141" s="91">
        <v>42000</v>
      </c>
      <c r="B141" s="63" t="s">
        <v>426</v>
      </c>
      <c r="C141" s="36">
        <f t="shared" ref="C141:C148" si="6">C132</f>
        <v>2.6728374590266268</v>
      </c>
      <c r="D141" s="63" t="s">
        <v>125</v>
      </c>
      <c r="E141" s="63" t="s">
        <v>421</v>
      </c>
      <c r="F141" s="63" t="s">
        <v>21</v>
      </c>
      <c r="G141" s="29" t="s">
        <v>427</v>
      </c>
      <c r="H141" s="110" t="s">
        <v>428</v>
      </c>
      <c r="I141" s="110"/>
      <c r="J141" s="110"/>
      <c r="K141" s="110"/>
      <c r="L141" s="110"/>
    </row>
    <row r="142" spans="1:12" ht="18" customHeight="1" x14ac:dyDescent="0.2">
      <c r="A142" s="91">
        <v>43000</v>
      </c>
      <c r="B142" s="63" t="s">
        <v>426</v>
      </c>
      <c r="C142" s="36">
        <f t="shared" si="6"/>
        <v>2.6729715017648812</v>
      </c>
      <c r="D142" s="63" t="s">
        <v>125</v>
      </c>
      <c r="E142" s="63" t="s">
        <v>421</v>
      </c>
      <c r="F142" s="63" t="s">
        <v>21</v>
      </c>
      <c r="G142" s="29" t="s">
        <v>427</v>
      </c>
      <c r="H142" s="110" t="s">
        <v>428</v>
      </c>
      <c r="I142" s="110"/>
      <c r="J142" s="110"/>
      <c r="K142" s="110"/>
      <c r="L142" s="110"/>
    </row>
    <row r="143" spans="1:12" ht="18" customHeight="1" x14ac:dyDescent="0.2">
      <c r="A143" s="91">
        <v>44000</v>
      </c>
      <c r="B143" s="63" t="s">
        <v>426</v>
      </c>
      <c r="C143" s="36">
        <f t="shared" si="6"/>
        <v>2.6730996355036885</v>
      </c>
      <c r="D143" s="63" t="s">
        <v>125</v>
      </c>
      <c r="E143" s="63" t="s">
        <v>421</v>
      </c>
      <c r="F143" s="63" t="s">
        <v>21</v>
      </c>
      <c r="G143" s="29" t="s">
        <v>427</v>
      </c>
      <c r="H143" s="110" t="s">
        <v>428</v>
      </c>
      <c r="I143" s="110"/>
      <c r="J143" s="110"/>
      <c r="K143" s="110"/>
      <c r="L143" s="110"/>
    </row>
    <row r="144" spans="1:12" ht="18" customHeight="1" x14ac:dyDescent="0.2">
      <c r="A144" s="91">
        <v>45000</v>
      </c>
      <c r="B144" s="63" t="s">
        <v>426</v>
      </c>
      <c r="C144" s="36">
        <f t="shared" si="6"/>
        <v>2.6732213200895378</v>
      </c>
      <c r="D144" s="63" t="s">
        <v>125</v>
      </c>
      <c r="E144" s="63" t="s">
        <v>421</v>
      </c>
      <c r="F144" s="63" t="s">
        <v>21</v>
      </c>
      <c r="G144" s="29" t="s">
        <v>427</v>
      </c>
      <c r="H144" s="110" t="s">
        <v>428</v>
      </c>
      <c r="I144" s="110"/>
      <c r="J144" s="110"/>
      <c r="K144" s="110"/>
      <c r="L144" s="110"/>
    </row>
    <row r="145" spans="1:12" ht="18" customHeight="1" x14ac:dyDescent="0.2">
      <c r="A145" s="91">
        <v>46000</v>
      </c>
      <c r="B145" s="63" t="s">
        <v>426</v>
      </c>
      <c r="C145" s="36">
        <f t="shared" si="6"/>
        <v>2.6733376307562944</v>
      </c>
      <c r="D145" s="63" t="s">
        <v>125</v>
      </c>
      <c r="E145" s="63" t="s">
        <v>421</v>
      </c>
      <c r="F145" s="63" t="s">
        <v>21</v>
      </c>
      <c r="G145" s="29" t="s">
        <v>427</v>
      </c>
      <c r="H145" s="110" t="s">
        <v>428</v>
      </c>
      <c r="I145" s="110"/>
      <c r="J145" s="110"/>
      <c r="K145" s="110"/>
      <c r="L145" s="110"/>
    </row>
    <row r="146" spans="1:12" ht="18" customHeight="1" x14ac:dyDescent="0.2">
      <c r="A146" s="91">
        <v>47000</v>
      </c>
      <c r="B146" s="63" t="s">
        <v>426</v>
      </c>
      <c r="C146" s="36">
        <f t="shared" si="6"/>
        <v>2.6734485660995837</v>
      </c>
      <c r="D146" s="63" t="s">
        <v>125</v>
      </c>
      <c r="E146" s="63" t="s">
        <v>421</v>
      </c>
      <c r="F146" s="63" t="s">
        <v>21</v>
      </c>
      <c r="G146" s="29" t="s">
        <v>427</v>
      </c>
      <c r="H146" s="110" t="s">
        <v>428</v>
      </c>
      <c r="I146" s="110"/>
      <c r="J146" s="110"/>
      <c r="K146" s="110"/>
      <c r="L146" s="110"/>
    </row>
    <row r="147" spans="1:12" ht="18" customHeight="1" x14ac:dyDescent="0.2">
      <c r="A147" s="91">
        <v>48000</v>
      </c>
      <c r="B147" s="63" t="s">
        <v>426</v>
      </c>
      <c r="C147" s="36">
        <f t="shared" si="6"/>
        <v>2.6735541247797658</v>
      </c>
      <c r="D147" s="63" t="s">
        <v>125</v>
      </c>
      <c r="E147" s="63" t="s">
        <v>421</v>
      </c>
      <c r="F147" s="63" t="s">
        <v>21</v>
      </c>
      <c r="G147" s="29" t="s">
        <v>427</v>
      </c>
      <c r="H147" s="110" t="s">
        <v>428</v>
      </c>
      <c r="I147" s="110"/>
      <c r="J147" s="110"/>
      <c r="K147" s="110"/>
      <c r="L147" s="110"/>
    </row>
    <row r="148" spans="1:12" ht="18" customHeight="1" x14ac:dyDescent="0.2">
      <c r="A148" s="91">
        <v>49000</v>
      </c>
      <c r="B148" s="63" t="s">
        <v>426</v>
      </c>
      <c r="C148" s="36">
        <f t="shared" si="6"/>
        <v>2.6736553827750513</v>
      </c>
      <c r="D148" s="63" t="s">
        <v>125</v>
      </c>
      <c r="E148" s="63" t="s">
        <v>421</v>
      </c>
      <c r="F148" s="63" t="s">
        <v>21</v>
      </c>
      <c r="G148" s="29" t="s">
        <v>427</v>
      </c>
      <c r="H148" s="110" t="s">
        <v>428</v>
      </c>
      <c r="I148" s="110"/>
      <c r="J148" s="110"/>
      <c r="K148" s="110"/>
      <c r="L148" s="110"/>
    </row>
    <row r="149" spans="1:12" ht="18" customHeight="1" x14ac:dyDescent="0.2">
      <c r="A149" s="65" t="s">
        <v>429</v>
      </c>
      <c r="B149" s="63" t="s">
        <v>430</v>
      </c>
      <c r="C149" s="36">
        <f>$C$7/C113</f>
        <v>0.55225080416986916</v>
      </c>
      <c r="D149" s="63" t="s">
        <v>125</v>
      </c>
      <c r="E149" s="63" t="s">
        <v>431</v>
      </c>
      <c r="F149" s="63" t="s">
        <v>21</v>
      </c>
      <c r="G149" s="29" t="s">
        <v>432</v>
      </c>
      <c r="H149" s="110" t="s">
        <v>433</v>
      </c>
      <c r="I149" s="110"/>
      <c r="J149" s="110"/>
      <c r="K149" s="110"/>
      <c r="L149" s="110"/>
    </row>
    <row r="150" spans="1:12" s="63" customFormat="1" ht="18" customHeight="1" x14ac:dyDescent="0.2">
      <c r="A150" s="91">
        <v>42000</v>
      </c>
      <c r="B150" s="63" t="s">
        <v>430</v>
      </c>
      <c r="C150" s="36">
        <f t="shared" ref="C150:C157" si="7">$C$7/C114</f>
        <v>0.52643190090618264</v>
      </c>
      <c r="D150" s="63" t="s">
        <v>125</v>
      </c>
      <c r="E150" s="63" t="s">
        <v>431</v>
      </c>
      <c r="F150" s="63" t="s">
        <v>21</v>
      </c>
      <c r="G150" s="29" t="s">
        <v>432</v>
      </c>
      <c r="H150" s="110" t="s">
        <v>433</v>
      </c>
      <c r="I150" s="110"/>
      <c r="J150" s="110"/>
      <c r="K150" s="110"/>
      <c r="L150" s="110"/>
    </row>
    <row r="151" spans="1:12" s="63" customFormat="1" ht="18" customHeight="1" x14ac:dyDescent="0.2">
      <c r="A151" s="91">
        <v>43000</v>
      </c>
      <c r="B151" s="63" t="s">
        <v>430</v>
      </c>
      <c r="C151" s="36">
        <f t="shared" si="7"/>
        <v>0.5018915628742836</v>
      </c>
      <c r="D151" s="63" t="s">
        <v>125</v>
      </c>
      <c r="E151" s="63" t="s">
        <v>431</v>
      </c>
      <c r="F151" s="63" t="s">
        <v>21</v>
      </c>
      <c r="G151" s="29" t="s">
        <v>432</v>
      </c>
      <c r="H151" s="110" t="s">
        <v>433</v>
      </c>
      <c r="I151" s="110"/>
      <c r="J151" s="110"/>
      <c r="K151" s="110"/>
      <c r="L151" s="110"/>
    </row>
    <row r="152" spans="1:12" s="63" customFormat="1" ht="18" customHeight="1" x14ac:dyDescent="0.2">
      <c r="A152" s="91">
        <v>44000</v>
      </c>
      <c r="B152" s="63" t="s">
        <v>430</v>
      </c>
      <c r="C152" s="36">
        <f t="shared" si="7"/>
        <v>0.47843303535864634</v>
      </c>
      <c r="D152" s="63" t="s">
        <v>125</v>
      </c>
      <c r="E152" s="63" t="s">
        <v>431</v>
      </c>
      <c r="F152" s="63" t="s">
        <v>21</v>
      </c>
      <c r="G152" s="29" t="s">
        <v>432</v>
      </c>
      <c r="H152" s="110" t="s">
        <v>433</v>
      </c>
      <c r="I152" s="110"/>
      <c r="J152" s="110"/>
      <c r="K152" s="110"/>
      <c r="L152" s="110"/>
    </row>
    <row r="153" spans="1:12" s="63" customFormat="1" ht="18" customHeight="1" x14ac:dyDescent="0.2">
      <c r="A153" s="91">
        <v>45000</v>
      </c>
      <c r="B153" s="63" t="s">
        <v>430</v>
      </c>
      <c r="C153" s="36">
        <f t="shared" si="7"/>
        <v>0.45615520883179694</v>
      </c>
      <c r="D153" s="63" t="s">
        <v>125</v>
      </c>
      <c r="E153" s="63" t="s">
        <v>431</v>
      </c>
      <c r="F153" s="63" t="s">
        <v>21</v>
      </c>
      <c r="G153" s="29" t="s">
        <v>432</v>
      </c>
      <c r="H153" s="110" t="s">
        <v>433</v>
      </c>
      <c r="I153" s="110"/>
      <c r="J153" s="110"/>
      <c r="K153" s="110"/>
      <c r="L153" s="110"/>
    </row>
    <row r="154" spans="1:12" s="63" customFormat="1" ht="18" customHeight="1" x14ac:dyDescent="0.2">
      <c r="A154" s="91">
        <v>46000</v>
      </c>
      <c r="B154" s="63" t="s">
        <v>430</v>
      </c>
      <c r="C154" s="36">
        <f t="shared" si="7"/>
        <v>0.43486123113425657</v>
      </c>
      <c r="D154" s="63" t="s">
        <v>125</v>
      </c>
      <c r="E154" s="63" t="s">
        <v>431</v>
      </c>
      <c r="F154" s="63" t="s">
        <v>21</v>
      </c>
      <c r="G154" s="29" t="s">
        <v>432</v>
      </c>
      <c r="H154" s="110" t="s">
        <v>433</v>
      </c>
      <c r="I154" s="110"/>
      <c r="J154" s="110"/>
      <c r="K154" s="110"/>
      <c r="L154" s="110"/>
    </row>
    <row r="155" spans="1:12" s="63" customFormat="1" ht="18" customHeight="1" x14ac:dyDescent="0.2">
      <c r="A155" s="91">
        <v>47000</v>
      </c>
      <c r="B155" s="63" t="s">
        <v>430</v>
      </c>
      <c r="C155" s="36">
        <f t="shared" si="7"/>
        <v>0.41455135937653526</v>
      </c>
      <c r="D155" s="63" t="s">
        <v>125</v>
      </c>
      <c r="E155" s="63" t="s">
        <v>431</v>
      </c>
      <c r="F155" s="63" t="s">
        <v>21</v>
      </c>
      <c r="G155" s="29" t="s">
        <v>432</v>
      </c>
      <c r="H155" s="110" t="s">
        <v>433</v>
      </c>
      <c r="I155" s="110"/>
      <c r="J155" s="110"/>
      <c r="K155" s="110"/>
      <c r="L155" s="110"/>
    </row>
    <row r="156" spans="1:12" s="63" customFormat="1" ht="18" customHeight="1" x14ac:dyDescent="0.2">
      <c r="A156" s="91">
        <v>48000</v>
      </c>
      <c r="B156" s="63" t="s">
        <v>430</v>
      </c>
      <c r="C156" s="36">
        <f t="shared" si="7"/>
        <v>0.39522583881800261</v>
      </c>
      <c r="D156" s="63" t="s">
        <v>125</v>
      </c>
      <c r="E156" s="63" t="s">
        <v>431</v>
      </c>
      <c r="F156" s="63" t="s">
        <v>21</v>
      </c>
      <c r="G156" s="29" t="s">
        <v>432</v>
      </c>
      <c r="H156" s="110" t="s">
        <v>433</v>
      </c>
      <c r="I156" s="110"/>
      <c r="J156" s="110"/>
      <c r="K156" s="110"/>
      <c r="L156" s="110"/>
    </row>
    <row r="157" spans="1:12" s="63" customFormat="1" ht="18" customHeight="1" x14ac:dyDescent="0.2">
      <c r="A157" s="91">
        <v>49000</v>
      </c>
      <c r="B157" s="63" t="s">
        <v>430</v>
      </c>
      <c r="C157" s="36">
        <f t="shared" si="7"/>
        <v>0.37668768102506039</v>
      </c>
      <c r="D157" s="63" t="s">
        <v>125</v>
      </c>
      <c r="E157" s="63" t="s">
        <v>431</v>
      </c>
      <c r="F157" s="63" t="s">
        <v>21</v>
      </c>
      <c r="G157" s="29" t="s">
        <v>432</v>
      </c>
      <c r="H157" s="110" t="s">
        <v>433</v>
      </c>
      <c r="I157" s="110"/>
      <c r="J157" s="110"/>
      <c r="K157" s="110"/>
      <c r="L157" s="110"/>
    </row>
    <row r="158" spans="1:12" ht="18" customHeight="1" x14ac:dyDescent="0.2">
      <c r="A158" s="63" t="s">
        <v>434</v>
      </c>
      <c r="B158" s="63" t="s">
        <v>435</v>
      </c>
      <c r="C158" s="36">
        <f>2*'Stability Constants Subsonic'!$C$13*('Stability Constants Subsonic'!$C$4-'Stability Constants Subsonic'!$C$3)*'Stability Constants Subsonic'!$C$14*'Supersonic Stability'!C113</f>
        <v>64927.21432570774</v>
      </c>
      <c r="D158" s="63" t="s">
        <v>125</v>
      </c>
      <c r="E158" s="63" t="s">
        <v>224</v>
      </c>
      <c r="F158" s="63" t="s">
        <v>21</v>
      </c>
      <c r="G158" s="29" t="s">
        <v>437</v>
      </c>
      <c r="H158" s="110" t="s">
        <v>438</v>
      </c>
      <c r="I158" s="110"/>
      <c r="J158" s="110"/>
      <c r="K158" s="110"/>
      <c r="L158" s="110"/>
    </row>
    <row r="159" spans="1:12" ht="18" customHeight="1" x14ac:dyDescent="0.2">
      <c r="A159" s="91">
        <v>42000</v>
      </c>
      <c r="B159" s="63" t="s">
        <v>435</v>
      </c>
      <c r="C159" s="36">
        <f>2*'Stability Constants Subsonic'!$C$13*('Stability Constants Subsonic'!$C$4-'Stability Constants Subsonic'!$C$3)*'Stability Constants Subsonic'!$C$14*'Supersonic Stability'!C114</f>
        <v>68111.575803366053</v>
      </c>
      <c r="D159" s="63" t="s">
        <v>125</v>
      </c>
      <c r="E159" s="63" t="s">
        <v>224</v>
      </c>
      <c r="F159" s="63" t="s">
        <v>21</v>
      </c>
      <c r="G159" s="29" t="s">
        <v>437</v>
      </c>
      <c r="H159" s="110" t="s">
        <v>438</v>
      </c>
      <c r="I159" s="110"/>
      <c r="J159" s="110"/>
      <c r="K159" s="110"/>
      <c r="L159" s="110"/>
    </row>
    <row r="160" spans="1:12" ht="18" customHeight="1" x14ac:dyDescent="0.2">
      <c r="A160" s="91">
        <v>43000</v>
      </c>
      <c r="B160" s="63" t="s">
        <v>435</v>
      </c>
      <c r="C160" s="36">
        <f>2*'Stability Constants Subsonic'!$C$13*('Stability Constants Subsonic'!$C$4-'Stability Constants Subsonic'!$C$3)*'Stability Constants Subsonic'!$C$14*'Supersonic Stability'!C115</f>
        <v>71441.938809525222</v>
      </c>
      <c r="D160" s="63" t="s">
        <v>125</v>
      </c>
      <c r="E160" s="63" t="s">
        <v>224</v>
      </c>
      <c r="F160" s="63" t="s">
        <v>21</v>
      </c>
      <c r="G160" s="29" t="s">
        <v>437</v>
      </c>
      <c r="H160" s="110" t="s">
        <v>438</v>
      </c>
      <c r="I160" s="110"/>
      <c r="J160" s="110"/>
      <c r="K160" s="110"/>
      <c r="L160" s="110"/>
    </row>
    <row r="161" spans="1:12" ht="18" customHeight="1" x14ac:dyDescent="0.2">
      <c r="A161" s="91">
        <v>44000</v>
      </c>
      <c r="B161" s="63" t="s">
        <v>435</v>
      </c>
      <c r="C161" s="36">
        <f>2*'Stability Constants Subsonic'!$C$13*('Stability Constants Subsonic'!$C$4-'Stability Constants Subsonic'!$C$3)*'Stability Constants Subsonic'!$C$14*'Supersonic Stability'!C116</f>
        <v>74944.879792848835</v>
      </c>
      <c r="D161" s="63" t="s">
        <v>125</v>
      </c>
      <c r="E161" s="63" t="s">
        <v>224</v>
      </c>
      <c r="F161" s="63" t="s">
        <v>21</v>
      </c>
      <c r="G161" s="29" t="s">
        <v>437</v>
      </c>
      <c r="H161" s="110" t="s">
        <v>438</v>
      </c>
      <c r="I161" s="110"/>
      <c r="J161" s="110"/>
      <c r="K161" s="110"/>
      <c r="L161" s="110"/>
    </row>
    <row r="162" spans="1:12" ht="18" customHeight="1" x14ac:dyDescent="0.2">
      <c r="A162" s="91">
        <v>45000</v>
      </c>
      <c r="B162" s="63" t="s">
        <v>435</v>
      </c>
      <c r="C162" s="36">
        <f>2*'Stability Constants Subsonic'!$C$13*('Stability Constants Subsonic'!$C$4-'Stability Constants Subsonic'!$C$3)*'Stability Constants Subsonic'!$C$14*'Supersonic Stability'!C117</f>
        <v>78605.057291153629</v>
      </c>
      <c r="D162" s="63" t="s">
        <v>125</v>
      </c>
      <c r="E162" s="63" t="s">
        <v>224</v>
      </c>
      <c r="F162" s="63" t="s">
        <v>21</v>
      </c>
      <c r="G162" s="29" t="s">
        <v>437</v>
      </c>
      <c r="H162" s="110" t="s">
        <v>438</v>
      </c>
      <c r="I162" s="110"/>
      <c r="J162" s="110"/>
      <c r="K162" s="110"/>
      <c r="L162" s="110"/>
    </row>
    <row r="163" spans="1:12" ht="18" customHeight="1" x14ac:dyDescent="0.2">
      <c r="A163" s="91">
        <v>46000</v>
      </c>
      <c r="B163" s="63" t="s">
        <v>435</v>
      </c>
      <c r="C163" s="36">
        <f>2*'Stability Constants Subsonic'!$C$13*('Stability Constants Subsonic'!$C$4-'Stability Constants Subsonic'!$C$3)*'Stability Constants Subsonic'!$C$14*'Supersonic Stability'!C118</f>
        <v>82454.134231183139</v>
      </c>
      <c r="D163" s="63" t="s">
        <v>125</v>
      </c>
      <c r="E163" s="63" t="s">
        <v>224</v>
      </c>
      <c r="F163" s="63" t="s">
        <v>21</v>
      </c>
      <c r="G163" s="29" t="s">
        <v>437</v>
      </c>
      <c r="H163" s="110" t="s">
        <v>438</v>
      </c>
      <c r="I163" s="110"/>
      <c r="J163" s="110"/>
      <c r="K163" s="110"/>
      <c r="L163" s="110"/>
    </row>
    <row r="164" spans="1:12" ht="18" customHeight="1" x14ac:dyDescent="0.2">
      <c r="A164" s="91">
        <v>47000</v>
      </c>
      <c r="B164" s="63" t="s">
        <v>435</v>
      </c>
      <c r="C164" s="36">
        <f>2*'Stability Constants Subsonic'!$C$13*('Stability Constants Subsonic'!$C$4-'Stability Constants Subsonic'!$C$3)*'Stability Constants Subsonic'!$C$14*'Supersonic Stability'!C119</f>
        <v>86493.761298497149</v>
      </c>
      <c r="D164" s="63" t="s">
        <v>125</v>
      </c>
      <c r="E164" s="63" t="s">
        <v>224</v>
      </c>
      <c r="F164" s="63" t="s">
        <v>21</v>
      </c>
      <c r="G164" s="29" t="s">
        <v>437</v>
      </c>
      <c r="H164" s="110" t="s">
        <v>438</v>
      </c>
      <c r="I164" s="110"/>
      <c r="J164" s="110"/>
      <c r="K164" s="110"/>
      <c r="L164" s="110"/>
    </row>
    <row r="165" spans="1:12" ht="18" customHeight="1" x14ac:dyDescent="0.2">
      <c r="A165" s="91">
        <v>48000</v>
      </c>
      <c r="B165" s="63" t="s">
        <v>435</v>
      </c>
      <c r="C165" s="36">
        <f>2*'Stability Constants Subsonic'!$C$13*('Stability Constants Subsonic'!$C$4-'Stability Constants Subsonic'!$C$3)*'Stability Constants Subsonic'!$C$14*'Supersonic Stability'!C120</f>
        <v>90723.082354929007</v>
      </c>
      <c r="D165" s="63" t="s">
        <v>125</v>
      </c>
      <c r="E165" s="63" t="s">
        <v>224</v>
      </c>
      <c r="F165" s="63" t="s">
        <v>21</v>
      </c>
      <c r="G165" s="29" t="s">
        <v>437</v>
      </c>
      <c r="H165" s="110" t="s">
        <v>438</v>
      </c>
      <c r="I165" s="110"/>
      <c r="J165" s="110"/>
      <c r="K165" s="110"/>
      <c r="L165" s="110"/>
    </row>
    <row r="166" spans="1:12" ht="18" customHeight="1" x14ac:dyDescent="0.2">
      <c r="A166" s="91">
        <v>49000</v>
      </c>
      <c r="B166" s="63" t="s">
        <v>435</v>
      </c>
      <c r="C166" s="36">
        <f>2*'Stability Constants Subsonic'!$C$13*('Stability Constants Subsonic'!$C$4-'Stability Constants Subsonic'!$C$3)*'Stability Constants Subsonic'!$C$14*'Supersonic Stability'!C121</f>
        <v>95187.892065671505</v>
      </c>
      <c r="D166" s="63" t="s">
        <v>125</v>
      </c>
      <c r="E166" s="63" t="s">
        <v>224</v>
      </c>
      <c r="F166" s="63" t="s">
        <v>21</v>
      </c>
      <c r="G166" s="29" t="s">
        <v>437</v>
      </c>
      <c r="H166" s="110" t="s">
        <v>438</v>
      </c>
      <c r="I166" s="110"/>
      <c r="J166" s="110"/>
      <c r="K166" s="110"/>
      <c r="L166" s="110"/>
    </row>
    <row r="167" spans="1:12" ht="18" customHeight="1" x14ac:dyDescent="0.2">
      <c r="A167" s="63" t="s">
        <v>439</v>
      </c>
      <c r="B167" s="63" t="s">
        <v>440</v>
      </c>
      <c r="C167" s="36">
        <f>2*'Stability Constants Subsonic'!$C$13*('Stability Constants Subsonic'!$C$6-'Stability Constants Subsonic'!$C$5)*'Stability Constants Subsonic'!$C$15*'Supersonic Stability'!C113</f>
        <v>40617.428835380088</v>
      </c>
      <c r="D167" s="63" t="s">
        <v>125</v>
      </c>
      <c r="E167" s="63" t="s">
        <v>224</v>
      </c>
      <c r="F167" s="63" t="s">
        <v>21</v>
      </c>
      <c r="G167" s="29" t="s">
        <v>442</v>
      </c>
      <c r="H167" s="110" t="s">
        <v>438</v>
      </c>
      <c r="I167" s="110"/>
      <c r="J167" s="110"/>
      <c r="K167" s="110"/>
      <c r="L167" s="110"/>
    </row>
    <row r="168" spans="1:12" ht="18" customHeight="1" x14ac:dyDescent="0.2">
      <c r="A168" s="91">
        <v>42000</v>
      </c>
      <c r="B168" s="63" t="s">
        <v>440</v>
      </c>
      <c r="C168" s="36">
        <f>2*'Stability Constants Subsonic'!$C$13*('Stability Constants Subsonic'!$C$6-'Stability Constants Subsonic'!$C$5)*'Stability Constants Subsonic'!$C$15*'Supersonic Stability'!C114</f>
        <v>42609.514543170881</v>
      </c>
      <c r="D168" s="63" t="s">
        <v>125</v>
      </c>
      <c r="E168" s="63" t="s">
        <v>224</v>
      </c>
      <c r="F168" s="63" t="s">
        <v>21</v>
      </c>
      <c r="G168" s="29" t="s">
        <v>442</v>
      </c>
      <c r="H168" s="110" t="s">
        <v>438</v>
      </c>
      <c r="I168" s="110"/>
      <c r="J168" s="110"/>
      <c r="K168" s="110"/>
      <c r="L168" s="110"/>
    </row>
    <row r="169" spans="1:12" ht="18" customHeight="1" x14ac:dyDescent="0.2">
      <c r="A169" s="91">
        <v>43000</v>
      </c>
      <c r="B169" s="63" t="s">
        <v>440</v>
      </c>
      <c r="C169" s="36">
        <f>2*'Stability Constants Subsonic'!$C$13*('Stability Constants Subsonic'!$C$6-'Stability Constants Subsonic'!$C$5)*'Stability Constants Subsonic'!$C$15*'Supersonic Stability'!C115</f>
        <v>44692.9364765387</v>
      </c>
      <c r="D169" s="63" t="s">
        <v>125</v>
      </c>
      <c r="E169" s="63" t="s">
        <v>224</v>
      </c>
      <c r="F169" s="63" t="s">
        <v>21</v>
      </c>
      <c r="G169" s="29" t="s">
        <v>442</v>
      </c>
      <c r="H169" s="110" t="s">
        <v>438</v>
      </c>
      <c r="I169" s="110"/>
      <c r="J169" s="110"/>
      <c r="K169" s="110"/>
      <c r="L169" s="110"/>
    </row>
    <row r="170" spans="1:12" ht="18" customHeight="1" x14ac:dyDescent="0.2">
      <c r="A170" s="91">
        <v>44000</v>
      </c>
      <c r="B170" s="63" t="s">
        <v>440</v>
      </c>
      <c r="C170" s="36">
        <f>2*'Stability Constants Subsonic'!$C$13*('Stability Constants Subsonic'!$C$6-'Stability Constants Subsonic'!$C$5)*'Stability Constants Subsonic'!$C$15*'Supersonic Stability'!C116</f>
        <v>46884.320437522038</v>
      </c>
      <c r="D170" s="63" t="s">
        <v>125</v>
      </c>
      <c r="E170" s="63" t="s">
        <v>224</v>
      </c>
      <c r="F170" s="63" t="s">
        <v>21</v>
      </c>
      <c r="G170" s="29" t="s">
        <v>442</v>
      </c>
      <c r="H170" s="110" t="s">
        <v>438</v>
      </c>
      <c r="I170" s="110"/>
      <c r="J170" s="110"/>
      <c r="K170" s="110"/>
      <c r="L170" s="110"/>
    </row>
    <row r="171" spans="1:12" ht="18" customHeight="1" x14ac:dyDescent="0.2">
      <c r="A171" s="91">
        <v>45000</v>
      </c>
      <c r="B171" s="63" t="s">
        <v>440</v>
      </c>
      <c r="C171" s="36">
        <f>2*'Stability Constants Subsonic'!$C$13*('Stability Constants Subsonic'!$C$6-'Stability Constants Subsonic'!$C$5)*'Stability Constants Subsonic'!$C$15*'Supersonic Stability'!C117</f>
        <v>49174.069052278021</v>
      </c>
      <c r="D171" s="63" t="s">
        <v>125</v>
      </c>
      <c r="E171" s="63" t="s">
        <v>224</v>
      </c>
      <c r="F171" s="63" t="s">
        <v>21</v>
      </c>
      <c r="G171" s="29" t="s">
        <v>442</v>
      </c>
      <c r="H171" s="110" t="s">
        <v>438</v>
      </c>
      <c r="I171" s="110"/>
      <c r="J171" s="110"/>
      <c r="K171" s="110"/>
      <c r="L171" s="110"/>
    </row>
    <row r="172" spans="1:12" ht="18" customHeight="1" x14ac:dyDescent="0.2">
      <c r="A172" s="91">
        <v>46000</v>
      </c>
      <c r="B172" s="63" t="s">
        <v>440</v>
      </c>
      <c r="C172" s="36">
        <f>2*'Stability Constants Subsonic'!$C$13*('Stability Constants Subsonic'!$C$6-'Stability Constants Subsonic'!$C$5)*'Stability Constants Subsonic'!$C$15*'Supersonic Stability'!C118</f>
        <v>51581.99014233546</v>
      </c>
      <c r="D172" s="63" t="s">
        <v>125</v>
      </c>
      <c r="E172" s="63" t="s">
        <v>224</v>
      </c>
      <c r="F172" s="63" t="s">
        <v>21</v>
      </c>
      <c r="G172" s="29" t="s">
        <v>442</v>
      </c>
      <c r="H172" s="110" t="s">
        <v>438</v>
      </c>
      <c r="I172" s="110"/>
      <c r="J172" s="110"/>
      <c r="K172" s="110"/>
      <c r="L172" s="110"/>
    </row>
    <row r="173" spans="1:12" ht="18" customHeight="1" x14ac:dyDescent="0.2">
      <c r="A173" s="91">
        <v>47000</v>
      </c>
      <c r="B173" s="63" t="s">
        <v>440</v>
      </c>
      <c r="C173" s="36">
        <f>2*'Stability Constants Subsonic'!$C$13*('Stability Constants Subsonic'!$C$6-'Stability Constants Subsonic'!$C$5)*'Stability Constants Subsonic'!$C$15*'Supersonic Stability'!C119</f>
        <v>54109.11635023031</v>
      </c>
      <c r="D173" s="63" t="s">
        <v>125</v>
      </c>
      <c r="E173" s="63" t="s">
        <v>224</v>
      </c>
      <c r="F173" s="63" t="s">
        <v>21</v>
      </c>
      <c r="G173" s="29" t="s">
        <v>442</v>
      </c>
      <c r="H173" s="110" t="s">
        <v>438</v>
      </c>
      <c r="I173" s="110"/>
      <c r="J173" s="110"/>
      <c r="K173" s="110"/>
      <c r="L173" s="110"/>
    </row>
    <row r="174" spans="1:12" ht="18" customHeight="1" x14ac:dyDescent="0.2">
      <c r="A174" s="91">
        <v>48000</v>
      </c>
      <c r="B174" s="63" t="s">
        <v>440</v>
      </c>
      <c r="C174" s="36">
        <f>2*'Stability Constants Subsonic'!$C$13*('Stability Constants Subsonic'!$C$6-'Stability Constants Subsonic'!$C$5)*'Stability Constants Subsonic'!$C$15*'Supersonic Stability'!C120</f>
        <v>56754.912089592224</v>
      </c>
      <c r="D174" s="63" t="s">
        <v>125</v>
      </c>
      <c r="E174" s="63" t="s">
        <v>224</v>
      </c>
      <c r="F174" s="63" t="s">
        <v>21</v>
      </c>
      <c r="G174" s="29" t="s">
        <v>442</v>
      </c>
      <c r="H174" s="110" t="s">
        <v>438</v>
      </c>
      <c r="I174" s="110"/>
      <c r="J174" s="110"/>
      <c r="K174" s="110"/>
      <c r="L174" s="110"/>
    </row>
    <row r="175" spans="1:12" ht="18" customHeight="1" x14ac:dyDescent="0.2">
      <c r="A175" s="91">
        <v>49000</v>
      </c>
      <c r="B175" s="63" t="s">
        <v>440</v>
      </c>
      <c r="C175" s="36">
        <f>2*'Stability Constants Subsonic'!$C$13*('Stability Constants Subsonic'!$C$6-'Stability Constants Subsonic'!$C$5)*'Stability Constants Subsonic'!$C$15*'Supersonic Stability'!C121</f>
        <v>59548.025771935943</v>
      </c>
      <c r="D175" s="63" t="s">
        <v>125</v>
      </c>
      <c r="E175" s="63" t="s">
        <v>224</v>
      </c>
      <c r="F175" s="63" t="s">
        <v>21</v>
      </c>
      <c r="G175" s="29" t="s">
        <v>442</v>
      </c>
      <c r="H175" s="110" t="s">
        <v>438</v>
      </c>
      <c r="I175" s="110"/>
      <c r="J175" s="110"/>
      <c r="K175" s="110"/>
      <c r="L175" s="110"/>
    </row>
    <row r="176" spans="1:12" ht="18" customHeight="1" x14ac:dyDescent="0.2">
      <c r="A176" s="131" t="s">
        <v>502</v>
      </c>
      <c r="B176" s="121"/>
      <c r="C176" s="121"/>
      <c r="D176" s="121"/>
      <c r="E176" s="121"/>
      <c r="F176" s="121"/>
      <c r="G176" s="121"/>
      <c r="H176" s="121"/>
      <c r="I176" s="121"/>
      <c r="J176" s="121"/>
      <c r="K176" s="121"/>
      <c r="L176" s="125"/>
    </row>
    <row r="177" spans="1:12" ht="18" customHeight="1" x14ac:dyDescent="0.2">
      <c r="A177" s="23" t="s">
        <v>5</v>
      </c>
      <c r="B177" s="23" t="s">
        <v>96</v>
      </c>
      <c r="C177" s="64" t="s">
        <v>7</v>
      </c>
      <c r="D177" s="64" t="s">
        <v>125</v>
      </c>
      <c r="E177" s="64" t="s">
        <v>8</v>
      </c>
      <c r="F177" s="64" t="s">
        <v>9</v>
      </c>
      <c r="G177" s="31" t="s">
        <v>10</v>
      </c>
      <c r="H177" s="122" t="s">
        <v>11</v>
      </c>
      <c r="I177" s="123"/>
      <c r="J177" s="123"/>
      <c r="K177" s="123"/>
      <c r="L177" s="124"/>
    </row>
    <row r="178" spans="1:12" ht="18" customHeight="1" x14ac:dyDescent="0.2">
      <c r="A178" s="63" t="s">
        <v>379</v>
      </c>
      <c r="B178" s="63" t="s">
        <v>380</v>
      </c>
      <c r="C178" s="36">
        <v>1.8</v>
      </c>
      <c r="D178" s="63" t="s">
        <v>125</v>
      </c>
      <c r="E178" s="63" t="s">
        <v>137</v>
      </c>
      <c r="F178" s="63" t="s">
        <v>484</v>
      </c>
      <c r="G178" s="29" t="s">
        <v>137</v>
      </c>
      <c r="H178" s="126" t="s">
        <v>309</v>
      </c>
      <c r="I178" s="126"/>
      <c r="J178" s="126"/>
      <c r="K178" s="126"/>
      <c r="L178" s="126"/>
    </row>
    <row r="179" spans="1:12" ht="18" customHeight="1" x14ac:dyDescent="0.2">
      <c r="A179" s="63" t="s">
        <v>557</v>
      </c>
      <c r="B179" s="63" t="s">
        <v>406</v>
      </c>
      <c r="C179" s="36">
        <f>'Final Aircraft Checkouts'!C64</f>
        <v>7.9032070366304621E-2</v>
      </c>
      <c r="D179" s="63" t="s">
        <v>125</v>
      </c>
      <c r="E179" s="63" t="s">
        <v>137</v>
      </c>
      <c r="F179" s="63" t="s">
        <v>21</v>
      </c>
      <c r="G179" s="29" t="s">
        <v>550</v>
      </c>
      <c r="H179" s="127" t="s">
        <v>526</v>
      </c>
      <c r="I179" s="127"/>
      <c r="J179" s="127"/>
      <c r="K179" s="127"/>
      <c r="L179" s="127"/>
    </row>
    <row r="180" spans="1:12" ht="18" customHeight="1" x14ac:dyDescent="0.2">
      <c r="A180" s="91">
        <v>42000</v>
      </c>
      <c r="B180" s="63" t="s">
        <v>406</v>
      </c>
      <c r="C180" s="36">
        <f>'Final Aircraft Checkouts'!C65</f>
        <v>8.2912580567948493E-2</v>
      </c>
      <c r="D180" s="63" t="s">
        <v>125</v>
      </c>
      <c r="E180" s="63" t="s">
        <v>137</v>
      </c>
      <c r="F180" s="63" t="s">
        <v>21</v>
      </c>
      <c r="G180" s="29" t="s">
        <v>550</v>
      </c>
      <c r="H180" s="127" t="s">
        <v>526</v>
      </c>
      <c r="I180" s="127"/>
      <c r="J180" s="127"/>
      <c r="K180" s="127"/>
      <c r="L180" s="127"/>
    </row>
    <row r="181" spans="1:12" ht="18" customHeight="1" x14ac:dyDescent="0.2">
      <c r="A181" s="91">
        <v>43000</v>
      </c>
      <c r="B181" s="63" t="s">
        <v>406</v>
      </c>
      <c r="C181" s="36">
        <f>'Final Aircraft Checkouts'!C66</f>
        <v>8.6971010401134904E-2</v>
      </c>
      <c r="D181" s="63" t="s">
        <v>125</v>
      </c>
      <c r="E181" s="63" t="s">
        <v>137</v>
      </c>
      <c r="F181" s="63" t="s">
        <v>21</v>
      </c>
      <c r="G181" s="29" t="s">
        <v>550</v>
      </c>
      <c r="H181" s="127" t="s">
        <v>526</v>
      </c>
      <c r="I181" s="127"/>
      <c r="J181" s="127"/>
      <c r="K181" s="127"/>
      <c r="L181" s="127"/>
    </row>
    <row r="182" spans="1:12" ht="18" customHeight="1" x14ac:dyDescent="0.2">
      <c r="A182" s="91">
        <v>44000</v>
      </c>
      <c r="B182" s="63" t="s">
        <v>406</v>
      </c>
      <c r="C182" s="36">
        <f>'Final Aircraft Checkouts'!C67</f>
        <v>9.1239746321009105E-2</v>
      </c>
      <c r="D182" s="63" t="s">
        <v>125</v>
      </c>
      <c r="E182" s="63" t="s">
        <v>137</v>
      </c>
      <c r="F182" s="63" t="s">
        <v>21</v>
      </c>
      <c r="G182" s="29" t="s">
        <v>550</v>
      </c>
      <c r="H182" s="127" t="s">
        <v>526</v>
      </c>
      <c r="I182" s="127"/>
      <c r="J182" s="127"/>
      <c r="K182" s="127"/>
      <c r="L182" s="127"/>
    </row>
    <row r="183" spans="1:12" ht="18" customHeight="1" x14ac:dyDescent="0.2">
      <c r="A183" s="91">
        <v>45000</v>
      </c>
      <c r="B183" s="63" t="s">
        <v>406</v>
      </c>
      <c r="C183" s="36">
        <f>'Final Aircraft Checkouts'!C68</f>
        <v>9.5700092993851002E-2</v>
      </c>
      <c r="D183" s="63" t="s">
        <v>125</v>
      </c>
      <c r="E183" s="63" t="s">
        <v>137</v>
      </c>
      <c r="F183" s="63" t="s">
        <v>21</v>
      </c>
      <c r="G183" s="29" t="s">
        <v>550</v>
      </c>
      <c r="H183" s="127" t="s">
        <v>526</v>
      </c>
      <c r="I183" s="127"/>
      <c r="J183" s="127"/>
      <c r="K183" s="127"/>
      <c r="L183" s="127"/>
    </row>
    <row r="184" spans="1:12" ht="18" customHeight="1" x14ac:dyDescent="0.2">
      <c r="A184" s="91">
        <v>46000</v>
      </c>
      <c r="B184" s="63" t="s">
        <v>406</v>
      </c>
      <c r="C184" s="36">
        <f>'Final Aircraft Checkouts'!C69</f>
        <v>0.10039063533255575</v>
      </c>
      <c r="D184" s="63" t="s">
        <v>125</v>
      </c>
      <c r="E184" s="63" t="s">
        <v>137</v>
      </c>
      <c r="F184" s="63" t="s">
        <v>21</v>
      </c>
      <c r="G184" s="29" t="s">
        <v>550</v>
      </c>
      <c r="H184" s="127" t="s">
        <v>526</v>
      </c>
      <c r="I184" s="127"/>
      <c r="J184" s="127"/>
      <c r="K184" s="127"/>
      <c r="L184" s="127"/>
    </row>
    <row r="185" spans="1:12" ht="18" customHeight="1" x14ac:dyDescent="0.2">
      <c r="A185" s="91">
        <v>47000</v>
      </c>
      <c r="B185" s="63" t="s">
        <v>406</v>
      </c>
      <c r="C185" s="36">
        <f>'Final Aircraft Checkouts'!C70</f>
        <v>0.10531338488706812</v>
      </c>
      <c r="D185" s="63" t="s">
        <v>125</v>
      </c>
      <c r="E185" s="63" t="s">
        <v>137</v>
      </c>
      <c r="F185" s="63" t="s">
        <v>21</v>
      </c>
      <c r="G185" s="29" t="s">
        <v>550</v>
      </c>
      <c r="H185" s="127" t="s">
        <v>526</v>
      </c>
      <c r="I185" s="127"/>
      <c r="J185" s="127"/>
      <c r="K185" s="127"/>
      <c r="L185" s="127"/>
    </row>
    <row r="186" spans="1:12" ht="18" customHeight="1" x14ac:dyDescent="0.2">
      <c r="A186" s="91">
        <v>48000</v>
      </c>
      <c r="B186" s="63" t="s">
        <v>406</v>
      </c>
      <c r="C186" s="36">
        <f>'Final Aircraft Checkouts'!C71</f>
        <v>0.11046729835469993</v>
      </c>
      <c r="D186" s="63" t="s">
        <v>125</v>
      </c>
      <c r="E186" s="63" t="s">
        <v>137</v>
      </c>
      <c r="F186" s="63" t="s">
        <v>21</v>
      </c>
      <c r="G186" s="29" t="s">
        <v>550</v>
      </c>
      <c r="H186" s="127" t="s">
        <v>526</v>
      </c>
      <c r="I186" s="127"/>
      <c r="J186" s="127"/>
      <c r="K186" s="127"/>
      <c r="L186" s="127"/>
    </row>
    <row r="187" spans="1:12" ht="18" customHeight="1" x14ac:dyDescent="0.2">
      <c r="A187" s="91">
        <v>49000</v>
      </c>
      <c r="B187" s="63" t="s">
        <v>406</v>
      </c>
      <c r="C187" s="36">
        <f>'Final Aircraft Checkouts'!C72</f>
        <v>0.11590818179475326</v>
      </c>
      <c r="D187" s="63" t="s">
        <v>125</v>
      </c>
      <c r="E187" s="63" t="s">
        <v>137</v>
      </c>
      <c r="F187" s="63" t="s">
        <v>21</v>
      </c>
      <c r="G187" s="29" t="s">
        <v>550</v>
      </c>
      <c r="H187" s="127" t="s">
        <v>526</v>
      </c>
      <c r="I187" s="127"/>
      <c r="J187" s="127"/>
      <c r="K187" s="127"/>
      <c r="L187" s="127"/>
    </row>
    <row r="188" spans="1:12" ht="18" customHeight="1" x14ac:dyDescent="0.2">
      <c r="A188" s="63" t="s">
        <v>447</v>
      </c>
      <c r="B188" s="47" t="s">
        <v>448</v>
      </c>
      <c r="C188" s="48">
        <v>0.10158298411673315</v>
      </c>
      <c r="D188" s="63" t="s">
        <v>125</v>
      </c>
      <c r="E188" s="63" t="s">
        <v>137</v>
      </c>
      <c r="F188" s="63" t="s">
        <v>399</v>
      </c>
      <c r="G188" s="29" t="s">
        <v>137</v>
      </c>
      <c r="H188" s="127" t="s">
        <v>449</v>
      </c>
      <c r="I188" s="127"/>
      <c r="J188" s="127"/>
      <c r="K188" s="127"/>
      <c r="L188" s="127"/>
    </row>
    <row r="189" spans="1:12" ht="18" customHeight="1" x14ac:dyDescent="0.2">
      <c r="A189" s="63" t="s">
        <v>447</v>
      </c>
      <c r="B189" s="47" t="s">
        <v>448</v>
      </c>
      <c r="C189" s="48">
        <v>0.10158298411673315</v>
      </c>
      <c r="D189" s="63" t="s">
        <v>125</v>
      </c>
      <c r="E189" s="63" t="s">
        <v>137</v>
      </c>
      <c r="F189" s="63" t="s">
        <v>399</v>
      </c>
      <c r="G189" s="29" t="s">
        <v>137</v>
      </c>
      <c r="H189" s="127" t="s">
        <v>449</v>
      </c>
      <c r="I189" s="127"/>
      <c r="J189" s="127"/>
      <c r="K189" s="127"/>
      <c r="L189" s="127"/>
    </row>
    <row r="190" spans="1:12" ht="18" customHeight="1" x14ac:dyDescent="0.2">
      <c r="A190" s="63" t="s">
        <v>447</v>
      </c>
      <c r="B190" s="47" t="s">
        <v>448</v>
      </c>
      <c r="C190" s="48">
        <v>0.10158298411673315</v>
      </c>
      <c r="D190" s="63" t="s">
        <v>125</v>
      </c>
      <c r="E190" s="63" t="s">
        <v>137</v>
      </c>
      <c r="F190" s="63" t="s">
        <v>399</v>
      </c>
      <c r="G190" s="29" t="s">
        <v>137</v>
      </c>
      <c r="H190" s="127" t="s">
        <v>449</v>
      </c>
      <c r="I190" s="127"/>
      <c r="J190" s="127"/>
      <c r="K190" s="127"/>
      <c r="L190" s="127"/>
    </row>
    <row r="191" spans="1:12" ht="18" customHeight="1" x14ac:dyDescent="0.2">
      <c r="A191" s="63" t="s">
        <v>447</v>
      </c>
      <c r="B191" s="47" t="s">
        <v>448</v>
      </c>
      <c r="C191" s="48">
        <v>0.10158298411673315</v>
      </c>
      <c r="D191" s="63" t="s">
        <v>125</v>
      </c>
      <c r="E191" s="63" t="s">
        <v>137</v>
      </c>
      <c r="F191" s="63" t="s">
        <v>399</v>
      </c>
      <c r="G191" s="29" t="s">
        <v>137</v>
      </c>
      <c r="H191" s="127" t="s">
        <v>449</v>
      </c>
      <c r="I191" s="127"/>
      <c r="J191" s="127"/>
      <c r="K191" s="127"/>
      <c r="L191" s="127"/>
    </row>
    <row r="192" spans="1:12" ht="18" customHeight="1" x14ac:dyDescent="0.2">
      <c r="A192" s="63" t="s">
        <v>447</v>
      </c>
      <c r="B192" s="47" t="s">
        <v>448</v>
      </c>
      <c r="C192" s="48">
        <v>0.10158298411673315</v>
      </c>
      <c r="D192" s="63" t="s">
        <v>125</v>
      </c>
      <c r="E192" s="63" t="s">
        <v>137</v>
      </c>
      <c r="F192" s="63" t="s">
        <v>399</v>
      </c>
      <c r="G192" s="29" t="s">
        <v>137</v>
      </c>
      <c r="H192" s="127" t="s">
        <v>449</v>
      </c>
      <c r="I192" s="127"/>
      <c r="J192" s="127"/>
      <c r="K192" s="127"/>
      <c r="L192" s="127"/>
    </row>
    <row r="193" spans="1:12" ht="18" customHeight="1" x14ac:dyDescent="0.2">
      <c r="A193" s="63" t="s">
        <v>447</v>
      </c>
      <c r="B193" s="47" t="s">
        <v>448</v>
      </c>
      <c r="C193" s="48">
        <v>0.10158298411673315</v>
      </c>
      <c r="D193" s="63" t="s">
        <v>125</v>
      </c>
      <c r="E193" s="63" t="s">
        <v>137</v>
      </c>
      <c r="F193" s="63" t="s">
        <v>399</v>
      </c>
      <c r="G193" s="29" t="s">
        <v>137</v>
      </c>
      <c r="H193" s="127" t="s">
        <v>449</v>
      </c>
      <c r="I193" s="127"/>
      <c r="J193" s="127"/>
      <c r="K193" s="127"/>
      <c r="L193" s="127"/>
    </row>
    <row r="194" spans="1:12" ht="18" customHeight="1" x14ac:dyDescent="0.2">
      <c r="A194" s="63" t="s">
        <v>447</v>
      </c>
      <c r="B194" s="47" t="s">
        <v>448</v>
      </c>
      <c r="C194" s="48">
        <v>0.10158298411673315</v>
      </c>
      <c r="D194" s="63" t="s">
        <v>125</v>
      </c>
      <c r="E194" s="63" t="s">
        <v>137</v>
      </c>
      <c r="F194" s="63" t="s">
        <v>399</v>
      </c>
      <c r="G194" s="29" t="s">
        <v>137</v>
      </c>
      <c r="H194" s="127" t="s">
        <v>449</v>
      </c>
      <c r="I194" s="127"/>
      <c r="J194" s="127"/>
      <c r="K194" s="127"/>
      <c r="L194" s="127"/>
    </row>
    <row r="195" spans="1:12" ht="18" customHeight="1" x14ac:dyDescent="0.2">
      <c r="A195" s="63" t="s">
        <v>447</v>
      </c>
      <c r="B195" s="47" t="s">
        <v>448</v>
      </c>
      <c r="C195" s="48">
        <v>0.10158298411673315</v>
      </c>
      <c r="D195" s="63" t="s">
        <v>125</v>
      </c>
      <c r="E195" s="63" t="s">
        <v>137</v>
      </c>
      <c r="F195" s="63" t="s">
        <v>399</v>
      </c>
      <c r="G195" s="29" t="s">
        <v>137</v>
      </c>
      <c r="H195" s="127" t="s">
        <v>449</v>
      </c>
      <c r="I195" s="127"/>
      <c r="J195" s="127"/>
      <c r="K195" s="127"/>
      <c r="L195" s="127"/>
    </row>
    <row r="196" spans="1:12" ht="18" customHeight="1" x14ac:dyDescent="0.2">
      <c r="A196" s="63" t="s">
        <v>447</v>
      </c>
      <c r="B196" s="47" t="s">
        <v>448</v>
      </c>
      <c r="C196" s="48">
        <v>0.10158298411673315</v>
      </c>
      <c r="D196" s="63" t="s">
        <v>125</v>
      </c>
      <c r="E196" s="63" t="s">
        <v>137</v>
      </c>
      <c r="F196" s="63" t="s">
        <v>399</v>
      </c>
      <c r="G196" s="29" t="s">
        <v>137</v>
      </c>
      <c r="H196" s="127" t="s">
        <v>449</v>
      </c>
      <c r="I196" s="127"/>
      <c r="J196" s="127"/>
      <c r="K196" s="127"/>
      <c r="L196" s="127"/>
    </row>
    <row r="197" spans="1:12" ht="18" customHeight="1" x14ac:dyDescent="0.2">
      <c r="A197" s="63" t="s">
        <v>558</v>
      </c>
      <c r="B197" s="63" t="s">
        <v>436</v>
      </c>
      <c r="C197" s="36">
        <f xml:space="preserve"> ABS((C179-CFD!$B$33)/(CFD!$B$34-CFD!$B$33)*(CFD!$A$34-CFD!$A$33) + CFD!$A$33)*PI()/180</f>
        <v>3.1575807816073533E-2</v>
      </c>
      <c r="D197" s="63" t="s">
        <v>125</v>
      </c>
      <c r="E197" s="63" t="s">
        <v>407</v>
      </c>
      <c r="F197" s="63" t="s">
        <v>21</v>
      </c>
      <c r="G197" s="29" t="s">
        <v>550</v>
      </c>
      <c r="H197" s="127" t="s">
        <v>526</v>
      </c>
      <c r="I197" s="127"/>
      <c r="J197" s="127"/>
      <c r="K197" s="127"/>
      <c r="L197" s="127"/>
    </row>
    <row r="198" spans="1:12" ht="18" customHeight="1" x14ac:dyDescent="0.2">
      <c r="A198" s="91">
        <v>42000</v>
      </c>
      <c r="B198" s="63" t="s">
        <v>436</v>
      </c>
      <c r="C198" s="36">
        <f xml:space="preserve"> ABS((C180-CFD!$B$33)/(CFD!$B$34-CFD!$B$33)*(CFD!$A$34-CFD!$A$33) + CFD!$A$33)*PI()/180</f>
        <v>3.3158230238407992E-2</v>
      </c>
      <c r="D198" s="63"/>
      <c r="E198" s="63" t="s">
        <v>407</v>
      </c>
      <c r="F198" s="63" t="s">
        <v>21</v>
      </c>
      <c r="G198" s="29" t="s">
        <v>550</v>
      </c>
      <c r="H198" s="127" t="s">
        <v>526</v>
      </c>
      <c r="I198" s="127"/>
      <c r="J198" s="127"/>
      <c r="K198" s="127"/>
      <c r="L198" s="127"/>
    </row>
    <row r="199" spans="1:12" ht="18" customHeight="1" x14ac:dyDescent="0.2">
      <c r="A199" s="91">
        <v>43000</v>
      </c>
      <c r="B199" s="63" t="s">
        <v>436</v>
      </c>
      <c r="C199" s="36">
        <f xml:space="preserve"> ABS((C181-CFD!$B$33)/(CFD!$B$34-CFD!$B$33)*(CFD!$A$34-CFD!$A$33) + CFD!$A$33)*PI()/180</f>
        <v>3.4813206010610491E-2</v>
      </c>
      <c r="D199" s="63"/>
      <c r="E199" s="63" t="s">
        <v>407</v>
      </c>
      <c r="F199" s="63" t="s">
        <v>21</v>
      </c>
      <c r="G199" s="29" t="s">
        <v>550</v>
      </c>
      <c r="H199" s="127" t="s">
        <v>526</v>
      </c>
      <c r="I199" s="127"/>
      <c r="J199" s="127"/>
      <c r="K199" s="127"/>
      <c r="L199" s="127"/>
    </row>
    <row r="200" spans="1:12" ht="18" customHeight="1" x14ac:dyDescent="0.2">
      <c r="A200" s="91">
        <v>44000</v>
      </c>
      <c r="B200" s="63" t="s">
        <v>436</v>
      </c>
      <c r="C200" s="36">
        <f xml:space="preserve"> ABS((C182-CFD!$B$33)/(CFD!$B$34-CFD!$B$33)*(CFD!$A$34-CFD!$A$33) + CFD!$A$33)*PI()/180</f>
        <v>3.6553941914815015E-2</v>
      </c>
      <c r="D200" s="63"/>
      <c r="E200" s="63" t="s">
        <v>407</v>
      </c>
      <c r="F200" s="63" t="s">
        <v>21</v>
      </c>
      <c r="G200" s="29" t="s">
        <v>550</v>
      </c>
      <c r="H200" s="127" t="s">
        <v>526</v>
      </c>
      <c r="I200" s="127"/>
      <c r="J200" s="127"/>
      <c r="K200" s="127"/>
      <c r="L200" s="127"/>
    </row>
    <row r="201" spans="1:12" ht="18" customHeight="1" x14ac:dyDescent="0.2">
      <c r="A201" s="91">
        <v>45000</v>
      </c>
      <c r="B201" s="63" t="s">
        <v>436</v>
      </c>
      <c r="C201" s="36">
        <f xml:space="preserve"> ABS((C183-CFD!$B$33)/(CFD!$B$34-CFD!$B$33)*(CFD!$A$34-CFD!$A$33) + CFD!$A$33)*PI()/180</f>
        <v>3.8372814233073559E-2</v>
      </c>
      <c r="D201" s="63"/>
      <c r="E201" s="63" t="s">
        <v>407</v>
      </c>
      <c r="F201" s="63" t="s">
        <v>21</v>
      </c>
      <c r="G201" s="29" t="s">
        <v>550</v>
      </c>
      <c r="H201" s="127" t="s">
        <v>526</v>
      </c>
      <c r="I201" s="127"/>
      <c r="J201" s="127"/>
      <c r="K201" s="127"/>
      <c r="L201" s="127"/>
    </row>
    <row r="202" spans="1:12" ht="18" customHeight="1" x14ac:dyDescent="0.2">
      <c r="A202" s="91">
        <v>46000</v>
      </c>
      <c r="B202" s="63" t="s">
        <v>436</v>
      </c>
      <c r="C202" s="36">
        <f xml:space="preserve"> ABS((C184-CFD!$B$33)/(CFD!$B$34-CFD!$B$33)*(CFD!$A$34-CFD!$A$33) + CFD!$A$33)*PI()/180</f>
        <v>4.0285557399302369E-2</v>
      </c>
      <c r="D202" s="63"/>
      <c r="E202" s="63" t="s">
        <v>407</v>
      </c>
      <c r="F202" s="63" t="s">
        <v>21</v>
      </c>
      <c r="G202" s="29" t="s">
        <v>550</v>
      </c>
      <c r="H202" s="127" t="s">
        <v>526</v>
      </c>
      <c r="I202" s="127"/>
      <c r="J202" s="127"/>
      <c r="K202" s="127"/>
      <c r="L202" s="127"/>
    </row>
    <row r="203" spans="1:12" ht="18" customHeight="1" x14ac:dyDescent="0.2">
      <c r="A203" s="91">
        <v>47000</v>
      </c>
      <c r="B203" s="63" t="s">
        <v>436</v>
      </c>
      <c r="C203" s="36">
        <f xml:space="preserve"> ABS((C185-CFD!$B$33)/(CFD!$B$34-CFD!$B$33)*(CFD!$A$34-CFD!$A$33) + CFD!$A$33)*PI()/180</f>
        <v>4.2292991697837991E-2</v>
      </c>
      <c r="D203" s="63"/>
      <c r="E203" s="63" t="s">
        <v>407</v>
      </c>
      <c r="F203" s="63" t="s">
        <v>21</v>
      </c>
      <c r="G203" s="29" t="s">
        <v>550</v>
      </c>
      <c r="H203" s="127" t="s">
        <v>526</v>
      </c>
      <c r="I203" s="127"/>
      <c r="J203" s="127"/>
      <c r="K203" s="127"/>
      <c r="L203" s="127"/>
    </row>
    <row r="204" spans="1:12" ht="18" customHeight="1" x14ac:dyDescent="0.2">
      <c r="A204" s="91">
        <v>48000</v>
      </c>
      <c r="B204" s="63" t="s">
        <v>436</v>
      </c>
      <c r="C204" s="36">
        <f xml:space="preserve"> ABS((C186-CFD!$B$33)/(CFD!$B$34-CFD!$B$33)*(CFD!$A$34-CFD!$A$33) + CFD!$A$33)*PI()/180</f>
        <v>4.4394691683189706E-2</v>
      </c>
      <c r="D204" s="63"/>
      <c r="E204" s="63" t="s">
        <v>407</v>
      </c>
      <c r="F204" s="63" t="s">
        <v>21</v>
      </c>
      <c r="G204" s="29" t="s">
        <v>550</v>
      </c>
      <c r="H204" s="127" t="s">
        <v>526</v>
      </c>
      <c r="I204" s="127"/>
      <c r="J204" s="127"/>
      <c r="K204" s="127"/>
      <c r="L204" s="127"/>
    </row>
    <row r="205" spans="1:12" ht="18" customHeight="1" x14ac:dyDescent="0.2">
      <c r="A205" s="91">
        <v>49000</v>
      </c>
      <c r="B205" s="63" t="s">
        <v>436</v>
      </c>
      <c r="C205" s="36">
        <f xml:space="preserve"> ABS((C187-CFD!$B$33)/(CFD!$B$34-CFD!$B$33)*(CFD!$A$34-CFD!$A$33) + CFD!$A$33)*PI()/180</f>
        <v>4.6613414352492652E-2</v>
      </c>
      <c r="D205" s="63"/>
      <c r="E205" s="63" t="s">
        <v>407</v>
      </c>
      <c r="F205" s="63" t="s">
        <v>21</v>
      </c>
      <c r="G205" s="29" t="s">
        <v>550</v>
      </c>
      <c r="H205" s="127" t="s">
        <v>526</v>
      </c>
      <c r="I205" s="127"/>
      <c r="J205" s="127"/>
      <c r="K205" s="127"/>
      <c r="L205" s="127"/>
    </row>
    <row r="206" spans="1:12" ht="18" customHeight="1" x14ac:dyDescent="0.2">
      <c r="A206" s="63" t="s">
        <v>560</v>
      </c>
      <c r="B206" s="47" t="s">
        <v>481</v>
      </c>
      <c r="C206" s="48">
        <f>C188/C224</f>
        <v>4.0585609980689101E-2</v>
      </c>
      <c r="D206" s="63" t="s">
        <v>125</v>
      </c>
      <c r="E206" s="63" t="s">
        <v>407</v>
      </c>
      <c r="F206" s="63" t="s">
        <v>21</v>
      </c>
      <c r="G206" s="29" t="s">
        <v>482</v>
      </c>
      <c r="H206" s="127" t="s">
        <v>483</v>
      </c>
      <c r="I206" s="127"/>
      <c r="J206" s="127"/>
      <c r="K206" s="127"/>
      <c r="L206" s="127"/>
    </row>
    <row r="207" spans="1:12" ht="18" customHeight="1" x14ac:dyDescent="0.2">
      <c r="A207" s="91">
        <v>42000</v>
      </c>
      <c r="B207" s="47" t="s">
        <v>481</v>
      </c>
      <c r="C207" s="48">
        <f t="shared" ref="C207:C214" si="8">C189/C225</f>
        <v>4.0624859973894818E-2</v>
      </c>
      <c r="D207" s="63" t="s">
        <v>125</v>
      </c>
      <c r="E207" s="63" t="s">
        <v>407</v>
      </c>
      <c r="F207" s="63" t="s">
        <v>21</v>
      </c>
      <c r="G207" s="29" t="s">
        <v>482</v>
      </c>
      <c r="H207" s="127" t="s">
        <v>483</v>
      </c>
      <c r="I207" s="127"/>
      <c r="J207" s="127"/>
      <c r="K207" s="127"/>
      <c r="L207" s="127"/>
    </row>
    <row r="208" spans="1:12" s="63" customFormat="1" ht="18" customHeight="1" x14ac:dyDescent="0.2">
      <c r="A208" s="91">
        <v>43000</v>
      </c>
      <c r="B208" s="47" t="s">
        <v>481</v>
      </c>
      <c r="C208" s="48">
        <f t="shared" si="8"/>
        <v>4.0662162448353675E-2</v>
      </c>
      <c r="D208" s="63" t="s">
        <v>125</v>
      </c>
      <c r="E208" s="63" t="s">
        <v>407</v>
      </c>
      <c r="F208" s="63" t="s">
        <v>21</v>
      </c>
      <c r="G208" s="29" t="s">
        <v>482</v>
      </c>
      <c r="H208" s="127" t="s">
        <v>483</v>
      </c>
      <c r="I208" s="127"/>
      <c r="J208" s="127"/>
      <c r="K208" s="127"/>
      <c r="L208" s="127"/>
    </row>
    <row r="209" spans="1:12" s="63" customFormat="1" ht="18" customHeight="1" x14ac:dyDescent="0.2">
      <c r="A209" s="91">
        <v>44000</v>
      </c>
      <c r="B209" s="47" t="s">
        <v>481</v>
      </c>
      <c r="C209" s="48">
        <f t="shared" si="8"/>
        <v>4.069781702233443E-2</v>
      </c>
      <c r="D209" s="63" t="s">
        <v>125</v>
      </c>
      <c r="E209" s="63" t="s">
        <v>407</v>
      </c>
      <c r="F209" s="63" t="s">
        <v>21</v>
      </c>
      <c r="G209" s="29" t="s">
        <v>482</v>
      </c>
      <c r="H209" s="127" t="s">
        <v>483</v>
      </c>
      <c r="I209" s="127"/>
      <c r="J209" s="127"/>
      <c r="K209" s="127"/>
      <c r="L209" s="127"/>
    </row>
    <row r="210" spans="1:12" s="63" customFormat="1" ht="18" customHeight="1" x14ac:dyDescent="0.2">
      <c r="A210" s="91">
        <v>45000</v>
      </c>
      <c r="B210" s="47" t="s">
        <v>481</v>
      </c>
      <c r="C210" s="48">
        <f t="shared" si="8"/>
        <v>4.0731673886702721E-2</v>
      </c>
      <c r="D210" s="63" t="s">
        <v>125</v>
      </c>
      <c r="E210" s="63" t="s">
        <v>407</v>
      </c>
      <c r="F210" s="63" t="s">
        <v>21</v>
      </c>
      <c r="G210" s="29" t="s">
        <v>482</v>
      </c>
      <c r="H210" s="127" t="s">
        <v>483</v>
      </c>
      <c r="I210" s="127"/>
      <c r="J210" s="127"/>
      <c r="K210" s="127"/>
      <c r="L210" s="127"/>
    </row>
    <row r="211" spans="1:12" s="63" customFormat="1" ht="18" customHeight="1" x14ac:dyDescent="0.2">
      <c r="A211" s="91">
        <v>46000</v>
      </c>
      <c r="B211" s="47" t="s">
        <v>481</v>
      </c>
      <c r="C211" s="48">
        <f t="shared" si="8"/>
        <v>4.0764032659727285E-2</v>
      </c>
      <c r="D211" s="63" t="s">
        <v>125</v>
      </c>
      <c r="E211" s="63" t="s">
        <v>407</v>
      </c>
      <c r="F211" s="63" t="s">
        <v>21</v>
      </c>
      <c r="G211" s="29" t="s">
        <v>482</v>
      </c>
      <c r="H211" s="127" t="s">
        <v>483</v>
      </c>
      <c r="I211" s="127"/>
      <c r="J211" s="127"/>
      <c r="K211" s="127"/>
      <c r="L211" s="127"/>
    </row>
    <row r="212" spans="1:12" s="63" customFormat="1" ht="18" customHeight="1" x14ac:dyDescent="0.2">
      <c r="A212" s="91">
        <v>47000</v>
      </c>
      <c r="B212" s="47" t="s">
        <v>481</v>
      </c>
      <c r="C212" s="48">
        <f t="shared" si="8"/>
        <v>4.0794893341408095E-2</v>
      </c>
      <c r="D212" s="63" t="s">
        <v>125</v>
      </c>
      <c r="E212" s="63" t="s">
        <v>407</v>
      </c>
      <c r="F212" s="63" t="s">
        <v>21</v>
      </c>
      <c r="G212" s="29" t="s">
        <v>482</v>
      </c>
      <c r="H212" s="127" t="s">
        <v>483</v>
      </c>
      <c r="I212" s="127"/>
      <c r="J212" s="127"/>
      <c r="K212" s="127"/>
      <c r="L212" s="127"/>
    </row>
    <row r="213" spans="1:12" s="63" customFormat="1" ht="18" customHeight="1" x14ac:dyDescent="0.2">
      <c r="A213" s="91">
        <v>48000</v>
      </c>
      <c r="B213" s="47" t="s">
        <v>481</v>
      </c>
      <c r="C213" s="48">
        <f t="shared" si="8"/>
        <v>4.0824255931745206E-2</v>
      </c>
      <c r="D213" s="63" t="s">
        <v>125</v>
      </c>
      <c r="E213" s="63" t="s">
        <v>407</v>
      </c>
      <c r="F213" s="63" t="s">
        <v>21</v>
      </c>
      <c r="G213" s="29" t="s">
        <v>482</v>
      </c>
      <c r="H213" s="127" t="s">
        <v>483</v>
      </c>
      <c r="I213" s="127"/>
      <c r="J213" s="127"/>
      <c r="K213" s="127"/>
      <c r="L213" s="127"/>
    </row>
    <row r="214" spans="1:12" s="63" customFormat="1" ht="18" customHeight="1" x14ac:dyDescent="0.2">
      <c r="A214" s="91">
        <v>49000</v>
      </c>
      <c r="B214" s="47" t="s">
        <v>481</v>
      </c>
      <c r="C214" s="48">
        <f t="shared" si="8"/>
        <v>4.0852420049007312E-2</v>
      </c>
      <c r="D214" s="63" t="s">
        <v>125</v>
      </c>
      <c r="E214" s="63" t="s">
        <v>407</v>
      </c>
      <c r="F214" s="63" t="s">
        <v>21</v>
      </c>
      <c r="G214" s="29" t="s">
        <v>482</v>
      </c>
      <c r="H214" s="127" t="s">
        <v>483</v>
      </c>
      <c r="I214" s="127"/>
      <c r="J214" s="127"/>
      <c r="K214" s="127"/>
      <c r="L214" s="127"/>
    </row>
    <row r="215" spans="1:12" s="63" customFormat="1" ht="18" customHeight="1" x14ac:dyDescent="0.2">
      <c r="A215" s="63" t="s">
        <v>559</v>
      </c>
      <c r="B215" s="63" t="s">
        <v>420</v>
      </c>
      <c r="C215" s="36">
        <f t="shared" ref="C215:C223" si="9">C179/C197</f>
        <v>2.5029310675647602</v>
      </c>
      <c r="D215" s="63" t="s">
        <v>125</v>
      </c>
      <c r="E215" s="63" t="s">
        <v>421</v>
      </c>
      <c r="F215" s="63" t="s">
        <v>21</v>
      </c>
      <c r="G215" s="29" t="s">
        <v>422</v>
      </c>
      <c r="H215" s="110" t="s">
        <v>423</v>
      </c>
      <c r="I215" s="110"/>
      <c r="J215" s="110"/>
      <c r="K215" s="110"/>
      <c r="L215" s="110"/>
    </row>
    <row r="216" spans="1:12" s="63" customFormat="1" ht="18" customHeight="1" x14ac:dyDescent="0.2">
      <c r="A216" s="91">
        <v>42000</v>
      </c>
      <c r="B216" s="63" t="s">
        <v>420</v>
      </c>
      <c r="C216" s="36">
        <f t="shared" si="9"/>
        <v>2.5005128431706471</v>
      </c>
      <c r="D216" s="63" t="s">
        <v>125</v>
      </c>
      <c r="E216" s="63" t="s">
        <v>421</v>
      </c>
      <c r="F216" s="63" t="s">
        <v>21</v>
      </c>
      <c r="G216" s="29" t="s">
        <v>422</v>
      </c>
      <c r="H216" s="110" t="s">
        <v>423</v>
      </c>
      <c r="I216" s="110"/>
      <c r="J216" s="110"/>
      <c r="K216" s="110"/>
      <c r="L216" s="110"/>
    </row>
    <row r="217" spans="1:12" s="63" customFormat="1" ht="18" customHeight="1" x14ac:dyDescent="0.2">
      <c r="A217" s="91">
        <v>43000</v>
      </c>
      <c r="B217" s="63" t="s">
        <v>420</v>
      </c>
      <c r="C217" s="36">
        <f t="shared" si="9"/>
        <v>2.498218933775521</v>
      </c>
      <c r="D217" s="63" t="s">
        <v>125</v>
      </c>
      <c r="E217" s="63" t="s">
        <v>421</v>
      </c>
      <c r="F217" s="63" t="s">
        <v>21</v>
      </c>
      <c r="G217" s="29" t="s">
        <v>422</v>
      </c>
      <c r="H217" s="110" t="s">
        <v>423</v>
      </c>
      <c r="I217" s="110"/>
      <c r="J217" s="110"/>
      <c r="K217" s="110"/>
      <c r="L217" s="110"/>
    </row>
    <row r="218" spans="1:12" s="63" customFormat="1" ht="18" customHeight="1" x14ac:dyDescent="0.2">
      <c r="A218" s="91">
        <v>44000</v>
      </c>
      <c r="B218" s="63" t="s">
        <v>420</v>
      </c>
      <c r="C218" s="36">
        <f t="shared" si="9"/>
        <v>2.4960302922632369</v>
      </c>
      <c r="D218" s="63" t="s">
        <v>125</v>
      </c>
      <c r="E218" s="63" t="s">
        <v>421</v>
      </c>
      <c r="F218" s="63" t="s">
        <v>21</v>
      </c>
      <c r="G218" s="29" t="s">
        <v>422</v>
      </c>
      <c r="H218" s="110" t="s">
        <v>423</v>
      </c>
      <c r="I218" s="110"/>
      <c r="J218" s="110"/>
      <c r="K218" s="110"/>
      <c r="L218" s="110"/>
    </row>
    <row r="219" spans="1:12" s="63" customFormat="1" ht="18" customHeight="1" x14ac:dyDescent="0.2">
      <c r="A219" s="91">
        <v>45000</v>
      </c>
      <c r="B219" s="63" t="s">
        <v>420</v>
      </c>
      <c r="C219" s="36">
        <f t="shared" si="9"/>
        <v>2.4939555491701992</v>
      </c>
      <c r="D219" s="63" t="s">
        <v>125</v>
      </c>
      <c r="E219" s="63" t="s">
        <v>421</v>
      </c>
      <c r="F219" s="63" t="s">
        <v>21</v>
      </c>
      <c r="G219" s="29" t="s">
        <v>422</v>
      </c>
      <c r="H219" s="110" t="s">
        <v>423</v>
      </c>
      <c r="I219" s="110"/>
      <c r="J219" s="110"/>
      <c r="K219" s="110"/>
      <c r="L219" s="110"/>
    </row>
    <row r="220" spans="1:12" s="63" customFormat="1" ht="18" customHeight="1" x14ac:dyDescent="0.2">
      <c r="A220" s="91">
        <v>46000</v>
      </c>
      <c r="B220" s="63" t="s">
        <v>420</v>
      </c>
      <c r="C220" s="36">
        <f t="shared" si="9"/>
        <v>2.4919758298862269</v>
      </c>
      <c r="D220" s="63" t="s">
        <v>125</v>
      </c>
      <c r="E220" s="63" t="s">
        <v>421</v>
      </c>
      <c r="F220" s="63" t="s">
        <v>21</v>
      </c>
      <c r="G220" s="29" t="s">
        <v>422</v>
      </c>
      <c r="H220" s="110" t="s">
        <v>423</v>
      </c>
      <c r="I220" s="110"/>
      <c r="J220" s="110"/>
      <c r="K220" s="110"/>
      <c r="L220" s="110"/>
    </row>
    <row r="221" spans="1:12" s="63" customFormat="1" ht="18" customHeight="1" x14ac:dyDescent="0.2">
      <c r="A221" s="91">
        <v>47000</v>
      </c>
      <c r="B221" s="63" t="s">
        <v>420</v>
      </c>
      <c r="C221" s="36">
        <f t="shared" si="9"/>
        <v>2.4900906901899713</v>
      </c>
      <c r="D221" s="63" t="s">
        <v>125</v>
      </c>
      <c r="E221" s="63" t="s">
        <v>421</v>
      </c>
      <c r="F221" s="63" t="s">
        <v>21</v>
      </c>
      <c r="G221" s="29" t="s">
        <v>422</v>
      </c>
      <c r="H221" s="110" t="s">
        <v>423</v>
      </c>
      <c r="I221" s="110"/>
      <c r="J221" s="110"/>
      <c r="K221" s="110"/>
      <c r="L221" s="110"/>
    </row>
    <row r="222" spans="1:12" s="63" customFormat="1" ht="18" customHeight="1" x14ac:dyDescent="0.2">
      <c r="A222" s="91">
        <v>48000</v>
      </c>
      <c r="B222" s="63" t="s">
        <v>420</v>
      </c>
      <c r="C222" s="36">
        <f t="shared" si="9"/>
        <v>2.4882997080601186</v>
      </c>
      <c r="D222" s="63" t="s">
        <v>125</v>
      </c>
      <c r="E222" s="63" t="s">
        <v>421</v>
      </c>
      <c r="F222" s="63" t="s">
        <v>21</v>
      </c>
      <c r="G222" s="29" t="s">
        <v>422</v>
      </c>
      <c r="H222" s="110" t="s">
        <v>423</v>
      </c>
      <c r="I222" s="110"/>
      <c r="J222" s="110"/>
      <c r="K222" s="110"/>
      <c r="L222" s="110"/>
    </row>
    <row r="223" spans="1:12" s="63" customFormat="1" ht="18" customHeight="1" x14ac:dyDescent="0.2">
      <c r="A223" s="91">
        <v>49000</v>
      </c>
      <c r="B223" s="63" t="s">
        <v>420</v>
      </c>
      <c r="C223" s="36">
        <f t="shared" si="9"/>
        <v>2.4865842462912195</v>
      </c>
      <c r="D223" s="63" t="s">
        <v>125</v>
      </c>
      <c r="E223" s="63" t="s">
        <v>421</v>
      </c>
      <c r="F223" s="63" t="s">
        <v>21</v>
      </c>
      <c r="G223" s="29" t="s">
        <v>422</v>
      </c>
      <c r="H223" s="110" t="s">
        <v>423</v>
      </c>
      <c r="I223" s="110"/>
      <c r="J223" s="110"/>
      <c r="K223" s="110"/>
      <c r="L223" s="110"/>
    </row>
    <row r="224" spans="1:12" s="63" customFormat="1" ht="18" customHeight="1" x14ac:dyDescent="0.2">
      <c r="A224" s="63" t="s">
        <v>425</v>
      </c>
      <c r="B224" s="63" t="s">
        <v>426</v>
      </c>
      <c r="C224" s="36">
        <f>C215</f>
        <v>2.5029310675647602</v>
      </c>
      <c r="D224" s="63" t="s">
        <v>125</v>
      </c>
      <c r="E224" s="63" t="s">
        <v>421</v>
      </c>
      <c r="F224" s="63" t="s">
        <v>21</v>
      </c>
      <c r="G224" s="29" t="s">
        <v>427</v>
      </c>
      <c r="H224" s="110" t="s">
        <v>428</v>
      </c>
      <c r="I224" s="110"/>
      <c r="J224" s="110"/>
      <c r="K224" s="110"/>
      <c r="L224" s="110"/>
    </row>
    <row r="225" spans="1:12" ht="18" customHeight="1" x14ac:dyDescent="0.2">
      <c r="A225" s="91">
        <v>42000</v>
      </c>
      <c r="B225" s="63" t="s">
        <v>426</v>
      </c>
      <c r="C225" s="36">
        <f t="shared" ref="C225:C232" si="10">C216</f>
        <v>2.5005128431706471</v>
      </c>
      <c r="D225" s="63" t="s">
        <v>125</v>
      </c>
      <c r="E225" s="63" t="s">
        <v>421</v>
      </c>
      <c r="F225" s="63" t="s">
        <v>21</v>
      </c>
      <c r="G225" s="29" t="s">
        <v>427</v>
      </c>
      <c r="H225" s="110" t="s">
        <v>428</v>
      </c>
      <c r="I225" s="110"/>
      <c r="J225" s="110"/>
      <c r="K225" s="110"/>
      <c r="L225" s="110"/>
    </row>
    <row r="226" spans="1:12" ht="18" customHeight="1" x14ac:dyDescent="0.2">
      <c r="A226" s="91">
        <v>43000</v>
      </c>
      <c r="B226" s="63" t="s">
        <v>426</v>
      </c>
      <c r="C226" s="36">
        <f t="shared" si="10"/>
        <v>2.498218933775521</v>
      </c>
      <c r="D226" s="63" t="s">
        <v>125</v>
      </c>
      <c r="E226" s="63" t="s">
        <v>421</v>
      </c>
      <c r="F226" s="63" t="s">
        <v>21</v>
      </c>
      <c r="G226" s="29" t="s">
        <v>427</v>
      </c>
      <c r="H226" s="110" t="s">
        <v>428</v>
      </c>
      <c r="I226" s="110"/>
      <c r="J226" s="110"/>
      <c r="K226" s="110"/>
      <c r="L226" s="110"/>
    </row>
    <row r="227" spans="1:12" ht="18" customHeight="1" x14ac:dyDescent="0.2">
      <c r="A227" s="91">
        <v>44000</v>
      </c>
      <c r="B227" s="63" t="s">
        <v>426</v>
      </c>
      <c r="C227" s="36">
        <f t="shared" si="10"/>
        <v>2.4960302922632369</v>
      </c>
      <c r="D227" s="63" t="s">
        <v>125</v>
      </c>
      <c r="E227" s="63" t="s">
        <v>421</v>
      </c>
      <c r="F227" s="63" t="s">
        <v>21</v>
      </c>
      <c r="G227" s="29" t="s">
        <v>427</v>
      </c>
      <c r="H227" s="110" t="s">
        <v>428</v>
      </c>
      <c r="I227" s="110"/>
      <c r="J227" s="110"/>
      <c r="K227" s="110"/>
      <c r="L227" s="110"/>
    </row>
    <row r="228" spans="1:12" ht="18" customHeight="1" x14ac:dyDescent="0.2">
      <c r="A228" s="91">
        <v>45000</v>
      </c>
      <c r="B228" s="63" t="s">
        <v>426</v>
      </c>
      <c r="C228" s="36">
        <f t="shared" si="10"/>
        <v>2.4939555491701992</v>
      </c>
      <c r="D228" s="63" t="s">
        <v>125</v>
      </c>
      <c r="E228" s="63" t="s">
        <v>421</v>
      </c>
      <c r="F228" s="63" t="s">
        <v>21</v>
      </c>
      <c r="G228" s="29" t="s">
        <v>427</v>
      </c>
      <c r="H228" s="110" t="s">
        <v>428</v>
      </c>
      <c r="I228" s="110"/>
      <c r="J228" s="110"/>
      <c r="K228" s="110"/>
      <c r="L228" s="110"/>
    </row>
    <row r="229" spans="1:12" ht="18" customHeight="1" x14ac:dyDescent="0.2">
      <c r="A229" s="91">
        <v>46000</v>
      </c>
      <c r="B229" s="63" t="s">
        <v>426</v>
      </c>
      <c r="C229" s="36">
        <f t="shared" si="10"/>
        <v>2.4919758298862269</v>
      </c>
      <c r="D229" s="63" t="s">
        <v>125</v>
      </c>
      <c r="E229" s="63" t="s">
        <v>421</v>
      </c>
      <c r="F229" s="63" t="s">
        <v>21</v>
      </c>
      <c r="G229" s="29" t="s">
        <v>427</v>
      </c>
      <c r="H229" s="110" t="s">
        <v>428</v>
      </c>
      <c r="I229" s="110"/>
      <c r="J229" s="110"/>
      <c r="K229" s="110"/>
      <c r="L229" s="110"/>
    </row>
    <row r="230" spans="1:12" ht="18" customHeight="1" x14ac:dyDescent="0.2">
      <c r="A230" s="91">
        <v>47000</v>
      </c>
      <c r="B230" s="63" t="s">
        <v>426</v>
      </c>
      <c r="C230" s="36">
        <f t="shared" si="10"/>
        <v>2.4900906901899713</v>
      </c>
      <c r="D230" s="63" t="s">
        <v>125</v>
      </c>
      <c r="E230" s="63" t="s">
        <v>421</v>
      </c>
      <c r="F230" s="63" t="s">
        <v>21</v>
      </c>
      <c r="G230" s="29" t="s">
        <v>427</v>
      </c>
      <c r="H230" s="110" t="s">
        <v>428</v>
      </c>
      <c r="I230" s="110"/>
      <c r="J230" s="110"/>
      <c r="K230" s="110"/>
      <c r="L230" s="110"/>
    </row>
    <row r="231" spans="1:12" ht="18" customHeight="1" x14ac:dyDescent="0.2">
      <c r="A231" s="91">
        <v>48000</v>
      </c>
      <c r="B231" s="63" t="s">
        <v>426</v>
      </c>
      <c r="C231" s="36">
        <f t="shared" si="10"/>
        <v>2.4882997080601186</v>
      </c>
      <c r="D231" s="63" t="s">
        <v>125</v>
      </c>
      <c r="E231" s="63" t="s">
        <v>421</v>
      </c>
      <c r="F231" s="63" t="s">
        <v>21</v>
      </c>
      <c r="G231" s="29" t="s">
        <v>427</v>
      </c>
      <c r="H231" s="110" t="s">
        <v>428</v>
      </c>
      <c r="I231" s="110"/>
      <c r="J231" s="110"/>
      <c r="K231" s="110"/>
      <c r="L231" s="110"/>
    </row>
    <row r="232" spans="1:12" ht="18" customHeight="1" x14ac:dyDescent="0.2">
      <c r="A232" s="91">
        <v>49000</v>
      </c>
      <c r="B232" s="63" t="s">
        <v>426</v>
      </c>
      <c r="C232" s="36">
        <f t="shared" si="10"/>
        <v>2.4865842462912195</v>
      </c>
      <c r="D232" s="63" t="s">
        <v>125</v>
      </c>
      <c r="E232" s="63" t="s">
        <v>421</v>
      </c>
      <c r="F232" s="63" t="s">
        <v>21</v>
      </c>
      <c r="G232" s="29" t="s">
        <v>427</v>
      </c>
      <c r="H232" s="110" t="s">
        <v>428</v>
      </c>
      <c r="I232" s="110"/>
      <c r="J232" s="110"/>
      <c r="K232" s="110"/>
      <c r="L232" s="110"/>
    </row>
    <row r="233" spans="1:12" ht="18" customHeight="1" x14ac:dyDescent="0.2">
      <c r="A233" s="65" t="s">
        <v>429</v>
      </c>
      <c r="B233" s="63" t="s">
        <v>430</v>
      </c>
      <c r="C233" s="36">
        <f>$C$7/C197</f>
        <v>0.57980609903750358</v>
      </c>
      <c r="D233" s="63" t="s">
        <v>125</v>
      </c>
      <c r="E233" s="63" t="s">
        <v>431</v>
      </c>
      <c r="F233" s="63" t="s">
        <v>21</v>
      </c>
      <c r="G233" s="29" t="s">
        <v>432</v>
      </c>
      <c r="H233" s="110" t="s">
        <v>433</v>
      </c>
      <c r="I233" s="110"/>
      <c r="J233" s="110"/>
      <c r="K233" s="110"/>
      <c r="L233" s="110"/>
    </row>
    <row r="234" spans="1:12" ht="18" customHeight="1" x14ac:dyDescent="0.2">
      <c r="A234" s="91">
        <v>42000</v>
      </c>
      <c r="B234" s="63" t="s">
        <v>430</v>
      </c>
      <c r="C234" s="36">
        <f t="shared" ref="C234:C241" si="11">$C$7/C198</f>
        <v>0.55213579923180234</v>
      </c>
      <c r="D234" s="63" t="s">
        <v>125</v>
      </c>
      <c r="E234" s="63" t="s">
        <v>431</v>
      </c>
      <c r="F234" s="63" t="s">
        <v>21</v>
      </c>
      <c r="G234" s="29" t="s">
        <v>432</v>
      </c>
      <c r="H234" s="110" t="s">
        <v>433</v>
      </c>
      <c r="I234" s="110"/>
      <c r="J234" s="110"/>
      <c r="K234" s="110"/>
      <c r="L234" s="110"/>
    </row>
    <row r="235" spans="1:12" ht="18" customHeight="1" x14ac:dyDescent="0.2">
      <c r="A235" s="91">
        <v>43000</v>
      </c>
      <c r="B235" s="63" t="s">
        <v>430</v>
      </c>
      <c r="C235" s="36">
        <f t="shared" si="11"/>
        <v>0.52588796183309239</v>
      </c>
      <c r="D235" s="63" t="s">
        <v>125</v>
      </c>
      <c r="E235" s="63" t="s">
        <v>431</v>
      </c>
      <c r="F235" s="63" t="s">
        <v>21</v>
      </c>
      <c r="G235" s="29" t="s">
        <v>432</v>
      </c>
      <c r="H235" s="110" t="s">
        <v>433</v>
      </c>
      <c r="I235" s="110"/>
      <c r="J235" s="110"/>
      <c r="K235" s="110"/>
      <c r="L235" s="110"/>
    </row>
    <row r="236" spans="1:12" ht="18" customHeight="1" x14ac:dyDescent="0.2">
      <c r="A236" s="91">
        <v>44000</v>
      </c>
      <c r="B236" s="63" t="s">
        <v>430</v>
      </c>
      <c r="C236" s="36">
        <f t="shared" si="11"/>
        <v>0.5008446420487277</v>
      </c>
      <c r="D236" s="63" t="s">
        <v>125</v>
      </c>
      <c r="E236" s="63" t="s">
        <v>431</v>
      </c>
      <c r="F236" s="63" t="s">
        <v>21</v>
      </c>
      <c r="G236" s="29" t="s">
        <v>432</v>
      </c>
      <c r="H236" s="110" t="s">
        <v>433</v>
      </c>
      <c r="I236" s="110"/>
      <c r="J236" s="110"/>
      <c r="K236" s="110"/>
      <c r="L236" s="110"/>
    </row>
    <row r="237" spans="1:12" ht="18" customHeight="1" x14ac:dyDescent="0.2">
      <c r="A237" s="91">
        <v>45000</v>
      </c>
      <c r="B237" s="63" t="s">
        <v>430</v>
      </c>
      <c r="C237" s="36">
        <f t="shared" si="11"/>
        <v>0.47710459396058486</v>
      </c>
      <c r="D237" s="63" t="s">
        <v>125</v>
      </c>
      <c r="E237" s="63" t="s">
        <v>431</v>
      </c>
      <c r="F237" s="63" t="s">
        <v>21</v>
      </c>
      <c r="G237" s="29" t="s">
        <v>432</v>
      </c>
      <c r="H237" s="110" t="s">
        <v>433</v>
      </c>
      <c r="I237" s="110"/>
      <c r="J237" s="110"/>
      <c r="K237" s="110"/>
      <c r="L237" s="110"/>
    </row>
    <row r="238" spans="1:12" ht="18" customHeight="1" x14ac:dyDescent="0.2">
      <c r="A238" s="91">
        <v>46000</v>
      </c>
      <c r="B238" s="63" t="s">
        <v>430</v>
      </c>
      <c r="C238" s="36">
        <f t="shared" si="11"/>
        <v>0.45445184665888599</v>
      </c>
      <c r="D238" s="63" t="s">
        <v>125</v>
      </c>
      <c r="E238" s="63" t="s">
        <v>431</v>
      </c>
      <c r="F238" s="63" t="s">
        <v>21</v>
      </c>
      <c r="G238" s="29" t="s">
        <v>432</v>
      </c>
      <c r="H238" s="110" t="s">
        <v>433</v>
      </c>
      <c r="I238" s="110"/>
      <c r="J238" s="110"/>
      <c r="K238" s="110"/>
      <c r="L238" s="110"/>
    </row>
    <row r="239" spans="1:12" ht="22" customHeight="1" x14ac:dyDescent="0.2">
      <c r="A239" s="91">
        <v>47000</v>
      </c>
      <c r="B239" s="63" t="s">
        <v>430</v>
      </c>
      <c r="C239" s="36">
        <f t="shared" si="11"/>
        <v>0.43288131718360812</v>
      </c>
      <c r="D239" s="63" t="s">
        <v>125</v>
      </c>
      <c r="E239" s="63" t="s">
        <v>431</v>
      </c>
      <c r="F239" s="63" t="s">
        <v>21</v>
      </c>
      <c r="G239" s="29" t="s">
        <v>432</v>
      </c>
      <c r="H239" s="110" t="s">
        <v>433</v>
      </c>
      <c r="I239" s="110"/>
      <c r="J239" s="110"/>
      <c r="K239" s="110"/>
      <c r="L239" s="110"/>
    </row>
    <row r="240" spans="1:12" ht="18" customHeight="1" x14ac:dyDescent="0.2">
      <c r="A240" s="91">
        <v>48000</v>
      </c>
      <c r="B240" s="63" t="s">
        <v>430</v>
      </c>
      <c r="C240" s="36">
        <f t="shared" si="11"/>
        <v>0.41238817659652488</v>
      </c>
      <c r="D240" s="63" t="s">
        <v>125</v>
      </c>
      <c r="E240" s="63" t="s">
        <v>431</v>
      </c>
      <c r="F240" s="63" t="s">
        <v>21</v>
      </c>
      <c r="G240" s="29" t="s">
        <v>432</v>
      </c>
      <c r="H240" s="110" t="s">
        <v>433</v>
      </c>
      <c r="I240" s="110"/>
      <c r="J240" s="110"/>
      <c r="K240" s="110"/>
      <c r="L240" s="110"/>
    </row>
    <row r="241" spans="1:12" ht="18" customHeight="1" x14ac:dyDescent="0.2">
      <c r="A241" s="91">
        <v>49000</v>
      </c>
      <c r="B241" s="63" t="s">
        <v>430</v>
      </c>
      <c r="C241" s="36">
        <f t="shared" si="11"/>
        <v>0.39275917046862924</v>
      </c>
      <c r="D241" s="63" t="s">
        <v>125</v>
      </c>
      <c r="E241" s="63" t="s">
        <v>431</v>
      </c>
      <c r="F241" s="63" t="s">
        <v>21</v>
      </c>
      <c r="G241" s="29" t="s">
        <v>432</v>
      </c>
      <c r="H241" s="110" t="s">
        <v>433</v>
      </c>
      <c r="I241" s="110"/>
      <c r="J241" s="110"/>
      <c r="K241" s="110"/>
      <c r="L241" s="110"/>
    </row>
    <row r="242" spans="1:12" ht="18" customHeight="1" x14ac:dyDescent="0.2">
      <c r="A242" s="63" t="s">
        <v>434</v>
      </c>
      <c r="B242" s="63" t="s">
        <v>435</v>
      </c>
      <c r="C242" s="36">
        <f>2*'Stability Constants Subsonic'!$C$13*('Stability Constants Subsonic'!$C$4-'Stability Constants Subsonic'!$C$3)*'Stability Constants Subsonic'!$C$14*'Supersonic Stability'!C197</f>
        <v>61841.547343851358</v>
      </c>
      <c r="D242" s="63" t="s">
        <v>125</v>
      </c>
      <c r="E242" s="63" t="s">
        <v>224</v>
      </c>
      <c r="F242" s="63" t="s">
        <v>21</v>
      </c>
      <c r="G242" s="29" t="s">
        <v>437</v>
      </c>
      <c r="H242" s="110" t="s">
        <v>438</v>
      </c>
      <c r="I242" s="110"/>
      <c r="J242" s="110"/>
      <c r="K242" s="110"/>
      <c r="L242" s="110"/>
    </row>
    <row r="243" spans="1:12" ht="18" customHeight="1" x14ac:dyDescent="0.2">
      <c r="A243" s="91">
        <v>42000</v>
      </c>
      <c r="B243" s="63" t="s">
        <v>435</v>
      </c>
      <c r="C243" s="36">
        <f>2*'Stability Constants Subsonic'!$C$13*('Stability Constants Subsonic'!$C$4-'Stability Constants Subsonic'!$C$3)*'Stability Constants Subsonic'!$C$14*'Supersonic Stability'!C198</f>
        <v>64940.738082495052</v>
      </c>
      <c r="D243" s="63" t="s">
        <v>125</v>
      </c>
      <c r="E243" s="63" t="s">
        <v>224</v>
      </c>
      <c r="F243" s="63" t="s">
        <v>21</v>
      </c>
      <c r="G243" s="29" t="s">
        <v>437</v>
      </c>
      <c r="H243" s="110" t="s">
        <v>438</v>
      </c>
      <c r="I243" s="110"/>
      <c r="J243" s="110"/>
      <c r="K243" s="110"/>
      <c r="L243" s="110"/>
    </row>
    <row r="244" spans="1:12" ht="18" customHeight="1" x14ac:dyDescent="0.2">
      <c r="A244" s="91">
        <v>43000</v>
      </c>
      <c r="B244" s="63" t="s">
        <v>435</v>
      </c>
      <c r="C244" s="36">
        <f>2*'Stability Constants Subsonic'!$C$13*('Stability Constants Subsonic'!$C$4-'Stability Constants Subsonic'!$C$3)*'Stability Constants Subsonic'!$C$14*'Supersonic Stability'!C199</f>
        <v>68182.02530991126</v>
      </c>
      <c r="D244" s="63" t="s">
        <v>125</v>
      </c>
      <c r="E244" s="63" t="s">
        <v>224</v>
      </c>
      <c r="F244" s="63" t="s">
        <v>21</v>
      </c>
      <c r="G244" s="29" t="s">
        <v>437</v>
      </c>
      <c r="H244" s="110" t="s">
        <v>438</v>
      </c>
      <c r="I244" s="110"/>
      <c r="J244" s="110"/>
      <c r="K244" s="110"/>
      <c r="L244" s="110"/>
    </row>
    <row r="245" spans="1:12" ht="18" customHeight="1" x14ac:dyDescent="0.2">
      <c r="A245" s="91">
        <v>44000</v>
      </c>
      <c r="B245" s="63" t="s">
        <v>435</v>
      </c>
      <c r="C245" s="36">
        <f>2*'Stability Constants Subsonic'!$C$13*('Stability Constants Subsonic'!$C$4-'Stability Constants Subsonic'!$C$3)*'Stability Constants Subsonic'!$C$14*'Supersonic Stability'!C200</f>
        <v>71591.274645987069</v>
      </c>
      <c r="D245" s="63" t="s">
        <v>125</v>
      </c>
      <c r="E245" s="63" t="s">
        <v>224</v>
      </c>
      <c r="F245" s="63" t="s">
        <v>21</v>
      </c>
      <c r="G245" s="29" t="s">
        <v>437</v>
      </c>
      <c r="H245" s="110" t="s">
        <v>438</v>
      </c>
      <c r="I245" s="110"/>
      <c r="J245" s="110"/>
      <c r="K245" s="110"/>
      <c r="L245" s="110"/>
    </row>
    <row r="246" spans="1:12" ht="18" customHeight="1" x14ac:dyDescent="0.2">
      <c r="A246" s="91">
        <v>45000</v>
      </c>
      <c r="B246" s="63" t="s">
        <v>435</v>
      </c>
      <c r="C246" s="36">
        <f>2*'Stability Constants Subsonic'!$C$13*('Stability Constants Subsonic'!$C$4-'Stability Constants Subsonic'!$C$3)*'Stability Constants Subsonic'!$C$14*'Supersonic Stability'!C201</f>
        <v>75153.554959992136</v>
      </c>
      <c r="D246" s="63" t="s">
        <v>125</v>
      </c>
      <c r="E246" s="63" t="s">
        <v>224</v>
      </c>
      <c r="F246" s="63" t="s">
        <v>21</v>
      </c>
      <c r="G246" s="29" t="s">
        <v>437</v>
      </c>
      <c r="H246" s="110" t="s">
        <v>438</v>
      </c>
      <c r="I246" s="110"/>
      <c r="J246" s="110"/>
      <c r="K246" s="110"/>
      <c r="L246" s="110"/>
    </row>
    <row r="247" spans="1:12" ht="18" customHeight="1" x14ac:dyDescent="0.2">
      <c r="A247" s="91">
        <v>46000</v>
      </c>
      <c r="B247" s="63" t="s">
        <v>435</v>
      </c>
      <c r="C247" s="36">
        <f>2*'Stability Constants Subsonic'!$C$13*('Stability Constants Subsonic'!$C$4-'Stability Constants Subsonic'!$C$3)*'Stability Constants Subsonic'!$C$14*'Supersonic Stability'!C202</f>
        <v>78899.68230406451</v>
      </c>
      <c r="D247" s="63" t="s">
        <v>125</v>
      </c>
      <c r="E247" s="63" t="s">
        <v>224</v>
      </c>
      <c r="F247" s="63" t="s">
        <v>21</v>
      </c>
      <c r="G247" s="29" t="s">
        <v>437</v>
      </c>
      <c r="H247" s="110" t="s">
        <v>438</v>
      </c>
      <c r="I247" s="110"/>
      <c r="J247" s="110"/>
      <c r="K247" s="110"/>
      <c r="L247" s="110"/>
    </row>
    <row r="248" spans="1:12" ht="18" customHeight="1" x14ac:dyDescent="0.2">
      <c r="A248" s="91">
        <v>47000</v>
      </c>
      <c r="B248" s="63" t="s">
        <v>435</v>
      </c>
      <c r="C248" s="36">
        <f>2*'Stability Constants Subsonic'!$C$13*('Stability Constants Subsonic'!$C$4-'Stability Constants Subsonic'!$C$3)*'Stability Constants Subsonic'!$C$14*'Supersonic Stability'!C203</f>
        <v>82831.263213591301</v>
      </c>
      <c r="D248" s="63" t="s">
        <v>125</v>
      </c>
      <c r="E248" s="63" t="s">
        <v>224</v>
      </c>
      <c r="F248" s="63" t="s">
        <v>21</v>
      </c>
      <c r="G248" s="29" t="s">
        <v>437</v>
      </c>
      <c r="H248" s="110" t="s">
        <v>438</v>
      </c>
      <c r="I248" s="110"/>
      <c r="J248" s="110"/>
      <c r="K248" s="110"/>
      <c r="L248" s="110"/>
    </row>
    <row r="249" spans="1:12" ht="18" customHeight="1" x14ac:dyDescent="0.2">
      <c r="A249" s="91">
        <v>48000</v>
      </c>
      <c r="B249" s="63" t="s">
        <v>435</v>
      </c>
      <c r="C249" s="36">
        <f>2*'Stability Constants Subsonic'!$C$13*('Stability Constants Subsonic'!$C$4-'Stability Constants Subsonic'!$C$3)*'Stability Constants Subsonic'!$C$14*'Supersonic Stability'!C204</f>
        <v>86947.464449163119</v>
      </c>
      <c r="D249" s="63" t="s">
        <v>125</v>
      </c>
      <c r="E249" s="63" t="s">
        <v>224</v>
      </c>
      <c r="F249" s="63" t="s">
        <v>21</v>
      </c>
      <c r="G249" s="29" t="s">
        <v>437</v>
      </c>
      <c r="H249" s="110" t="s">
        <v>438</v>
      </c>
      <c r="I249" s="110"/>
      <c r="J249" s="110"/>
      <c r="K249" s="110"/>
      <c r="L249" s="110"/>
    </row>
    <row r="250" spans="1:12" ht="18" customHeight="1" x14ac:dyDescent="0.2">
      <c r="A250" s="91">
        <v>49000</v>
      </c>
      <c r="B250" s="63" t="s">
        <v>435</v>
      </c>
      <c r="C250" s="36">
        <f>2*'Stability Constants Subsonic'!$C$13*('Stability Constants Subsonic'!$C$4-'Stability Constants Subsonic'!$C$3)*'Stability Constants Subsonic'!$C$14*'Supersonic Stability'!C205</f>
        <v>91292.855825871724</v>
      </c>
      <c r="D250" s="63" t="s">
        <v>125</v>
      </c>
      <c r="E250" s="63" t="s">
        <v>224</v>
      </c>
      <c r="F250" s="63" t="s">
        <v>21</v>
      </c>
      <c r="G250" s="29" t="s">
        <v>437</v>
      </c>
      <c r="H250" s="110" t="s">
        <v>438</v>
      </c>
      <c r="I250" s="110"/>
      <c r="J250" s="110"/>
      <c r="K250" s="110"/>
      <c r="L250" s="110"/>
    </row>
    <row r="251" spans="1:12" ht="18" customHeight="1" x14ac:dyDescent="0.2">
      <c r="A251" s="63" t="s">
        <v>439</v>
      </c>
      <c r="B251" s="63" t="s">
        <v>440</v>
      </c>
      <c r="C251" s="36">
        <f>2*'Stability Constants Subsonic'!$C$13*('Stability Constants Subsonic'!$C$6-'Stability Constants Subsonic'!$C$5)*'Stability Constants Subsonic'!$C$15*'Supersonic Stability'!C197</f>
        <v>38687.084828681975</v>
      </c>
      <c r="D251" s="63" t="s">
        <v>125</v>
      </c>
      <c r="E251" s="63" t="s">
        <v>224</v>
      </c>
      <c r="F251" s="63" t="s">
        <v>21</v>
      </c>
      <c r="G251" s="29" t="s">
        <v>442</v>
      </c>
      <c r="H251" s="110" t="s">
        <v>438</v>
      </c>
      <c r="I251" s="110"/>
      <c r="J251" s="110"/>
      <c r="K251" s="110"/>
      <c r="L251" s="110"/>
    </row>
    <row r="252" spans="1:12" ht="18" customHeight="1" x14ac:dyDescent="0.2">
      <c r="A252" s="91">
        <v>42000</v>
      </c>
      <c r="B252" s="63" t="s">
        <v>440</v>
      </c>
      <c r="C252" s="36">
        <f>2*'Stability Constants Subsonic'!$C$13*('Stability Constants Subsonic'!$C$6-'Stability Constants Subsonic'!$C$5)*'Stability Constants Subsonic'!$C$15*'Supersonic Stability'!C198</f>
        <v>40625.889081743655</v>
      </c>
      <c r="D252" s="63" t="s">
        <v>125</v>
      </c>
      <c r="E252" s="63" t="s">
        <v>224</v>
      </c>
      <c r="F252" s="63" t="s">
        <v>21</v>
      </c>
      <c r="G252" s="29" t="s">
        <v>442</v>
      </c>
      <c r="H252" s="110" t="s">
        <v>438</v>
      </c>
      <c r="I252" s="110"/>
      <c r="J252" s="110"/>
      <c r="K252" s="110"/>
      <c r="L252" s="110"/>
    </row>
    <row r="253" spans="1:12" ht="18" customHeight="1" x14ac:dyDescent="0.2">
      <c r="A253" s="91">
        <v>43000</v>
      </c>
      <c r="B253" s="63" t="s">
        <v>440</v>
      </c>
      <c r="C253" s="36">
        <f>2*'Stability Constants Subsonic'!$C$13*('Stability Constants Subsonic'!$C$6-'Stability Constants Subsonic'!$C$5)*'Stability Constants Subsonic'!$C$15*'Supersonic Stability'!C199</f>
        <v>42653.586629865269</v>
      </c>
      <c r="D253" s="63" t="s">
        <v>125</v>
      </c>
      <c r="E253" s="63" t="s">
        <v>224</v>
      </c>
      <c r="F253" s="63" t="s">
        <v>21</v>
      </c>
      <c r="G253" s="29" t="s">
        <v>442</v>
      </c>
      <c r="H253" s="110" t="s">
        <v>438</v>
      </c>
      <c r="I253" s="110"/>
      <c r="J253" s="110"/>
      <c r="K253" s="110"/>
      <c r="L253" s="110"/>
    </row>
    <row r="254" spans="1:12" ht="18" customHeight="1" x14ac:dyDescent="0.2">
      <c r="A254" s="91">
        <v>44000</v>
      </c>
      <c r="B254" s="63" t="s">
        <v>440</v>
      </c>
      <c r="C254" s="36">
        <f>2*'Stability Constants Subsonic'!$C$13*('Stability Constants Subsonic'!$C$6-'Stability Constants Subsonic'!$C$5)*'Stability Constants Subsonic'!$C$15*'Supersonic Stability'!C200</f>
        <v>44786.358591949851</v>
      </c>
      <c r="D254" s="63" t="s">
        <v>125</v>
      </c>
      <c r="E254" s="63" t="s">
        <v>224</v>
      </c>
      <c r="F254" s="63" t="s">
        <v>21</v>
      </c>
      <c r="G254" s="29" t="s">
        <v>442</v>
      </c>
      <c r="H254" s="110" t="s">
        <v>438</v>
      </c>
      <c r="I254" s="110"/>
      <c r="J254" s="110"/>
      <c r="K254" s="110"/>
      <c r="L254" s="110"/>
    </row>
    <row r="255" spans="1:12" ht="18" customHeight="1" x14ac:dyDescent="0.2">
      <c r="A255" s="91">
        <v>45000</v>
      </c>
      <c r="B255" s="63" t="s">
        <v>440</v>
      </c>
      <c r="C255" s="36">
        <f>2*'Stability Constants Subsonic'!$C$13*('Stability Constants Subsonic'!$C$6-'Stability Constants Subsonic'!$C$5)*'Stability Constants Subsonic'!$C$15*'Supersonic Stability'!C201</f>
        <v>47014.86429096129</v>
      </c>
      <c r="D255" s="63" t="s">
        <v>125</v>
      </c>
      <c r="E255" s="63" t="s">
        <v>224</v>
      </c>
      <c r="F255" s="63" t="s">
        <v>21</v>
      </c>
      <c r="G255" s="29" t="s">
        <v>442</v>
      </c>
      <c r="H255" s="110" t="s">
        <v>438</v>
      </c>
      <c r="I255" s="110"/>
      <c r="J255" s="110"/>
      <c r="K255" s="110"/>
      <c r="L255" s="110"/>
    </row>
    <row r="256" spans="1:12" ht="18" customHeight="1" x14ac:dyDescent="0.2">
      <c r="A256" s="91">
        <v>46000</v>
      </c>
      <c r="B256" s="63" t="s">
        <v>440</v>
      </c>
      <c r="C256" s="36">
        <f>2*'Stability Constants Subsonic'!$C$13*('Stability Constants Subsonic'!$C$6-'Stability Constants Subsonic'!$C$5)*'Stability Constants Subsonic'!$C$15*'Supersonic Stability'!C202</f>
        <v>49358.381757194002</v>
      </c>
      <c r="D256" s="63" t="s">
        <v>125</v>
      </c>
      <c r="E256" s="63" t="s">
        <v>224</v>
      </c>
      <c r="F256" s="63" t="s">
        <v>21</v>
      </c>
      <c r="G256" s="29" t="s">
        <v>442</v>
      </c>
      <c r="H256" s="110" t="s">
        <v>438</v>
      </c>
      <c r="I256" s="110"/>
      <c r="J256" s="110"/>
      <c r="K256" s="110"/>
      <c r="L256" s="110"/>
    </row>
    <row r="257" spans="1:12" ht="18" customHeight="1" x14ac:dyDescent="0.2">
      <c r="A257" s="91">
        <v>47000</v>
      </c>
      <c r="B257" s="63" t="s">
        <v>440</v>
      </c>
      <c r="C257" s="36">
        <f>2*'Stability Constants Subsonic'!$C$13*('Stability Constants Subsonic'!$C$6-'Stability Constants Subsonic'!$C$5)*'Stability Constants Subsonic'!$C$15*'Supersonic Stability'!C203</f>
        <v>51817.916013540715</v>
      </c>
      <c r="D257" s="63" t="s">
        <v>125</v>
      </c>
      <c r="E257" s="63" t="s">
        <v>224</v>
      </c>
      <c r="F257" s="63" t="s">
        <v>21</v>
      </c>
      <c r="G257" s="29" t="s">
        <v>442</v>
      </c>
      <c r="H257" s="110" t="s">
        <v>438</v>
      </c>
      <c r="I257" s="110"/>
      <c r="J257" s="110"/>
      <c r="K257" s="110"/>
      <c r="L257" s="110"/>
    </row>
    <row r="258" spans="1:12" ht="18" customHeight="1" x14ac:dyDescent="0.2">
      <c r="A258" s="91">
        <v>48000</v>
      </c>
      <c r="B258" s="63" t="s">
        <v>440</v>
      </c>
      <c r="C258" s="36">
        <f>2*'Stability Constants Subsonic'!$C$13*('Stability Constants Subsonic'!$C$6-'Stability Constants Subsonic'!$C$5)*'Stability Constants Subsonic'!$C$15*'Supersonic Stability'!C204</f>
        <v>54392.945798728084</v>
      </c>
      <c r="D258" s="63" t="s">
        <v>125</v>
      </c>
      <c r="E258" s="63" t="s">
        <v>224</v>
      </c>
      <c r="F258" s="63" t="s">
        <v>21</v>
      </c>
      <c r="G258" s="29" t="s">
        <v>442</v>
      </c>
      <c r="H258" s="110" t="s">
        <v>438</v>
      </c>
      <c r="I258" s="110"/>
      <c r="J258" s="110"/>
      <c r="K258" s="110"/>
      <c r="L258" s="110"/>
    </row>
    <row r="259" spans="1:12" ht="18" customHeight="1" x14ac:dyDescent="0.2">
      <c r="A259" s="91">
        <v>49000</v>
      </c>
      <c r="B259" s="63" t="s">
        <v>440</v>
      </c>
      <c r="C259" s="36">
        <f>2*'Stability Constants Subsonic'!$C$13*('Stability Constants Subsonic'!$C$6-'Stability Constants Subsonic'!$C$5)*'Stability Constants Subsonic'!$C$15*'Supersonic Stability'!C205</f>
        <v>57111.353277600196</v>
      </c>
      <c r="D259" s="63" t="s">
        <v>125</v>
      </c>
      <c r="E259" s="63" t="s">
        <v>224</v>
      </c>
      <c r="F259" s="63" t="s">
        <v>21</v>
      </c>
      <c r="G259" s="29" t="s">
        <v>442</v>
      </c>
      <c r="H259" s="110" t="s">
        <v>438</v>
      </c>
      <c r="I259" s="110"/>
      <c r="J259" s="110"/>
      <c r="K259" s="110"/>
      <c r="L259" s="110"/>
    </row>
    <row r="260" spans="1:12" ht="18" customHeight="1" x14ac:dyDescent="0.2">
      <c r="A260" s="131" t="s">
        <v>496</v>
      </c>
      <c r="B260" s="121"/>
      <c r="C260" s="121"/>
      <c r="D260" s="121"/>
      <c r="E260" s="121"/>
      <c r="F260" s="121"/>
      <c r="G260" s="121"/>
      <c r="H260" s="121"/>
      <c r="I260" s="121"/>
      <c r="J260" s="121"/>
      <c r="K260" s="121"/>
      <c r="L260" s="125"/>
    </row>
    <row r="261" spans="1:12" ht="18" customHeight="1" x14ac:dyDescent="0.2">
      <c r="A261" s="23" t="s">
        <v>5</v>
      </c>
      <c r="B261" s="23" t="s">
        <v>96</v>
      </c>
      <c r="C261" s="64" t="s">
        <v>7</v>
      </c>
      <c r="D261" s="64" t="s">
        <v>125</v>
      </c>
      <c r="E261" s="64" t="s">
        <v>8</v>
      </c>
      <c r="F261" s="64" t="s">
        <v>9</v>
      </c>
      <c r="G261" s="31" t="s">
        <v>459</v>
      </c>
      <c r="H261" s="122" t="s">
        <v>11</v>
      </c>
      <c r="I261" s="123"/>
      <c r="J261" s="123"/>
      <c r="K261" s="123"/>
      <c r="L261" s="124"/>
    </row>
    <row r="262" spans="1:12" ht="18" customHeight="1" x14ac:dyDescent="0.2">
      <c r="A262" s="63" t="s">
        <v>563</v>
      </c>
      <c r="B262" s="47" t="s">
        <v>446</v>
      </c>
      <c r="C262" s="48">
        <f>('Supersonic Stability'!C11 + 'Supersonic Stability'!C20* 'Stability Constants Supersonic'!$C$16*'Supersonic Stability'!$C$4/'Initial Estimates'!$C$5)*'Stability Constants Supersonic'!$C$8/'Initial Estimates'!$C$10 - 'Supersonic Stability'!C20*'Stability Constants Supersonic'!$C$16*'Supersonic Stability'!$C$4/'Initial Estimates'!$C$5*'Stability Constants Supersonic'!$C$10/'Initial Estimates'!$C$10+'Supersonic Stability'!$C$5+('Supersonic Stability'!C74+'Stability Constants Supersonic'!$C$11*'Supersonic Stability'!C83)/(CFD!D3*'Initial Estimates'!$C$5*'Initial Estimates'!$C$10)</f>
        <v>2.6609770505535042E-3</v>
      </c>
      <c r="D262" s="63" t="s">
        <v>125</v>
      </c>
      <c r="E262" s="63" t="s">
        <v>137</v>
      </c>
      <c r="F262" s="63" t="s">
        <v>21</v>
      </c>
      <c r="G262" s="29" t="s">
        <v>460</v>
      </c>
      <c r="H262" s="126" t="s">
        <v>438</v>
      </c>
      <c r="I262" s="126"/>
      <c r="J262" s="126"/>
      <c r="K262" s="126"/>
      <c r="L262" s="126"/>
    </row>
    <row r="263" spans="1:12" ht="18" customHeight="1" x14ac:dyDescent="0.2">
      <c r="A263" s="91">
        <v>42000</v>
      </c>
      <c r="B263" s="47" t="s">
        <v>446</v>
      </c>
      <c r="C263" s="48">
        <f>('Supersonic Stability'!C12 + 'Supersonic Stability'!C21* 'Stability Constants Supersonic'!$C$16*'Supersonic Stability'!$C$4/'Initial Estimates'!$C$5)*'Stability Constants Supersonic'!$C$8/'Initial Estimates'!$C$10 - 'Supersonic Stability'!C21*'Stability Constants Supersonic'!$C$16*'Supersonic Stability'!$C$4/'Initial Estimates'!$C$5*'Stability Constants Supersonic'!$C$10/'Initial Estimates'!$C$10+'Supersonic Stability'!$C$5+('Supersonic Stability'!C75+'Stability Constants Supersonic'!$C$11*'Supersonic Stability'!C84)/(CFD!D4*'Initial Estimates'!$C$5*'Initial Estimates'!$C$10)</f>
        <v>4.6108644128128422E-3</v>
      </c>
      <c r="D263" s="63"/>
      <c r="E263" s="63"/>
      <c r="F263" s="63"/>
      <c r="H263" s="63"/>
      <c r="I263" s="63"/>
      <c r="J263" s="63"/>
      <c r="K263" s="63"/>
      <c r="L263" s="63"/>
    </row>
    <row r="264" spans="1:12" ht="18" customHeight="1" x14ac:dyDescent="0.2">
      <c r="A264" s="91">
        <v>43000</v>
      </c>
      <c r="B264" s="47" t="s">
        <v>446</v>
      </c>
      <c r="C264" s="48">
        <f>('Supersonic Stability'!C13 + 'Supersonic Stability'!C22* 'Stability Constants Supersonic'!$C$16*'Supersonic Stability'!$C$4/'Initial Estimates'!$C$5)*'Stability Constants Supersonic'!$C$8/'Initial Estimates'!$C$10 - 'Supersonic Stability'!C22*'Stability Constants Supersonic'!$C$16*'Supersonic Stability'!$C$4/'Initial Estimates'!$C$5*'Stability Constants Supersonic'!$C$10/'Initial Estimates'!$C$10+'Supersonic Stability'!$C$5+('Supersonic Stability'!C76+'Stability Constants Supersonic'!$C$11*'Supersonic Stability'!C85)/(CFD!D5*'Initial Estimates'!$C$5*'Initial Estimates'!$C$10)</f>
        <v>6.7210399997210089E-3</v>
      </c>
      <c r="D264" s="63"/>
      <c r="E264" s="63"/>
      <c r="F264" s="63"/>
      <c r="H264" s="63"/>
      <c r="I264" s="63"/>
      <c r="J264" s="63"/>
      <c r="K264" s="63"/>
      <c r="L264" s="63"/>
    </row>
    <row r="265" spans="1:12" ht="18" customHeight="1" x14ac:dyDescent="0.2">
      <c r="A265" s="91">
        <v>44000</v>
      </c>
      <c r="B265" s="47" t="s">
        <v>446</v>
      </c>
      <c r="C265" s="48">
        <f>('Supersonic Stability'!C14 + 'Supersonic Stability'!C23* 'Stability Constants Supersonic'!$C$16*'Supersonic Stability'!$C$4/'Initial Estimates'!$C$5)*'Stability Constants Supersonic'!$C$8/'Initial Estimates'!$C$10 - 'Supersonic Stability'!C23*'Stability Constants Supersonic'!$C$16*'Supersonic Stability'!$C$4/'Initial Estimates'!$C$5*'Stability Constants Supersonic'!$C$10/'Initial Estimates'!$C$10+'Supersonic Stability'!$C$5+('Supersonic Stability'!C77+'Stability Constants Supersonic'!$C$11*'Supersonic Stability'!C86)/(CFD!D6*'Initial Estimates'!$C$5*'Initial Estimates'!$C$10)</f>
        <v>9.0187701704104901E-3</v>
      </c>
      <c r="D265" s="63"/>
      <c r="E265" s="63"/>
      <c r="F265" s="63"/>
      <c r="H265" s="63"/>
      <c r="I265" s="63"/>
      <c r="J265" s="63"/>
      <c r="K265" s="63"/>
      <c r="L265" s="63"/>
    </row>
    <row r="266" spans="1:12" ht="18" customHeight="1" x14ac:dyDescent="0.2">
      <c r="A266" s="91">
        <v>45000</v>
      </c>
      <c r="B266" s="47" t="s">
        <v>446</v>
      </c>
      <c r="C266" s="48">
        <f>('Supersonic Stability'!C15 + 'Supersonic Stability'!C24* 'Stability Constants Supersonic'!$C$16*'Supersonic Stability'!$C$4/'Initial Estimates'!$C$5)*'Stability Constants Supersonic'!$C$8/'Initial Estimates'!$C$10 - 'Supersonic Stability'!C24*'Stability Constants Supersonic'!$C$16*'Supersonic Stability'!$C$4/'Initial Estimates'!$C$5*'Stability Constants Supersonic'!$C$10/'Initial Estimates'!$C$10+'Supersonic Stability'!$C$5+('Supersonic Stability'!C78+'Stability Constants Supersonic'!$C$11*'Supersonic Stability'!C87)/(CFD!D7*'Initial Estimates'!$C$5*'Initial Estimates'!$C$10)</f>
        <v>1.1505299306178701E-2</v>
      </c>
      <c r="D266" s="63"/>
      <c r="E266" s="63"/>
      <c r="F266" s="63"/>
      <c r="H266" s="63"/>
      <c r="I266" s="63"/>
      <c r="J266" s="63"/>
      <c r="K266" s="63"/>
      <c r="L266" s="63"/>
    </row>
    <row r="267" spans="1:12" ht="18" customHeight="1" x14ac:dyDescent="0.2">
      <c r="A267" s="91">
        <v>46000</v>
      </c>
      <c r="B267" s="47" t="s">
        <v>446</v>
      </c>
      <c r="C267" s="48">
        <f>('Supersonic Stability'!C16 + 'Supersonic Stability'!C25* 'Stability Constants Supersonic'!$C$16*'Supersonic Stability'!$C$4/'Initial Estimates'!$C$5)*'Stability Constants Supersonic'!$C$8/'Initial Estimates'!$C$10 - 'Supersonic Stability'!C25*'Stability Constants Supersonic'!$C$16*'Supersonic Stability'!$C$4/'Initial Estimates'!$C$5*'Stability Constants Supersonic'!$C$10/'Initial Estimates'!$C$10+'Supersonic Stability'!$C$5+('Supersonic Stability'!C79+'Stability Constants Supersonic'!$C$11*'Supersonic Stability'!C88)/(CFD!D8*'Initial Estimates'!$C$5*'Initial Estimates'!$C$10)</f>
        <v>1.4214591203232069E-2</v>
      </c>
      <c r="D267" s="63"/>
      <c r="E267" s="63"/>
      <c r="F267" s="63"/>
      <c r="H267" s="63"/>
      <c r="I267" s="63"/>
      <c r="J267" s="63"/>
      <c r="K267" s="63"/>
      <c r="L267" s="63"/>
    </row>
    <row r="268" spans="1:12" ht="18" customHeight="1" x14ac:dyDescent="0.2">
      <c r="A268" s="91">
        <v>47000</v>
      </c>
      <c r="B268" s="47" t="s">
        <v>446</v>
      </c>
      <c r="C268" s="48">
        <f>('Supersonic Stability'!C17 + 'Supersonic Stability'!C26* 'Stability Constants Supersonic'!$C$16*'Supersonic Stability'!$C$4/'Initial Estimates'!$C$5)*'Stability Constants Supersonic'!$C$8/'Initial Estimates'!$C$10 - 'Supersonic Stability'!C26*'Stability Constants Supersonic'!$C$16*'Supersonic Stability'!$C$4/'Initial Estimates'!$C$5*'Stability Constants Supersonic'!$C$10/'Initial Estimates'!$C$10+'Supersonic Stability'!$C$5+('Supersonic Stability'!C80+'Stability Constants Supersonic'!$C$11*'Supersonic Stability'!C89)/(CFD!D9*'Initial Estimates'!$C$5*'Initial Estimates'!$C$10)</f>
        <v>1.7162125392170886E-2</v>
      </c>
      <c r="D268" s="63"/>
      <c r="E268" s="63"/>
      <c r="F268" s="63"/>
      <c r="H268" s="63"/>
      <c r="I268" s="63"/>
      <c r="J268" s="63"/>
      <c r="K268" s="63"/>
      <c r="L268" s="63"/>
    </row>
    <row r="269" spans="1:12" ht="18" customHeight="1" x14ac:dyDescent="0.2">
      <c r="A269" s="91">
        <v>48000</v>
      </c>
      <c r="B269" s="47" t="s">
        <v>446</v>
      </c>
      <c r="C269" s="48">
        <f>('Supersonic Stability'!C18 + 'Supersonic Stability'!C27* 'Stability Constants Supersonic'!$C$16*'Supersonic Stability'!$C$4/'Initial Estimates'!$C$5)*'Stability Constants Supersonic'!$C$8/'Initial Estimates'!$C$10 - 'Supersonic Stability'!C27*'Stability Constants Supersonic'!$C$16*'Supersonic Stability'!$C$4/'Initial Estimates'!$C$5*'Stability Constants Supersonic'!$C$10/'Initial Estimates'!$C$10+'Supersonic Stability'!$C$5+('Supersonic Stability'!C81+'Stability Constants Supersonic'!$C$11*'Supersonic Stability'!C90)/(CFD!D10*'Initial Estimates'!$C$5*'Initial Estimates'!$C$10)</f>
        <v>2.0362331881557279E-2</v>
      </c>
      <c r="D269" s="63"/>
      <c r="E269" s="63"/>
      <c r="F269" s="63"/>
      <c r="H269" s="63"/>
      <c r="I269" s="63"/>
      <c r="J269" s="63"/>
      <c r="K269" s="63"/>
      <c r="L269" s="63"/>
    </row>
    <row r="270" spans="1:12" ht="18" customHeight="1" x14ac:dyDescent="0.2">
      <c r="A270" s="91">
        <v>49000</v>
      </c>
      <c r="B270" s="47" t="s">
        <v>446</v>
      </c>
      <c r="C270" s="48">
        <f>('Supersonic Stability'!C19 + 'Supersonic Stability'!C28* 'Stability Constants Supersonic'!$C$16*'Supersonic Stability'!$C$4/'Initial Estimates'!$C$5)*'Stability Constants Supersonic'!$C$8/'Initial Estimates'!$C$10 - 'Supersonic Stability'!C28*'Stability Constants Supersonic'!$C$16*'Supersonic Stability'!$C$4/'Initial Estimates'!$C$5*'Stability Constants Supersonic'!$C$10/'Initial Estimates'!$C$10+'Supersonic Stability'!$C$5+('Supersonic Stability'!C82+'Stability Constants Supersonic'!$C$11*'Supersonic Stability'!C91)/(CFD!D11*'Initial Estimates'!$C$5*'Initial Estimates'!$C$10)</f>
        <v>2.386755144842417E-2</v>
      </c>
      <c r="D270" s="63"/>
      <c r="E270" s="63"/>
      <c r="F270" s="63"/>
      <c r="H270" s="63"/>
      <c r="I270" s="63"/>
      <c r="J270" s="63"/>
      <c r="K270" s="63"/>
      <c r="L270" s="63"/>
    </row>
    <row r="271" spans="1:12" ht="18" customHeight="1" x14ac:dyDescent="0.2">
      <c r="A271" s="63" t="s">
        <v>506</v>
      </c>
      <c r="B271" s="47" t="s">
        <v>453</v>
      </c>
      <c r="C271" s="48">
        <f xml:space="preserve"> ( C47 + C56*(1 - C65)*'Stability Constants Supersonic'!$C$16*('Supersonic Stability'!$C$4/'Initial Estimates'!$C$5))*('Stability Constants Supersonic'!$C$8/'Initial Estimates'!$C$10) - C56*(1 -C65)*'Stability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0.56569239126132276</v>
      </c>
      <c r="D271" s="63" t="s">
        <v>125</v>
      </c>
      <c r="E271" s="63" t="s">
        <v>421</v>
      </c>
      <c r="F271" s="63" t="s">
        <v>21</v>
      </c>
      <c r="G271" s="29" t="s">
        <v>458</v>
      </c>
      <c r="H271" s="110" t="s">
        <v>438</v>
      </c>
      <c r="I271" s="110"/>
      <c r="J271" s="110"/>
      <c r="K271" s="110"/>
      <c r="L271" s="110"/>
    </row>
    <row r="272" spans="1:12" ht="18" customHeight="1" x14ac:dyDescent="0.2">
      <c r="A272" s="91">
        <v>42000</v>
      </c>
      <c r="B272" s="47" t="s">
        <v>453</v>
      </c>
      <c r="C272" s="48">
        <f xml:space="preserve"> ( C48 + C57*(1 - C66)*'Stability Constants Supersonic'!$C$16*('Supersonic Stability'!$C$4/'Initial Estimates'!$C$5))*('Stability Constants Supersonic'!$C$8/'Initial Estimates'!$C$10) - C57*(1 -C66)*'Stability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0.55018066382671071</v>
      </c>
      <c r="D272" s="63"/>
      <c r="E272" s="63"/>
      <c r="F272" s="63"/>
      <c r="H272" s="63"/>
      <c r="I272" s="63"/>
      <c r="J272" s="63"/>
      <c r="K272" s="63"/>
      <c r="L272" s="63"/>
    </row>
    <row r="273" spans="1:12" ht="18" customHeight="1" x14ac:dyDescent="0.2">
      <c r="A273" s="91">
        <v>43000</v>
      </c>
      <c r="B273" s="47" t="s">
        <v>453</v>
      </c>
      <c r="C273" s="48">
        <f xml:space="preserve"> ( C49 + C58*(1 - C67)*'Stability Constants Supersonic'!$C$16*('Supersonic Stability'!$C$4/'Initial Estimates'!$C$5))*('Stability Constants Supersonic'!$C$8/'Initial Estimates'!$C$10) - C58*(1 -C67)*'Stability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0.53542253985889698</v>
      </c>
      <c r="D273" s="63"/>
      <c r="E273" s="63"/>
      <c r="F273" s="63"/>
      <c r="H273" s="63"/>
      <c r="I273" s="63"/>
      <c r="J273" s="63"/>
      <c r="K273" s="63"/>
      <c r="L273" s="63"/>
    </row>
    <row r="274" spans="1:12" ht="18" customHeight="1" x14ac:dyDescent="0.2">
      <c r="A274" s="91">
        <v>44000</v>
      </c>
      <c r="B274" s="47" t="s">
        <v>453</v>
      </c>
      <c r="C274" s="48">
        <f xml:space="preserve"> ( C50 + C59*(1 - C68)*'Stability Constants Supersonic'!$C$16*('Supersonic Stability'!$C$4/'Initial Estimates'!$C$5))*('Stability Constants Supersonic'!$C$8/'Initial Estimates'!$C$10) - C59*(1 -C68)*'Stability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0.52130173193669804</v>
      </c>
      <c r="D274" s="63"/>
      <c r="E274" s="63"/>
      <c r="F274" s="63"/>
      <c r="H274" s="63"/>
      <c r="I274" s="63"/>
      <c r="J274" s="63"/>
      <c r="K274" s="63"/>
      <c r="L274" s="63"/>
    </row>
    <row r="275" spans="1:12" ht="18" customHeight="1" x14ac:dyDescent="0.2">
      <c r="A275" s="91">
        <v>45000</v>
      </c>
      <c r="B275" s="47" t="s">
        <v>453</v>
      </c>
      <c r="C275" s="48">
        <f xml:space="preserve"> ( C51 + C60*(1 - C69)*'Stability Constants Supersonic'!$C$16*('Supersonic Stability'!$C$4/'Initial Estimates'!$C$5))*('Stability Constants Supersonic'!$C$8/'Initial Estimates'!$C$10) - C60*(1 -C69)*'Stability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0.50787962872653225</v>
      </c>
      <c r="D275" s="63"/>
      <c r="E275" s="63"/>
      <c r="F275" s="63"/>
      <c r="H275" s="63"/>
      <c r="I275" s="63"/>
      <c r="J275" s="63"/>
      <c r="K275" s="63"/>
      <c r="L275" s="63"/>
    </row>
    <row r="276" spans="1:12" ht="18" customHeight="1" x14ac:dyDescent="0.2">
      <c r="A276" s="91">
        <v>46000</v>
      </c>
      <c r="B276" s="47" t="s">
        <v>453</v>
      </c>
      <c r="C276" s="48">
        <f xml:space="preserve"> ( C52 + C61*(1 - C70)*'Stability Constants Supersonic'!$C$16*('Supersonic Stability'!$C$4/'Initial Estimates'!$C$5))*('Stability Constants Supersonic'!$C$8/'Initial Estimates'!$C$10) - C61*(1 -C70)*'Stability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0.49503933035057257</v>
      </c>
      <c r="D276" s="63"/>
      <c r="E276" s="63"/>
      <c r="F276" s="63"/>
      <c r="H276" s="63"/>
      <c r="I276" s="63"/>
      <c r="J276" s="63"/>
      <c r="K276" s="63"/>
      <c r="L276" s="63"/>
    </row>
    <row r="277" spans="1:12" ht="18" customHeight="1" x14ac:dyDescent="0.2">
      <c r="A277" s="91">
        <v>47000</v>
      </c>
      <c r="B277" s="47" t="s">
        <v>453</v>
      </c>
      <c r="C277" s="48">
        <f xml:space="preserve"> ( C53 + C62*(1 - C71)*'Stability Constants Supersonic'!$C$16*('Supersonic Stability'!$C$4/'Initial Estimates'!$C$5))*('Stability Constants Supersonic'!$C$8/'Initial Estimates'!$C$10) - C62*(1 -C71)*'Stability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0.4827824670471611</v>
      </c>
      <c r="D277" s="63"/>
      <c r="E277" s="63"/>
      <c r="F277" s="63"/>
      <c r="H277" s="63"/>
      <c r="I277" s="63"/>
      <c r="J277" s="63"/>
      <c r="K277" s="63"/>
      <c r="L277" s="63"/>
    </row>
    <row r="278" spans="1:12" ht="18" customHeight="1" x14ac:dyDescent="0.2">
      <c r="A278" s="91">
        <v>48000</v>
      </c>
      <c r="B278" s="47" t="s">
        <v>453</v>
      </c>
      <c r="C278" s="48">
        <f xml:space="preserve"> ( C54 + C63*(1 - C72)*'Stability Constants Supersonic'!$C$16*('Supersonic Stability'!$C$4/'Initial Estimates'!$C$5))*('Stability Constants Supersonic'!$C$8/'Initial Estimates'!$C$10) - C63*(1 -C72)*'Stability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0.47111059621193618</v>
      </c>
      <c r="D278" s="63"/>
      <c r="E278" s="63"/>
      <c r="F278" s="63"/>
      <c r="H278" s="63"/>
      <c r="I278" s="63"/>
      <c r="J278" s="63"/>
      <c r="K278" s="63"/>
      <c r="L278" s="63"/>
    </row>
    <row r="279" spans="1:12" ht="18" customHeight="1" x14ac:dyDescent="0.2">
      <c r="A279" s="91">
        <v>49000</v>
      </c>
      <c r="B279" s="47" t="s">
        <v>453</v>
      </c>
      <c r="C279" s="48">
        <f xml:space="preserve"> ( C55 + C64*(1 - C73)*'Stability Constants Supersonic'!$C$16*('Supersonic Stability'!$C$4/'Initial Estimates'!$C$5))*('Stability Constants Supersonic'!$C$8/'Initial Estimates'!$C$10) - C64*(1 -C73)*'Stability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0.45990595644157073</v>
      </c>
      <c r="D279" s="63"/>
      <c r="E279" s="63"/>
      <c r="F279" s="63"/>
      <c r="H279" s="63"/>
      <c r="I279" s="63"/>
      <c r="J279" s="63"/>
      <c r="K279" s="63"/>
      <c r="L279" s="63"/>
    </row>
    <row r="280" spans="1:12" ht="18" customHeight="1" x14ac:dyDescent="0.2">
      <c r="A280" s="63" t="s">
        <v>562</v>
      </c>
      <c r="B280" s="47" t="s">
        <v>446</v>
      </c>
      <c r="C280" s="48">
        <f>(C95 + C104* 'Stability Constants Supersonic'!$C$16*'Supersonic Stability'!$C$4/'Initial Estimates'!$C$5)*'Stability Constants Supersonic'!$C$8/'Initial Estimates'!$C$10 - 'Supersonic Stability'!C104*'Stability Constants Supersonic'!$C$16*'Supersonic Stability'!$C$4/'Initial Estimates'!$C$5*'Stability Constants Supersonic'!$C$10/'Initial Estimates'!$C$10+'Supersonic Stability'!$C$5+('Supersonic Stability'!C158+'Stability Constants Supersonic'!$C$11*'Supersonic Stability'!C167)/(CFD!E3*'Initial Estimates'!$C$5*'Initial Estimates'!$C$10)</f>
        <v>-8.6920792088417305E-4</v>
      </c>
      <c r="D280" s="63" t="s">
        <v>125</v>
      </c>
      <c r="E280" s="63" t="s">
        <v>421</v>
      </c>
      <c r="F280" s="63" t="s">
        <v>21</v>
      </c>
      <c r="G280" s="29" t="s">
        <v>458</v>
      </c>
      <c r="H280" s="110" t="s">
        <v>438</v>
      </c>
      <c r="I280" s="110"/>
      <c r="J280" s="110"/>
      <c r="K280" s="110"/>
      <c r="L280" s="110"/>
    </row>
    <row r="281" spans="1:12" ht="18" customHeight="1" x14ac:dyDescent="0.2">
      <c r="A281" s="91">
        <v>42000</v>
      </c>
      <c r="B281" s="47" t="s">
        <v>446</v>
      </c>
      <c r="C281" s="48">
        <f>(C96 + C105* 'Stability Constants Supersonic'!$C$16*'Supersonic Stability'!$C$4/'Initial Estimates'!$C$5)*'Stability Constants Supersonic'!$C$8/'Initial Estimates'!$C$10 - 'Supersonic Stability'!C105*'Stability Constants Supersonic'!$C$16*'Supersonic Stability'!$C$4/'Initial Estimates'!$C$5*'Stability Constants Supersonic'!$C$10/'Initial Estimates'!$C$10+'Supersonic Stability'!$C$5+('Supersonic Stability'!C159+'Stability Constants Supersonic'!$C$11*'Supersonic Stability'!C168)/(CFD!E4*'Initial Estimates'!$C$5*'Initial Estimates'!$C$10)</f>
        <v>7.9654475862226022E-4</v>
      </c>
      <c r="D281" s="63"/>
      <c r="E281" s="63"/>
      <c r="F281" s="63"/>
      <c r="H281" s="63"/>
      <c r="I281" s="63"/>
      <c r="J281" s="63"/>
      <c r="K281" s="63"/>
      <c r="L281" s="63"/>
    </row>
    <row r="282" spans="1:12" ht="18" customHeight="1" x14ac:dyDescent="0.2">
      <c r="A282" s="91">
        <v>43000</v>
      </c>
      <c r="B282" s="47" t="s">
        <v>446</v>
      </c>
      <c r="C282" s="48">
        <f>(C97 + C106* 'Stability Constants Supersonic'!$C$16*'Supersonic Stability'!$C$4/'Initial Estimates'!$C$5)*'Stability Constants Supersonic'!$C$8/'Initial Estimates'!$C$10 - 'Supersonic Stability'!C106*'Stability Constants Supersonic'!$C$16*'Supersonic Stability'!$C$4/'Initial Estimates'!$C$5*'Stability Constants Supersonic'!$C$10/'Initial Estimates'!$C$10+'Supersonic Stability'!$C$5+('Supersonic Stability'!C160+'Stability Constants Supersonic'!$C$11*'Supersonic Stability'!C169)/(CFD!E5*'Initial Estimates'!$C$5*'Initial Estimates'!$C$10)</f>
        <v>2.5984625082013778E-3</v>
      </c>
      <c r="D282" s="63"/>
      <c r="E282" s="63"/>
      <c r="F282" s="63"/>
      <c r="H282" s="63"/>
      <c r="I282" s="63"/>
      <c r="J282" s="63"/>
      <c r="K282" s="63"/>
      <c r="L282" s="63"/>
    </row>
    <row r="283" spans="1:12" ht="18" customHeight="1" x14ac:dyDescent="0.2">
      <c r="A283" s="91">
        <v>44000</v>
      </c>
      <c r="B283" s="47" t="s">
        <v>446</v>
      </c>
      <c r="C283" s="48">
        <f>(C98 + C107* 'Stability Constants Supersonic'!$C$16*'Supersonic Stability'!$C$4/'Initial Estimates'!$C$5)*'Stability Constants Supersonic'!$C$8/'Initial Estimates'!$C$10 - 'Supersonic Stability'!C107*'Stability Constants Supersonic'!$C$16*'Supersonic Stability'!$C$4/'Initial Estimates'!$C$5*'Stability Constants Supersonic'!$C$10/'Initial Estimates'!$C$10+'Supersonic Stability'!$C$5+('Supersonic Stability'!C161+'Stability Constants Supersonic'!$C$11*'Supersonic Stability'!C170)/(CFD!E6*'Initial Estimates'!$C$5*'Initial Estimates'!$C$10)</f>
        <v>4.5597196566012684E-3</v>
      </c>
      <c r="D283" s="63"/>
      <c r="E283" s="63"/>
      <c r="F283" s="63"/>
      <c r="H283" s="63"/>
      <c r="I283" s="63"/>
      <c r="J283" s="63"/>
      <c r="K283" s="63"/>
      <c r="L283" s="63"/>
    </row>
    <row r="284" spans="1:12" ht="18" customHeight="1" x14ac:dyDescent="0.2">
      <c r="A284" s="91">
        <v>45000</v>
      </c>
      <c r="B284" s="47" t="s">
        <v>446</v>
      </c>
      <c r="C284" s="48">
        <f>(C99 + C108* 'Stability Constants Supersonic'!$C$16*'Supersonic Stability'!$C$4/'Initial Estimates'!$C$5)*'Stability Constants Supersonic'!$C$8/'Initial Estimates'!$C$10 - 'Supersonic Stability'!C108*'Stability Constants Supersonic'!$C$16*'Supersonic Stability'!$C$4/'Initial Estimates'!$C$5*'Stability Constants Supersonic'!$C$10/'Initial Estimates'!$C$10+'Supersonic Stability'!$C$5+('Supersonic Stability'!C162+'Stability Constants Supersonic'!$C$11*'Supersonic Stability'!C171)/(CFD!E7*'Initial Estimates'!$C$5*'Initial Estimates'!$C$10)</f>
        <v>6.6812642679772351E-3</v>
      </c>
      <c r="D284" s="63"/>
      <c r="E284" s="63"/>
      <c r="F284" s="63"/>
      <c r="H284" s="63"/>
      <c r="I284" s="63"/>
      <c r="J284" s="63"/>
      <c r="K284" s="63"/>
      <c r="L284" s="63"/>
    </row>
    <row r="285" spans="1:12" ht="18" customHeight="1" x14ac:dyDescent="0.2">
      <c r="A285" s="91">
        <v>46000</v>
      </c>
      <c r="B285" s="47" t="s">
        <v>446</v>
      </c>
      <c r="C285" s="48">
        <f>(C100 + C109* 'Stability Constants Supersonic'!$C$16*'Supersonic Stability'!$C$4/'Initial Estimates'!$C$5)*'Stability Constants Supersonic'!$C$8/'Initial Estimates'!$C$10 - 'Supersonic Stability'!C109*'Stability Constants Supersonic'!$C$16*'Supersonic Stability'!$C$4/'Initial Estimates'!$C$5*'Stability Constants Supersonic'!$C$10/'Initial Estimates'!$C$10+'Supersonic Stability'!$C$5+('Supersonic Stability'!C163+'Stability Constants Supersonic'!$C$11*'Supersonic Stability'!C172)/(CFD!E8*'Initial Estimates'!$C$5*'Initial Estimates'!$C$10)</f>
        <v>8.9919534419785289E-3</v>
      </c>
      <c r="D285" s="63"/>
      <c r="E285" s="63"/>
      <c r="F285" s="63"/>
      <c r="H285" s="63"/>
      <c r="I285" s="63"/>
      <c r="J285" s="63"/>
      <c r="K285" s="63"/>
      <c r="L285" s="63"/>
    </row>
    <row r="286" spans="1:12" ht="18" customHeight="1" x14ac:dyDescent="0.2">
      <c r="A286" s="91">
        <v>47000</v>
      </c>
      <c r="B286" s="47" t="s">
        <v>446</v>
      </c>
      <c r="C286" s="48">
        <f>(C101 + C110* 'Stability Constants Supersonic'!$C$16*'Supersonic Stability'!$C$4/'Initial Estimates'!$C$5)*'Stability Constants Supersonic'!$C$8/'Initial Estimates'!$C$10 - 'Supersonic Stability'!C110*'Stability Constants Supersonic'!$C$16*'Supersonic Stability'!$C$4/'Initial Estimates'!$C$5*'Stability Constants Supersonic'!$C$10/'Initial Estimates'!$C$10+'Supersonic Stability'!$C$5+('Supersonic Stability'!C164+'Stability Constants Supersonic'!$C$11*'Supersonic Stability'!C173)/(CFD!E9*'Initial Estimates'!$C$5*'Initial Estimates'!$C$10)</f>
        <v>1.1504854666687311E-2</v>
      </c>
      <c r="D286" s="63"/>
      <c r="E286" s="63"/>
      <c r="F286" s="63"/>
      <c r="H286" s="63"/>
      <c r="I286" s="63"/>
      <c r="J286" s="63"/>
      <c r="K286" s="63"/>
      <c r="L286" s="63"/>
    </row>
    <row r="287" spans="1:12" ht="18" customHeight="1" x14ac:dyDescent="0.2">
      <c r="A287" s="91">
        <v>48000</v>
      </c>
      <c r="B287" s="47" t="s">
        <v>446</v>
      </c>
      <c r="C287" s="48">
        <f>(C102 + C111* 'Stability Constants Supersonic'!$C$16*'Supersonic Stability'!$C$4/'Initial Estimates'!$C$5)*'Stability Constants Supersonic'!$C$8/'Initial Estimates'!$C$10 - 'Supersonic Stability'!C111*'Stability Constants Supersonic'!$C$16*'Supersonic Stability'!$C$4/'Initial Estimates'!$C$5*'Stability Constants Supersonic'!$C$10/'Initial Estimates'!$C$10+'Supersonic Stability'!$C$5+('Supersonic Stability'!C165+'Stability Constants Supersonic'!$C$11*'Supersonic Stability'!C174)/(CFD!E10*'Initial Estimates'!$C$5*'Initial Estimates'!$C$10)</f>
        <v>1.4232133595456681E-2</v>
      </c>
      <c r="D287" s="63"/>
      <c r="E287" s="63"/>
      <c r="F287" s="63"/>
      <c r="H287" s="63"/>
      <c r="I287" s="63"/>
      <c r="J287" s="63"/>
      <c r="K287" s="63"/>
      <c r="L287" s="63"/>
    </row>
    <row r="288" spans="1:12" ht="18" customHeight="1" x14ac:dyDescent="0.2">
      <c r="A288" s="91">
        <v>49000</v>
      </c>
      <c r="B288" s="47" t="s">
        <v>446</v>
      </c>
      <c r="C288" s="48">
        <f>(C103 + C112* 'Stability Constants Supersonic'!$C$16*'Supersonic Stability'!$C$4/'Initial Estimates'!$C$5)*'Stability Constants Supersonic'!$C$8/'Initial Estimates'!$C$10 - 'Supersonic Stability'!C112*'Stability Constants Supersonic'!$C$16*'Supersonic Stability'!$C$4/'Initial Estimates'!$C$5*'Stability Constants Supersonic'!$C$10/'Initial Estimates'!$C$10+'Supersonic Stability'!$C$5+('Supersonic Stability'!C166+'Stability Constants Supersonic'!$C$11*'Supersonic Stability'!C175)/(CFD!E11*'Initial Estimates'!$C$5*'Initial Estimates'!$C$10)</f>
        <v>1.7218241342443576E-2</v>
      </c>
      <c r="D288" s="63"/>
      <c r="E288" s="63"/>
      <c r="F288" s="63"/>
      <c r="H288" s="63"/>
      <c r="I288" s="63"/>
      <c r="J288" s="63"/>
      <c r="K288" s="63"/>
      <c r="L288" s="63"/>
    </row>
    <row r="289" spans="1:12" ht="18" customHeight="1" x14ac:dyDescent="0.2">
      <c r="A289" s="63" t="s">
        <v>507</v>
      </c>
      <c r="B289" s="47" t="s">
        <v>453</v>
      </c>
      <c r="C289" s="48">
        <f xml:space="preserve"> ( C131 + C140*(1 - C149)*'Stability Constants Supersonic'!$C$16*('Supersonic Stability'!$C$4/'Initial Estimates'!$C$5))*('Stability Constants Supersonic'!$C$8/'Initial Estimates'!$C$10) - C140*(1 -C149)*'Stability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0.58135012108961825</v>
      </c>
      <c r="D289" s="63"/>
      <c r="E289" s="63"/>
      <c r="F289" s="63"/>
      <c r="H289" s="63"/>
      <c r="I289" s="63"/>
      <c r="J289" s="63"/>
      <c r="K289" s="63"/>
      <c r="L289" s="63"/>
    </row>
    <row r="290" spans="1:12" ht="18" customHeight="1" x14ac:dyDescent="0.2">
      <c r="A290" s="91">
        <v>42000</v>
      </c>
      <c r="B290" s="47" t="s">
        <v>453</v>
      </c>
      <c r="C290" s="48">
        <f xml:space="preserve"> ( C132 + C141*(1 - C150)*'Stability Constants Supersonic'!$C$16*('Supersonic Stability'!$C$4/'Initial Estimates'!$C$5))*('Stability Constants Supersonic'!$C$8/'Initial Estimates'!$C$10) - C141*(1 -C150)*'Stability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0.56597566174188718</v>
      </c>
      <c r="D290" s="63"/>
      <c r="E290" s="63"/>
      <c r="F290" s="63"/>
      <c r="H290" s="63"/>
      <c r="I290" s="63"/>
      <c r="J290" s="63"/>
      <c r="K290" s="63"/>
      <c r="L290" s="63"/>
    </row>
    <row r="291" spans="1:12" ht="18" customHeight="1" x14ac:dyDescent="0.2">
      <c r="A291" s="91">
        <v>43000</v>
      </c>
      <c r="B291" s="47" t="s">
        <v>453</v>
      </c>
      <c r="C291" s="48">
        <f xml:space="preserve"> ( C133 + C142*(1 - C151)*'Stability Constants Supersonic'!$C$16*('Supersonic Stability'!$C$4/'Initial Estimates'!$C$5))*('Stability Constants Supersonic'!$C$8/'Initial Estimates'!$C$10) - C142*(1 -C151)*'Stability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0.55136104936528008</v>
      </c>
      <c r="D291" s="63"/>
      <c r="E291" s="63"/>
      <c r="F291" s="63"/>
      <c r="H291" s="63"/>
      <c r="I291" s="63"/>
      <c r="J291" s="63"/>
      <c r="K291" s="63"/>
      <c r="L291" s="63"/>
    </row>
    <row r="292" spans="1:12" ht="18" customHeight="1" x14ac:dyDescent="0.2">
      <c r="A292" s="91">
        <v>44000</v>
      </c>
      <c r="B292" s="47" t="s">
        <v>453</v>
      </c>
      <c r="C292" s="48">
        <f xml:space="preserve"> ( C134 + C143*(1 - C152)*'Stability Constants Supersonic'!$C$16*('Supersonic Stability'!$C$4/'Initial Estimates'!$C$5))*('Stability Constants Supersonic'!$C$8/'Initial Estimates'!$C$10) - C143*(1 -C152)*'Stability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0.53738932184081223</v>
      </c>
      <c r="D292" s="63"/>
      <c r="E292" s="63"/>
      <c r="F292" s="63"/>
      <c r="H292" s="63"/>
      <c r="I292" s="63"/>
      <c r="J292" s="63"/>
      <c r="K292" s="63"/>
      <c r="L292" s="63"/>
    </row>
    <row r="293" spans="1:12" ht="18" customHeight="1" x14ac:dyDescent="0.2">
      <c r="A293" s="91">
        <v>45000</v>
      </c>
      <c r="B293" s="47" t="s">
        <v>453</v>
      </c>
      <c r="C293" s="48">
        <f xml:space="preserve"> ( C135 + C144*(1 - C153)*'Stability Constants Supersonic'!$C$16*('Supersonic Stability'!$C$4/'Initial Estimates'!$C$5))*('Stability Constants Supersonic'!$C$8/'Initial Estimates'!$C$10) - C144*(1 -C153)*'Stability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0.52411957112572694</v>
      </c>
      <c r="D293" s="63"/>
      <c r="E293" s="63"/>
      <c r="F293" s="63"/>
      <c r="H293" s="63"/>
      <c r="I293" s="63"/>
      <c r="J293" s="63"/>
      <c r="K293" s="63"/>
      <c r="L293" s="63"/>
    </row>
    <row r="294" spans="1:12" ht="18" customHeight="1" x14ac:dyDescent="0.2">
      <c r="A294" s="91">
        <v>46000</v>
      </c>
      <c r="B294" s="47" t="s">
        <v>453</v>
      </c>
      <c r="C294" s="48">
        <f xml:space="preserve"> ( C136 + C145*(1 - C154)*'Stability Constants Supersonic'!$C$16*('Supersonic Stability'!$C$4/'Initial Estimates'!$C$5))*('Stability Constants Supersonic'!$C$8/'Initial Estimates'!$C$10) - C145*(1 -C154)*'Stability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0.51143471913883509</v>
      </c>
      <c r="D294" s="63"/>
      <c r="E294" s="63"/>
      <c r="F294" s="63"/>
      <c r="H294" s="63"/>
      <c r="I294" s="63"/>
      <c r="J294" s="63"/>
      <c r="K294" s="63"/>
      <c r="L294" s="63"/>
    </row>
    <row r="295" spans="1:12" ht="18" customHeight="1" x14ac:dyDescent="0.2">
      <c r="A295" s="91">
        <v>47000</v>
      </c>
      <c r="B295" s="47" t="s">
        <v>453</v>
      </c>
      <c r="C295" s="48">
        <f xml:space="preserve"> ( C137 + C146*(1 - C155)*'Stability Constants Supersonic'!$C$16*('Supersonic Stability'!$C$4/'Initial Estimates'!$C$5))*('Stability Constants Supersonic'!$C$8/'Initial Estimates'!$C$10) - C146*(1 -C155)*'Stability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0.49933507204533056</v>
      </c>
      <c r="D295" s="63"/>
      <c r="E295" s="63"/>
      <c r="F295" s="63"/>
      <c r="H295" s="63"/>
      <c r="I295" s="63"/>
      <c r="J295" s="63"/>
      <c r="K295" s="63"/>
      <c r="L295" s="63"/>
    </row>
    <row r="296" spans="1:12" ht="18" customHeight="1" x14ac:dyDescent="0.2">
      <c r="A296" s="91">
        <v>48000</v>
      </c>
      <c r="B296" s="47" t="s">
        <v>453</v>
      </c>
      <c r="C296" s="48">
        <f xml:space="preserve"> ( C138 + C147*(1 - C156)*'Stability Constants Supersonic'!$C$16*('Supersonic Stability'!$C$4/'Initial Estimates'!$C$5))*('Stability Constants Supersonic'!$C$8/'Initial Estimates'!$C$10) - C147*(1 -C156)*'Stability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0.48782092192921844</v>
      </c>
      <c r="D296" s="63"/>
      <c r="E296" s="63"/>
      <c r="F296" s="63"/>
      <c r="H296" s="63"/>
      <c r="I296" s="63"/>
      <c r="J296" s="63"/>
      <c r="K296" s="63"/>
      <c r="L296" s="63"/>
    </row>
    <row r="297" spans="1:12" ht="18" customHeight="1" x14ac:dyDescent="0.2">
      <c r="A297" s="91">
        <v>49000</v>
      </c>
      <c r="B297" s="47" t="s">
        <v>453</v>
      </c>
      <c r="C297" s="48">
        <f xml:space="preserve"> ( C139 + C148*(1 - C157)*'Stability Constants Supersonic'!$C$16*('Supersonic Stability'!$C$4/'Initial Estimates'!$C$5))*('Stability Constants Supersonic'!$C$8/'Initial Estimates'!$C$10) - C148*(1 -C157)*'Stability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0.47677502846962794</v>
      </c>
      <c r="D297" s="63"/>
      <c r="E297" s="63"/>
      <c r="F297" s="63"/>
      <c r="H297" s="63"/>
      <c r="I297" s="63"/>
      <c r="J297" s="63"/>
      <c r="K297" s="63"/>
      <c r="L297" s="63"/>
    </row>
    <row r="298" spans="1:12" ht="18" customHeight="1" x14ac:dyDescent="0.2">
      <c r="A298" s="63" t="s">
        <v>565</v>
      </c>
      <c r="B298" s="47" t="s">
        <v>446</v>
      </c>
      <c r="C298" s="48">
        <f>(C179 + C188* 'Stability Constants Supersonic'!$C$16*'Supersonic Stability'!$C$4/'Initial Estimates'!$C$5)*'Stability Constants Supersonic'!$C$8/'Initial Estimates'!$C$10 - 'Supersonic Stability'!C188*'Stability Constants Supersonic'!$C$16*'Supersonic Stability'!$C$4/'Initial Estimates'!$C$5*'Stability Constants Supersonic'!$C$10/'Initial Estimates'!$C$10+'Supersonic Stability'!$C$5+('Supersonic Stability'!C242+'Stability Constants Supersonic'!$C$11*'Supersonic Stability'!C251)/(CFD!F3*'Initial Estimates'!$C$5*'Initial Estimates'!$C$10)</f>
        <v>-3.7123031970105642E-3</v>
      </c>
      <c r="D298" s="63" t="s">
        <v>125</v>
      </c>
      <c r="E298" s="63" t="s">
        <v>421</v>
      </c>
      <c r="F298" s="63" t="s">
        <v>21</v>
      </c>
      <c r="G298" s="29" t="s">
        <v>458</v>
      </c>
      <c r="H298" s="110" t="s">
        <v>438</v>
      </c>
      <c r="I298" s="110"/>
      <c r="J298" s="110"/>
      <c r="K298" s="110"/>
      <c r="L298" s="110"/>
    </row>
    <row r="299" spans="1:12" s="63" customFormat="1" ht="18" customHeight="1" x14ac:dyDescent="0.2">
      <c r="A299" s="91">
        <v>42000</v>
      </c>
      <c r="B299" s="47" t="s">
        <v>446</v>
      </c>
      <c r="C299" s="48">
        <f>(C180 + C189* 'Stability Constants Supersonic'!$C$16*'Supersonic Stability'!$C$4/'Initial Estimates'!$C$5)*'Stability Constants Supersonic'!$C$8/'Initial Estimates'!$C$10 - 'Supersonic Stability'!C189*'Stability Constants Supersonic'!$C$16*'Supersonic Stability'!$C$4/'Initial Estimates'!$C$5*'Stability Constants Supersonic'!$C$10/'Initial Estimates'!$C$10+'Supersonic Stability'!$C$5+('Supersonic Stability'!C243+'Stability Constants Supersonic'!$C$11*'Supersonic Stability'!C252)/(CFD!F4*'Initial Estimates'!$C$5*'Initial Estimates'!$C$10)</f>
        <v>-2.2648904949175274E-3</v>
      </c>
      <c r="G299" s="29"/>
    </row>
    <row r="300" spans="1:12" s="63" customFormat="1" ht="18" customHeight="1" x14ac:dyDescent="0.2">
      <c r="A300" s="91">
        <v>43000</v>
      </c>
      <c r="B300" s="47" t="s">
        <v>446</v>
      </c>
      <c r="C300" s="48">
        <f>(C181 + C190* 'Stability Constants Supersonic'!$C$16*'Supersonic Stability'!$C$4/'Initial Estimates'!$C$5)*'Stability Constants Supersonic'!$C$8/'Initial Estimates'!$C$10 - 'Supersonic Stability'!C190*'Stability Constants Supersonic'!$C$16*'Supersonic Stability'!$C$4/'Initial Estimates'!$C$5*'Stability Constants Supersonic'!$C$10/'Initial Estimates'!$C$10+'Supersonic Stability'!$C$5+('Supersonic Stability'!C244+'Stability Constants Supersonic'!$C$11*'Supersonic Stability'!C253)/(CFD!F5*'Initial Estimates'!$C$5*'Initial Estimates'!$C$10)</f>
        <v>-6.992088751045563E-4</v>
      </c>
      <c r="G300" s="29"/>
    </row>
    <row r="301" spans="1:12" s="63" customFormat="1" ht="18" customHeight="1" x14ac:dyDescent="0.2">
      <c r="A301" s="91">
        <v>44000</v>
      </c>
      <c r="B301" s="47" t="s">
        <v>446</v>
      </c>
      <c r="C301" s="48">
        <f>(C182 + C191* 'Stability Constants Supersonic'!$C$16*'Supersonic Stability'!$C$4/'Initial Estimates'!$C$5)*'Stability Constants Supersonic'!$C$8/'Initial Estimates'!$C$10 - 'Supersonic Stability'!C191*'Stability Constants Supersonic'!$C$16*'Supersonic Stability'!$C$4/'Initial Estimates'!$C$5*'Stability Constants Supersonic'!$C$10/'Initial Estimates'!$C$10+'Supersonic Stability'!$C$5+('Supersonic Stability'!C245+'Stability Constants Supersonic'!$C$11*'Supersonic Stability'!C254)/(CFD!F6*'Initial Estimates'!$C$5*'Initial Estimates'!$C$10)</f>
        <v>1.0048709216955581E-3</v>
      </c>
      <c r="G301" s="29"/>
    </row>
    <row r="302" spans="1:12" s="63" customFormat="1" ht="18" customHeight="1" x14ac:dyDescent="0.2">
      <c r="A302" s="91">
        <v>45000</v>
      </c>
      <c r="B302" s="47" t="s">
        <v>446</v>
      </c>
      <c r="C302" s="48">
        <f>(C183 + C192* 'Stability Constants Supersonic'!$C$16*'Supersonic Stability'!$C$4/'Initial Estimates'!$C$5)*'Stability Constants Supersonic'!$C$8/'Initial Estimates'!$C$10 - 'Supersonic Stability'!C192*'Stability Constants Supersonic'!$C$16*'Supersonic Stability'!$C$4/'Initial Estimates'!$C$5*'Stability Constants Supersonic'!$C$10/'Initial Estimates'!$C$10+'Supersonic Stability'!$C$5+('Supersonic Stability'!C246+'Stability Constants Supersonic'!$C$11*'Supersonic Stability'!C255)/(CFD!F7*'Initial Estimates'!$C$5*'Initial Estimates'!$C$10)</f>
        <v>2.8481654579576264E-3</v>
      </c>
      <c r="G302" s="29"/>
    </row>
    <row r="303" spans="1:12" s="63" customFormat="1" ht="18" customHeight="1" x14ac:dyDescent="0.2">
      <c r="A303" s="91">
        <v>46000</v>
      </c>
      <c r="B303" s="47" t="s">
        <v>446</v>
      </c>
      <c r="C303" s="48">
        <f>(C184 + C193* 'Stability Constants Supersonic'!$C$16*'Supersonic Stability'!$C$4/'Initial Estimates'!$C$5)*'Stability Constants Supersonic'!$C$8/'Initial Estimates'!$C$10 - 'Supersonic Stability'!C193*'Stability Constants Supersonic'!$C$16*'Supersonic Stability'!$C$4/'Initial Estimates'!$C$5*'Stability Constants Supersonic'!$C$10/'Initial Estimates'!$C$10+'Supersonic Stability'!$C$5+('Supersonic Stability'!C247+'Stability Constants Supersonic'!$C$11*'Supersonic Stability'!C256)/(CFD!F8*'Initial Estimates'!$C$5*'Initial Estimates'!$C$10)</f>
        <v>4.8557394536748524E-3</v>
      </c>
      <c r="G303" s="29"/>
    </row>
    <row r="304" spans="1:12" s="63" customFormat="1" ht="18" customHeight="1" x14ac:dyDescent="0.2">
      <c r="A304" s="91">
        <v>47000</v>
      </c>
      <c r="B304" s="47" t="s">
        <v>446</v>
      </c>
      <c r="C304" s="48">
        <f>(C185 + C194* 'Stability Constants Supersonic'!$C$16*'Supersonic Stability'!$C$4/'Initial Estimates'!$C$5)*'Stability Constants Supersonic'!$C$8/'Initial Estimates'!$C$10 - 'Supersonic Stability'!C194*'Stability Constants Supersonic'!$C$16*'Supersonic Stability'!$C$4/'Initial Estimates'!$C$5*'Stability Constants Supersonic'!$C$10/'Initial Estimates'!$C$10+'Supersonic Stability'!$C$5+('Supersonic Stability'!C248+'Stability Constants Supersonic'!$C$11*'Supersonic Stability'!C257)/(CFD!F9*'Initial Estimates'!$C$5*'Initial Estimates'!$C$10)</f>
        <v>7.0389377269228885E-3</v>
      </c>
      <c r="G304" s="29"/>
    </row>
    <row r="305" spans="1:15" s="63" customFormat="1" ht="18" customHeight="1" x14ac:dyDescent="0.2">
      <c r="A305" s="91">
        <v>48000</v>
      </c>
      <c r="B305" s="47" t="s">
        <v>446</v>
      </c>
      <c r="C305" s="48">
        <f>(C186 + C195* 'Stability Constants Supersonic'!$C$16*'Supersonic Stability'!$C$4/'Initial Estimates'!$C$5)*'Stability Constants Supersonic'!$C$8/'Initial Estimates'!$C$10 - 'Supersonic Stability'!C195*'Stability Constants Supersonic'!$C$16*'Supersonic Stability'!$C$4/'Initial Estimates'!$C$5*'Stability Constants Supersonic'!$C$10/'Initial Estimates'!$C$10+'Supersonic Stability'!$C$5+('Supersonic Stability'!C249+'Stability Constants Supersonic'!$C$11*'Supersonic Stability'!C258)/(CFD!F10*'Initial Estimates'!$C$5*'Initial Estimates'!$C$10)</f>
        <v>9.4083211397230099E-3</v>
      </c>
      <c r="G305" s="29"/>
    </row>
    <row r="306" spans="1:15" s="63" customFormat="1" ht="18" customHeight="1" x14ac:dyDescent="0.2">
      <c r="A306" s="91">
        <v>49000</v>
      </c>
      <c r="B306" s="47" t="s">
        <v>446</v>
      </c>
      <c r="C306" s="48">
        <f>(C187 + C196* 'Stability Constants Supersonic'!$C$16*'Supersonic Stability'!$C$4/'Initial Estimates'!$C$5)*'Stability Constants Supersonic'!$C$8/'Initial Estimates'!$C$10 - 'Supersonic Stability'!C196*'Stability Constants Supersonic'!$C$16*'Supersonic Stability'!$C$4/'Initial Estimates'!$C$5*'Stability Constants Supersonic'!$C$10/'Initial Estimates'!$C$10+'Supersonic Stability'!$C$5+('Supersonic Stability'!C250+'Stability Constants Supersonic'!$C$11*'Supersonic Stability'!C259)/(CFD!F11*'Initial Estimates'!$C$5*'Initial Estimates'!$C$10)</f>
        <v>1.2002497816239093E-2</v>
      </c>
      <c r="G306" s="29"/>
    </row>
    <row r="307" spans="1:15" s="63" customFormat="1" ht="18" customHeight="1" x14ac:dyDescent="0.2">
      <c r="A307" s="63" t="s">
        <v>505</v>
      </c>
      <c r="B307" s="47" t="s">
        <v>453</v>
      </c>
      <c r="C307" s="48">
        <f xml:space="preserve"> ( C215 + C224*(1 - C233)*'Stability Constants Supersonic'!$C$16*('Supersonic Stability'!$C$4/'Initial Estimates'!$C$5))*('Stability Constants Supersonic'!$C$8/'Initial Estimates'!$C$10) - C224*(1 -C233)*'Stability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0.5941856306403519</v>
      </c>
      <c r="G307" s="29"/>
      <c r="I307"/>
      <c r="J307"/>
      <c r="K307"/>
      <c r="L307"/>
      <c r="M307"/>
      <c r="N307"/>
      <c r="O307"/>
    </row>
    <row r="308" spans="1:15" s="63" customFormat="1" ht="18" customHeight="1" x14ac:dyDescent="0.2">
      <c r="A308" s="91">
        <v>42000</v>
      </c>
      <c r="B308" s="47" t="s">
        <v>453</v>
      </c>
      <c r="C308" s="48">
        <f xml:space="preserve"> ( C216 + C225*(1 - C234)*'Stability Constants Supersonic'!$C$16*('Supersonic Stability'!$C$4/'Initial Estimates'!$C$5))*('Stability Constants Supersonic'!$C$8/'Initial Estimates'!$C$10) - C225*(1 -C234)*'Stability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0.57871800023318798</v>
      </c>
      <c r="G308" s="29"/>
      <c r="I308"/>
      <c r="J308"/>
      <c r="K308"/>
      <c r="L308"/>
      <c r="M308"/>
      <c r="N308"/>
      <c r="O308"/>
    </row>
    <row r="309" spans="1:15" s="63" customFormat="1" ht="18" customHeight="1" x14ac:dyDescent="0.2">
      <c r="A309" s="91">
        <v>43000</v>
      </c>
      <c r="B309" s="47" t="s">
        <v>453</v>
      </c>
      <c r="C309" s="48">
        <f xml:space="preserve"> ( C217 + C226*(1 - C235)*'Stability Constants Supersonic'!$C$16*('Supersonic Stability'!$C$4/'Initial Estimates'!$C$5))*('Stability Constants Supersonic'!$C$8/'Initial Estimates'!$C$10) - C226*(1 -C235)*'Stability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0.5640730816425561</v>
      </c>
      <c r="G309" s="29"/>
      <c r="I309"/>
      <c r="J309"/>
      <c r="K309"/>
      <c r="L309"/>
      <c r="M309"/>
      <c r="N309"/>
      <c r="O309"/>
    </row>
    <row r="310" spans="1:15" s="63" customFormat="1" ht="18" customHeight="1" x14ac:dyDescent="0.2">
      <c r="A310" s="91">
        <v>44000</v>
      </c>
      <c r="B310" s="47" t="s">
        <v>453</v>
      </c>
      <c r="C310" s="48">
        <f xml:space="preserve"> ( C218 + C227*(1 - C236)*'Stability Constants Supersonic'!$C$16*('Supersonic Stability'!$C$4/'Initial Estimates'!$C$5))*('Stability Constants Supersonic'!$C$8/'Initial Estimates'!$C$10) - C227*(1 -C236)*'Stability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0.55012523381210598</v>
      </c>
      <c r="G310" s="29"/>
      <c r="I310"/>
      <c r="J310"/>
      <c r="K310"/>
      <c r="L310"/>
      <c r="M310"/>
      <c r="N310"/>
      <c r="O310"/>
    </row>
    <row r="311" spans="1:15" s="63" customFormat="1" ht="18" customHeight="1" x14ac:dyDescent="0.2">
      <c r="A311" s="91">
        <v>45000</v>
      </c>
      <c r="B311" s="47" t="s">
        <v>453</v>
      </c>
      <c r="C311" s="48">
        <f xml:space="preserve"> ( C219 + C228*(1 - C237)*'Stability Constants Supersonic'!$C$16*('Supersonic Stability'!$C$4/'Initial Estimates'!$C$5))*('Stability Constants Supersonic'!$C$8/'Initial Estimates'!$C$10) - C228*(1 -C237)*'Stability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0.53692579363560045</v>
      </c>
      <c r="G311" s="29"/>
      <c r="I311"/>
      <c r="J311"/>
      <c r="K311"/>
      <c r="L311"/>
      <c r="M311"/>
      <c r="N311"/>
      <c r="O311"/>
    </row>
    <row r="312" spans="1:15" s="63" customFormat="1" ht="18" customHeight="1" x14ac:dyDescent="0.2">
      <c r="A312" s="91">
        <v>46000</v>
      </c>
      <c r="B312" s="47" t="s">
        <v>453</v>
      </c>
      <c r="C312" s="48">
        <f xml:space="preserve"> ( C220 + C229*(1 - C238)*'Stability Constants Supersonic'!$C$16*('Supersonic Stability'!$C$4/'Initial Estimates'!$C$5))*('Stability Constants Supersonic'!$C$8/'Initial Estimates'!$C$10) - C229*(1 -C238)*'Stability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0.52435135607133165</v>
      </c>
      <c r="G312" s="29"/>
      <c r="I312"/>
      <c r="J312"/>
      <c r="K312"/>
      <c r="L312"/>
      <c r="M312"/>
      <c r="N312"/>
      <c r="O312"/>
    </row>
    <row r="313" spans="1:15" s="63" customFormat="1" ht="18" customHeight="1" x14ac:dyDescent="0.2">
      <c r="A313" s="91">
        <v>47000</v>
      </c>
      <c r="B313" s="47" t="s">
        <v>453</v>
      </c>
      <c r="C313" s="48">
        <f xml:space="preserve"> ( C221 + C230*(1 - C239)*'Stability Constants Supersonic'!$C$16*('Supersonic Stability'!$C$4/'Initial Estimates'!$C$5))*('Stability Constants Supersonic'!$C$8/'Initial Estimates'!$C$10) - C230*(1 -C239)*'Stability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0.51239622835013221</v>
      </c>
      <c r="G313" s="29"/>
      <c r="I313"/>
      <c r="J313"/>
      <c r="K313"/>
      <c r="L313"/>
      <c r="M313"/>
      <c r="N313"/>
      <c r="O313"/>
    </row>
    <row r="314" spans="1:15" s="63" customFormat="1" ht="18" customHeight="1" x14ac:dyDescent="0.2">
      <c r="A314" s="91">
        <v>48000</v>
      </c>
      <c r="B314" s="47" t="s">
        <v>453</v>
      </c>
      <c r="C314" s="48">
        <f xml:space="preserve"> ( C222 + C231*(1 - C240)*'Stability Constants Supersonic'!$C$16*('Supersonic Stability'!$C$4/'Initial Estimates'!$C$5))*('Stability Constants Supersonic'!$C$8/'Initial Estimates'!$C$10) - C231*(1 -C240)*'Stability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0.50105501253066353</v>
      </c>
      <c r="G314" s="29"/>
      <c r="I314"/>
      <c r="J314"/>
      <c r="K314"/>
      <c r="L314"/>
      <c r="M314"/>
      <c r="N314"/>
      <c r="O314"/>
    </row>
    <row r="315" spans="1:15" s="63" customFormat="1" ht="18" customHeight="1" x14ac:dyDescent="0.2">
      <c r="A315" s="91">
        <v>49000</v>
      </c>
      <c r="B315" s="47" t="s">
        <v>453</v>
      </c>
      <c r="C315" s="48">
        <f xml:space="preserve"> ( C223 + C232*(1 - C241)*'Stability Constants Supersonic'!$C$16*('Supersonic Stability'!$C$4/'Initial Estimates'!$C$5))*('Stability Constants Supersonic'!$C$8/'Initial Estimates'!$C$10) - C232*(1 -C241)*'Stability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0.49020735794102932</v>
      </c>
      <c r="G315" s="29"/>
      <c r="I315"/>
      <c r="J315"/>
      <c r="K315"/>
      <c r="L315"/>
      <c r="M315"/>
      <c r="N315"/>
      <c r="O315"/>
    </row>
    <row r="316" spans="1:15" ht="18" customHeight="1" x14ac:dyDescent="0.2">
      <c r="A316" s="129"/>
      <c r="B316" s="129"/>
      <c r="C316" s="129"/>
      <c r="D316" s="129"/>
      <c r="E316" s="129"/>
      <c r="F316" s="129"/>
      <c r="G316" s="129"/>
      <c r="H316" s="129"/>
      <c r="I316" s="129"/>
      <c r="J316" s="129"/>
      <c r="K316" s="129"/>
      <c r="L316" s="129"/>
    </row>
    <row r="317" spans="1:15" ht="18" customHeight="1" x14ac:dyDescent="0.2">
      <c r="A317" s="130"/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</row>
    <row r="318" spans="1:15" ht="18" customHeight="1" x14ac:dyDescent="0.2">
      <c r="A318" s="118" t="s">
        <v>570</v>
      </c>
      <c r="B318" s="119"/>
      <c r="C318" s="119"/>
      <c r="D318" s="119"/>
      <c r="E318" s="119"/>
      <c r="F318" s="119"/>
      <c r="G318" s="119"/>
      <c r="H318" s="121"/>
      <c r="I318" s="121"/>
      <c r="J318" s="121"/>
      <c r="K318" s="121"/>
      <c r="L318" s="125"/>
    </row>
    <row r="319" spans="1:15" ht="18" customHeight="1" x14ac:dyDescent="0.2">
      <c r="A319" s="23" t="s">
        <v>5</v>
      </c>
      <c r="B319" s="23" t="s">
        <v>96</v>
      </c>
      <c r="C319" s="94" t="s">
        <v>7</v>
      </c>
      <c r="D319" s="94" t="s">
        <v>125</v>
      </c>
      <c r="E319" s="94" t="s">
        <v>8</v>
      </c>
      <c r="F319" s="94" t="s">
        <v>9</v>
      </c>
      <c r="G319" s="31" t="s">
        <v>10</v>
      </c>
      <c r="H319" s="122" t="s">
        <v>11</v>
      </c>
      <c r="I319" s="123"/>
      <c r="J319" s="123"/>
      <c r="K319" s="123"/>
      <c r="L319" s="124"/>
    </row>
    <row r="320" spans="1:15" ht="18" customHeight="1" x14ac:dyDescent="0.2">
      <c r="A320" s="93" t="s">
        <v>379</v>
      </c>
      <c r="B320" s="93" t="s">
        <v>380</v>
      </c>
      <c r="C320" s="36">
        <v>1.6</v>
      </c>
      <c r="D320" s="93" t="s">
        <v>125</v>
      </c>
      <c r="E320" s="93" t="s">
        <v>137</v>
      </c>
      <c r="F320" s="93" t="s">
        <v>484</v>
      </c>
      <c r="G320" s="29" t="s">
        <v>137</v>
      </c>
      <c r="H320" s="126" t="s">
        <v>309</v>
      </c>
      <c r="I320" s="126"/>
      <c r="J320" s="126"/>
      <c r="K320" s="126"/>
      <c r="L320" s="126"/>
    </row>
    <row r="321" spans="1:12" ht="18" customHeight="1" x14ac:dyDescent="0.2">
      <c r="A321" s="93" t="s">
        <v>557</v>
      </c>
      <c r="B321" s="93" t="s">
        <v>406</v>
      </c>
      <c r="C321" s="36">
        <f>'Final Aircraft Checkouts'!C96</f>
        <v>8.9308608515838106E-2</v>
      </c>
      <c r="D321" s="93" t="s">
        <v>125</v>
      </c>
      <c r="E321" s="93" t="s">
        <v>137</v>
      </c>
      <c r="F321" s="93" t="s">
        <v>21</v>
      </c>
      <c r="G321" s="29" t="s">
        <v>550</v>
      </c>
      <c r="H321" s="127" t="s">
        <v>526</v>
      </c>
      <c r="I321" s="127"/>
      <c r="J321" s="127"/>
      <c r="K321" s="127"/>
      <c r="L321" s="127"/>
    </row>
    <row r="322" spans="1:12" ht="18" customHeight="1" x14ac:dyDescent="0.2">
      <c r="A322" s="91">
        <v>42000</v>
      </c>
      <c r="B322" s="93" t="s">
        <v>406</v>
      </c>
      <c r="C322" s="36">
        <f>'Final Aircraft Checkouts'!C97</f>
        <v>9.3693701362755177E-2</v>
      </c>
      <c r="D322" s="93" t="s">
        <v>125</v>
      </c>
      <c r="E322" s="93" t="s">
        <v>137</v>
      </c>
      <c r="F322" s="93" t="s">
        <v>21</v>
      </c>
      <c r="G322" s="29" t="s">
        <v>550</v>
      </c>
      <c r="H322" s="127" t="s">
        <v>526</v>
      </c>
      <c r="I322" s="127"/>
      <c r="J322" s="127"/>
      <c r="K322" s="127"/>
      <c r="L322" s="127"/>
    </row>
    <row r="323" spans="1:12" ht="18" customHeight="1" x14ac:dyDescent="0.2">
      <c r="A323" s="91">
        <v>43000</v>
      </c>
      <c r="B323" s="93" t="s">
        <v>406</v>
      </c>
      <c r="C323" s="36">
        <f>'Final Aircraft Checkouts'!C98</f>
        <v>9.8279848726491384E-2</v>
      </c>
      <c r="D323" s="93" t="s">
        <v>125</v>
      </c>
      <c r="E323" s="93" t="s">
        <v>137</v>
      </c>
      <c r="F323" s="93" t="s">
        <v>21</v>
      </c>
      <c r="G323" s="29" t="s">
        <v>550</v>
      </c>
      <c r="H323" s="127" t="s">
        <v>526</v>
      </c>
      <c r="I323" s="127"/>
      <c r="J323" s="127"/>
      <c r="K323" s="127"/>
      <c r="L323" s="127"/>
    </row>
    <row r="324" spans="1:12" ht="18" customHeight="1" x14ac:dyDescent="0.2">
      <c r="A324" s="91">
        <v>44000</v>
      </c>
      <c r="B324" s="93" t="s">
        <v>406</v>
      </c>
      <c r="C324" s="36">
        <f>'Final Aircraft Checkouts'!C99</f>
        <v>0.10310364827215128</v>
      </c>
      <c r="D324" s="93" t="s">
        <v>125</v>
      </c>
      <c r="E324" s="93" t="s">
        <v>137</v>
      </c>
      <c r="F324" s="93" t="s">
        <v>21</v>
      </c>
      <c r="G324" s="29" t="s">
        <v>550</v>
      </c>
      <c r="H324" s="127" t="s">
        <v>526</v>
      </c>
      <c r="I324" s="127"/>
      <c r="J324" s="127"/>
      <c r="K324" s="127"/>
      <c r="L324" s="127"/>
    </row>
    <row r="325" spans="1:12" ht="18" customHeight="1" x14ac:dyDescent="0.2">
      <c r="A325" s="91">
        <v>45000</v>
      </c>
      <c r="B325" s="93" t="s">
        <v>406</v>
      </c>
      <c r="C325" s="36">
        <f>'Final Aircraft Checkouts'!C100</f>
        <v>0.10814397371223484</v>
      </c>
      <c r="D325" s="93" t="s">
        <v>125</v>
      </c>
      <c r="E325" s="93" t="s">
        <v>137</v>
      </c>
      <c r="F325" s="93" t="s">
        <v>21</v>
      </c>
      <c r="G325" s="29" t="s">
        <v>550</v>
      </c>
      <c r="H325" s="127" t="s">
        <v>526</v>
      </c>
      <c r="I325" s="127"/>
      <c r="J325" s="127"/>
      <c r="K325" s="127"/>
      <c r="L325" s="127"/>
    </row>
    <row r="326" spans="1:12" ht="18" customHeight="1" x14ac:dyDescent="0.2">
      <c r="A326" s="91">
        <v>46000</v>
      </c>
      <c r="B326" s="93" t="s">
        <v>406</v>
      </c>
      <c r="C326" s="36">
        <f>'Final Aircraft Checkouts'!C101</f>
        <v>0.11344442715490395</v>
      </c>
      <c r="D326" s="93" t="s">
        <v>125</v>
      </c>
      <c r="E326" s="93" t="s">
        <v>137</v>
      </c>
      <c r="F326" s="93" t="s">
        <v>21</v>
      </c>
      <c r="G326" s="29" t="s">
        <v>550</v>
      </c>
      <c r="H326" s="127" t="s">
        <v>526</v>
      </c>
      <c r="I326" s="127"/>
      <c r="J326" s="127"/>
      <c r="K326" s="127"/>
      <c r="L326" s="127"/>
    </row>
    <row r="327" spans="1:12" ht="18" customHeight="1" x14ac:dyDescent="0.2">
      <c r="A327" s="91">
        <v>47000</v>
      </c>
      <c r="B327" s="93" t="s">
        <v>406</v>
      </c>
      <c r="C327" s="36">
        <f>'Final Aircraft Checkouts'!C102</f>
        <v>0.11900728171189279</v>
      </c>
      <c r="D327" s="93" t="s">
        <v>125</v>
      </c>
      <c r="E327" s="93" t="s">
        <v>137</v>
      </c>
      <c r="F327" s="93" t="s">
        <v>21</v>
      </c>
      <c r="G327" s="29" t="s">
        <v>550</v>
      </c>
      <c r="H327" s="127" t="s">
        <v>526</v>
      </c>
      <c r="I327" s="127"/>
      <c r="J327" s="127"/>
      <c r="K327" s="127"/>
      <c r="L327" s="127"/>
    </row>
    <row r="328" spans="1:12" ht="18" customHeight="1" x14ac:dyDescent="0.2">
      <c r="A328" s="91">
        <v>48000</v>
      </c>
      <c r="B328" s="93" t="s">
        <v>406</v>
      </c>
      <c r="C328" s="36">
        <f>'Final Aircraft Checkouts'!C103</f>
        <v>0.12483135841989056</v>
      </c>
      <c r="D328" s="93" t="s">
        <v>125</v>
      </c>
      <c r="E328" s="93" t="s">
        <v>137</v>
      </c>
      <c r="F328" s="93" t="s">
        <v>21</v>
      </c>
      <c r="G328" s="29" t="s">
        <v>550</v>
      </c>
      <c r="H328" s="127" t="s">
        <v>526</v>
      </c>
      <c r="I328" s="127"/>
      <c r="J328" s="127"/>
      <c r="K328" s="127"/>
      <c r="L328" s="127"/>
    </row>
    <row r="329" spans="1:12" ht="18" customHeight="1" x14ac:dyDescent="0.2">
      <c r="A329" s="91">
        <v>49000</v>
      </c>
      <c r="B329" s="93" t="s">
        <v>406</v>
      </c>
      <c r="C329" s="36">
        <f>'Final Aircraft Checkouts'!C104</f>
        <v>0.13097971979870621</v>
      </c>
      <c r="D329" s="93" t="s">
        <v>125</v>
      </c>
      <c r="E329" s="93" t="s">
        <v>137</v>
      </c>
      <c r="F329" s="93" t="s">
        <v>21</v>
      </c>
      <c r="G329" s="29" t="s">
        <v>550</v>
      </c>
      <c r="H329" s="127" t="s">
        <v>526</v>
      </c>
      <c r="I329" s="127"/>
      <c r="J329" s="127"/>
      <c r="K329" s="127"/>
      <c r="L329" s="127"/>
    </row>
    <row r="330" spans="1:12" ht="18" customHeight="1" x14ac:dyDescent="0.2">
      <c r="A330" s="93" t="s">
        <v>447</v>
      </c>
      <c r="B330" s="47" t="s">
        <v>448</v>
      </c>
      <c r="C330" s="48">
        <v>0.10158298411673315</v>
      </c>
      <c r="D330" s="93" t="s">
        <v>125</v>
      </c>
      <c r="E330" s="93" t="s">
        <v>137</v>
      </c>
      <c r="F330" s="93" t="s">
        <v>399</v>
      </c>
      <c r="G330" s="29" t="s">
        <v>137</v>
      </c>
      <c r="H330" s="127" t="s">
        <v>449</v>
      </c>
      <c r="I330" s="127"/>
      <c r="J330" s="127"/>
      <c r="K330" s="127"/>
      <c r="L330" s="127"/>
    </row>
    <row r="331" spans="1:12" ht="18" customHeight="1" x14ac:dyDescent="0.2">
      <c r="A331" s="93" t="s">
        <v>447</v>
      </c>
      <c r="B331" s="47" t="s">
        <v>448</v>
      </c>
      <c r="C331" s="48">
        <v>0.10158298411673315</v>
      </c>
      <c r="D331" s="93" t="s">
        <v>125</v>
      </c>
      <c r="E331" s="93" t="s">
        <v>137</v>
      </c>
      <c r="F331" s="93" t="s">
        <v>399</v>
      </c>
      <c r="G331" s="29" t="s">
        <v>137</v>
      </c>
      <c r="H331" s="127" t="s">
        <v>449</v>
      </c>
      <c r="I331" s="127"/>
      <c r="J331" s="127"/>
      <c r="K331" s="127"/>
      <c r="L331" s="127"/>
    </row>
    <row r="332" spans="1:12" ht="18" customHeight="1" x14ac:dyDescent="0.2">
      <c r="A332" s="93" t="s">
        <v>447</v>
      </c>
      <c r="B332" s="47" t="s">
        <v>448</v>
      </c>
      <c r="C332" s="48">
        <v>0.10158298411673315</v>
      </c>
      <c r="D332" s="93" t="s">
        <v>125</v>
      </c>
      <c r="E332" s="93" t="s">
        <v>137</v>
      </c>
      <c r="F332" s="93" t="s">
        <v>399</v>
      </c>
      <c r="G332" s="29" t="s">
        <v>137</v>
      </c>
      <c r="H332" s="127" t="s">
        <v>449</v>
      </c>
      <c r="I332" s="127"/>
      <c r="J332" s="127"/>
      <c r="K332" s="127"/>
      <c r="L332" s="127"/>
    </row>
    <row r="333" spans="1:12" ht="18" customHeight="1" x14ac:dyDescent="0.2">
      <c r="A333" s="93" t="s">
        <v>447</v>
      </c>
      <c r="B333" s="47" t="s">
        <v>448</v>
      </c>
      <c r="C333" s="48">
        <v>0.10158298411673315</v>
      </c>
      <c r="D333" s="93" t="s">
        <v>125</v>
      </c>
      <c r="E333" s="93" t="s">
        <v>137</v>
      </c>
      <c r="F333" s="93" t="s">
        <v>399</v>
      </c>
      <c r="G333" s="29" t="s">
        <v>137</v>
      </c>
      <c r="H333" s="127" t="s">
        <v>449</v>
      </c>
      <c r="I333" s="127"/>
      <c r="J333" s="127"/>
      <c r="K333" s="127"/>
      <c r="L333" s="127"/>
    </row>
    <row r="334" spans="1:12" ht="18" customHeight="1" x14ac:dyDescent="0.2">
      <c r="A334" s="93" t="s">
        <v>447</v>
      </c>
      <c r="B334" s="47" t="s">
        <v>448</v>
      </c>
      <c r="C334" s="48">
        <v>0.10158298411673315</v>
      </c>
      <c r="D334" s="93" t="s">
        <v>125</v>
      </c>
      <c r="E334" s="93" t="s">
        <v>137</v>
      </c>
      <c r="F334" s="93" t="s">
        <v>399</v>
      </c>
      <c r="G334" s="29" t="s">
        <v>137</v>
      </c>
      <c r="H334" s="127" t="s">
        <v>449</v>
      </c>
      <c r="I334" s="127"/>
      <c r="J334" s="127"/>
      <c r="K334" s="127"/>
      <c r="L334" s="127"/>
    </row>
    <row r="335" spans="1:12" ht="18" customHeight="1" x14ac:dyDescent="0.2">
      <c r="A335" s="93" t="s">
        <v>447</v>
      </c>
      <c r="B335" s="47" t="s">
        <v>448</v>
      </c>
      <c r="C335" s="48">
        <v>0.10158298411673315</v>
      </c>
      <c r="D335" s="93" t="s">
        <v>125</v>
      </c>
      <c r="E335" s="93" t="s">
        <v>137</v>
      </c>
      <c r="F335" s="93" t="s">
        <v>399</v>
      </c>
      <c r="G335" s="29" t="s">
        <v>137</v>
      </c>
      <c r="H335" s="127" t="s">
        <v>449</v>
      </c>
      <c r="I335" s="127"/>
      <c r="J335" s="127"/>
      <c r="K335" s="127"/>
      <c r="L335" s="127"/>
    </row>
    <row r="336" spans="1:12" ht="18" customHeight="1" x14ac:dyDescent="0.2">
      <c r="A336" s="93" t="s">
        <v>447</v>
      </c>
      <c r="B336" s="47" t="s">
        <v>448</v>
      </c>
      <c r="C336" s="48">
        <v>0.10158298411673315</v>
      </c>
      <c r="D336" s="93" t="s">
        <v>125</v>
      </c>
      <c r="E336" s="93" t="s">
        <v>137</v>
      </c>
      <c r="F336" s="93" t="s">
        <v>399</v>
      </c>
      <c r="G336" s="29" t="s">
        <v>137</v>
      </c>
      <c r="H336" s="127" t="s">
        <v>449</v>
      </c>
      <c r="I336" s="127"/>
      <c r="J336" s="127"/>
      <c r="K336" s="127"/>
      <c r="L336" s="127"/>
    </row>
    <row r="337" spans="1:12" ht="18" customHeight="1" x14ac:dyDescent="0.2">
      <c r="A337" s="93" t="s">
        <v>447</v>
      </c>
      <c r="B337" s="47" t="s">
        <v>448</v>
      </c>
      <c r="C337" s="48">
        <v>0.10158298411673315</v>
      </c>
      <c r="D337" s="93" t="s">
        <v>125</v>
      </c>
      <c r="E337" s="93" t="s">
        <v>137</v>
      </c>
      <c r="F337" s="93" t="s">
        <v>399</v>
      </c>
      <c r="G337" s="29" t="s">
        <v>137</v>
      </c>
      <c r="H337" s="127" t="s">
        <v>449</v>
      </c>
      <c r="I337" s="127"/>
      <c r="J337" s="127"/>
      <c r="K337" s="127"/>
      <c r="L337" s="127"/>
    </row>
    <row r="338" spans="1:12" ht="18" customHeight="1" x14ac:dyDescent="0.2">
      <c r="A338" s="93" t="s">
        <v>447</v>
      </c>
      <c r="B338" s="47" t="s">
        <v>448</v>
      </c>
      <c r="C338" s="48">
        <v>0.10158298411673315</v>
      </c>
      <c r="D338" s="93" t="s">
        <v>125</v>
      </c>
      <c r="E338" s="93" t="s">
        <v>137</v>
      </c>
      <c r="F338" s="93" t="s">
        <v>399</v>
      </c>
      <c r="G338" s="29" t="s">
        <v>137</v>
      </c>
      <c r="H338" s="127" t="s">
        <v>449</v>
      </c>
      <c r="I338" s="127"/>
      <c r="J338" s="127"/>
      <c r="K338" s="127"/>
      <c r="L338" s="127"/>
    </row>
    <row r="339" spans="1:12" ht="18" customHeight="1" x14ac:dyDescent="0.2">
      <c r="A339" s="93" t="s">
        <v>558</v>
      </c>
      <c r="B339" s="93" t="s">
        <v>436</v>
      </c>
      <c r="C339" s="36">
        <f xml:space="preserve"> ABS((C321-CFD!$B$19)/(CFD!$B$20-CFD!$B$19)*(CFD!$A$20-CFD!$A$19) + CFD!$A$19)*PI()/180</f>
        <v>3.1258988934023645E-2</v>
      </c>
      <c r="D339" s="93" t="s">
        <v>125</v>
      </c>
      <c r="E339" s="93" t="s">
        <v>407</v>
      </c>
      <c r="F339" s="93" t="s">
        <v>21</v>
      </c>
      <c r="G339" s="29" t="s">
        <v>550</v>
      </c>
      <c r="H339" s="127" t="s">
        <v>526</v>
      </c>
      <c r="I339" s="127"/>
      <c r="J339" s="127"/>
      <c r="K339" s="127"/>
      <c r="L339" s="127"/>
    </row>
    <row r="340" spans="1:12" ht="18" customHeight="1" x14ac:dyDescent="0.2">
      <c r="A340" s="91">
        <v>42000</v>
      </c>
      <c r="B340" s="93" t="s">
        <v>436</v>
      </c>
      <c r="C340" s="36">
        <f xml:space="preserve"> ABS((C322-CFD!$B$19)/(CFD!$B$20-CFD!$B$19)*(CFD!$A$20-CFD!$A$19) + CFD!$A$19)*PI()/180</f>
        <v>3.2783576746460992E-2</v>
      </c>
      <c r="D340" s="93"/>
      <c r="E340" s="93" t="s">
        <v>407</v>
      </c>
      <c r="F340" s="93" t="s">
        <v>21</v>
      </c>
      <c r="G340" s="29" t="s">
        <v>550</v>
      </c>
      <c r="H340" s="127" t="s">
        <v>526</v>
      </c>
      <c r="I340" s="127"/>
      <c r="J340" s="127"/>
      <c r="K340" s="127"/>
      <c r="L340" s="127"/>
    </row>
    <row r="341" spans="1:12" ht="18" customHeight="1" x14ac:dyDescent="0.2">
      <c r="A341" s="91">
        <v>43000</v>
      </c>
      <c r="B341" s="93" t="s">
        <v>436</v>
      </c>
      <c r="C341" s="36">
        <f xml:space="preserve"> ABS((C323-CFD!$B$19)/(CFD!$B$20-CFD!$B$19)*(CFD!$A$20-CFD!$A$19) + CFD!$A$19)*PI()/180</f>
        <v>3.4378066218151329E-2</v>
      </c>
      <c r="D341" s="93"/>
      <c r="E341" s="93" t="s">
        <v>407</v>
      </c>
      <c r="F341" s="93" t="s">
        <v>21</v>
      </c>
      <c r="G341" s="29" t="s">
        <v>550</v>
      </c>
      <c r="H341" s="127" t="s">
        <v>526</v>
      </c>
      <c r="I341" s="127"/>
      <c r="J341" s="127"/>
      <c r="K341" s="127"/>
      <c r="L341" s="127"/>
    </row>
    <row r="342" spans="1:12" ht="18" customHeight="1" x14ac:dyDescent="0.2">
      <c r="A342" s="91">
        <v>44000</v>
      </c>
      <c r="B342" s="93" t="s">
        <v>436</v>
      </c>
      <c r="C342" s="36">
        <f xml:space="preserve"> ABS((C324-CFD!$B$19)/(CFD!$B$20-CFD!$B$19)*(CFD!$A$20-CFD!$A$19) + CFD!$A$19)*PI()/180</f>
        <v>3.6055181447792198E-2</v>
      </c>
      <c r="D342" s="93"/>
      <c r="E342" s="93" t="s">
        <v>407</v>
      </c>
      <c r="F342" s="93" t="s">
        <v>21</v>
      </c>
      <c r="G342" s="29" t="s">
        <v>550</v>
      </c>
      <c r="H342" s="127" t="s">
        <v>526</v>
      </c>
      <c r="I342" s="127"/>
      <c r="J342" s="127"/>
      <c r="K342" s="127"/>
      <c r="L342" s="127"/>
    </row>
    <row r="343" spans="1:12" ht="18" customHeight="1" x14ac:dyDescent="0.2">
      <c r="A343" s="91">
        <v>45000</v>
      </c>
      <c r="B343" s="93" t="s">
        <v>436</v>
      </c>
      <c r="C343" s="36">
        <f xml:space="preserve"> ABS((C325-CFD!$B$19)/(CFD!$B$20-CFD!$B$19)*(CFD!$A$20-CFD!$A$19) + CFD!$A$19)*PI()/180</f>
        <v>3.7807577350212326E-2</v>
      </c>
      <c r="D343" s="93"/>
      <c r="E343" s="93" t="s">
        <v>407</v>
      </c>
      <c r="F343" s="93" t="s">
        <v>21</v>
      </c>
      <c r="G343" s="29" t="s">
        <v>550</v>
      </c>
      <c r="H343" s="127" t="s">
        <v>526</v>
      </c>
      <c r="I343" s="127"/>
      <c r="J343" s="127"/>
      <c r="K343" s="127"/>
      <c r="L343" s="127"/>
    </row>
    <row r="344" spans="1:12" ht="18" customHeight="1" x14ac:dyDescent="0.2">
      <c r="A344" s="91">
        <v>46000</v>
      </c>
      <c r="B344" s="93" t="s">
        <v>436</v>
      </c>
      <c r="C344" s="36">
        <f xml:space="preserve"> ABS((C326-CFD!$B$19)/(CFD!$B$20-CFD!$B$19)*(CFD!$A$20-CFD!$A$19) + CFD!$A$19)*PI()/180</f>
        <v>3.9650413294898469E-2</v>
      </c>
      <c r="D344" s="93"/>
      <c r="E344" s="93" t="s">
        <v>407</v>
      </c>
      <c r="F344" s="93" t="s">
        <v>21</v>
      </c>
      <c r="G344" s="29" t="s">
        <v>550</v>
      </c>
      <c r="H344" s="127" t="s">
        <v>526</v>
      </c>
      <c r="I344" s="127"/>
      <c r="J344" s="127"/>
      <c r="K344" s="127"/>
      <c r="L344" s="127"/>
    </row>
    <row r="345" spans="1:12" ht="18" customHeight="1" x14ac:dyDescent="0.2">
      <c r="A345" s="91">
        <v>47000</v>
      </c>
      <c r="B345" s="93" t="s">
        <v>436</v>
      </c>
      <c r="C345" s="36">
        <f xml:space="preserve"> ABS((C327-CFD!$B$19)/(CFD!$B$20-CFD!$B$19)*(CFD!$A$20-CFD!$A$19) + CFD!$A$19)*PI()/180</f>
        <v>4.1584479586313325E-2</v>
      </c>
      <c r="D345" s="93"/>
      <c r="E345" s="93" t="s">
        <v>407</v>
      </c>
      <c r="F345" s="93" t="s">
        <v>21</v>
      </c>
      <c r="G345" s="29" t="s">
        <v>550</v>
      </c>
      <c r="H345" s="127" t="s">
        <v>526</v>
      </c>
      <c r="I345" s="127"/>
      <c r="J345" s="127"/>
      <c r="K345" s="127"/>
      <c r="L345" s="127"/>
    </row>
    <row r="346" spans="1:12" ht="18" customHeight="1" x14ac:dyDescent="0.2">
      <c r="A346" s="91">
        <v>48000</v>
      </c>
      <c r="B346" s="93" t="s">
        <v>436</v>
      </c>
      <c r="C346" s="36">
        <f xml:space="preserve"> ABS((C328-CFD!$B$19)/(CFD!$B$20-CFD!$B$19)*(CFD!$A$20-CFD!$A$19) + CFD!$A$19)*PI()/180</f>
        <v>4.3609366328211205E-2</v>
      </c>
      <c r="D346" s="93"/>
      <c r="E346" s="93" t="s">
        <v>407</v>
      </c>
      <c r="F346" s="93" t="s">
        <v>21</v>
      </c>
      <c r="G346" s="29" t="s">
        <v>550</v>
      </c>
      <c r="H346" s="127" t="s">
        <v>526</v>
      </c>
      <c r="I346" s="127"/>
      <c r="J346" s="127"/>
      <c r="K346" s="127"/>
      <c r="L346" s="127"/>
    </row>
    <row r="347" spans="1:12" ht="18" customHeight="1" x14ac:dyDescent="0.2">
      <c r="A347" s="91">
        <v>49000</v>
      </c>
      <c r="B347" s="93" t="s">
        <v>436</v>
      </c>
      <c r="C347" s="36">
        <f xml:space="preserve"> ABS((C329-CFD!$B$19)/(CFD!$B$20-CFD!$B$19)*(CFD!$A$20-CFD!$A$19) + CFD!$A$19)*PI()/180</f>
        <v>4.5746998791613425E-2</v>
      </c>
      <c r="D347" s="93"/>
      <c r="E347" s="93" t="s">
        <v>407</v>
      </c>
      <c r="F347" s="93" t="s">
        <v>21</v>
      </c>
      <c r="G347" s="29" t="s">
        <v>550</v>
      </c>
      <c r="H347" s="127" t="s">
        <v>526</v>
      </c>
      <c r="I347" s="127"/>
      <c r="J347" s="127"/>
      <c r="K347" s="127"/>
      <c r="L347" s="127"/>
    </row>
    <row r="348" spans="1:12" ht="18" customHeight="1" x14ac:dyDescent="0.2">
      <c r="A348" s="93" t="s">
        <v>560</v>
      </c>
      <c r="B348" s="47" t="s">
        <v>481</v>
      </c>
      <c r="C348" s="48">
        <f>C330/C366</f>
        <v>3.5555154527202544E-2</v>
      </c>
      <c r="D348" s="93" t="s">
        <v>125</v>
      </c>
      <c r="E348" s="93" t="s">
        <v>407</v>
      </c>
      <c r="F348" s="93" t="s">
        <v>21</v>
      </c>
      <c r="G348" s="29" t="s">
        <v>482</v>
      </c>
      <c r="H348" s="127" t="s">
        <v>483</v>
      </c>
      <c r="I348" s="127"/>
      <c r="J348" s="127"/>
      <c r="K348" s="127"/>
      <c r="L348" s="127"/>
    </row>
    <row r="349" spans="1:12" ht="18" customHeight="1" x14ac:dyDescent="0.2">
      <c r="A349" s="91">
        <v>42000</v>
      </c>
      <c r="B349" s="47" t="s">
        <v>481</v>
      </c>
      <c r="C349" s="48">
        <f>C331/C367</f>
        <v>3.5544049466374066E-2</v>
      </c>
      <c r="D349" s="93" t="s">
        <v>125</v>
      </c>
      <c r="E349" s="93" t="s">
        <v>407</v>
      </c>
      <c r="F349" s="93" t="s">
        <v>21</v>
      </c>
      <c r="G349" s="29" t="s">
        <v>482</v>
      </c>
      <c r="H349" s="127" t="s">
        <v>483</v>
      </c>
      <c r="I349" s="127"/>
      <c r="J349" s="127"/>
      <c r="K349" s="127"/>
      <c r="L349" s="127"/>
    </row>
    <row r="350" spans="1:12" ht="18" customHeight="1" x14ac:dyDescent="0.2">
      <c r="A350" s="91">
        <v>43000</v>
      </c>
      <c r="B350" s="47" t="s">
        <v>481</v>
      </c>
      <c r="C350" s="48">
        <f t="shared" ref="C350:C356" si="12">C332/C368</f>
        <v>3.5533495420014168E-2</v>
      </c>
      <c r="D350" s="93" t="s">
        <v>125</v>
      </c>
      <c r="E350" s="93" t="s">
        <v>407</v>
      </c>
      <c r="F350" s="93" t="s">
        <v>21</v>
      </c>
      <c r="G350" s="29" t="s">
        <v>482</v>
      </c>
      <c r="H350" s="127" t="s">
        <v>483</v>
      </c>
      <c r="I350" s="127"/>
      <c r="J350" s="127"/>
      <c r="K350" s="127"/>
      <c r="L350" s="127"/>
    </row>
    <row r="351" spans="1:12" ht="18" customHeight="1" x14ac:dyDescent="0.2">
      <c r="A351" s="91">
        <v>44000</v>
      </c>
      <c r="B351" s="47" t="s">
        <v>481</v>
      </c>
      <c r="C351" s="48">
        <f t="shared" si="12"/>
        <v>3.5523407616666156E-2</v>
      </c>
      <c r="D351" s="93" t="s">
        <v>125</v>
      </c>
      <c r="E351" s="93" t="s">
        <v>407</v>
      </c>
      <c r="F351" s="93" t="s">
        <v>21</v>
      </c>
      <c r="G351" s="29" t="s">
        <v>482</v>
      </c>
      <c r="H351" s="127" t="s">
        <v>483</v>
      </c>
      <c r="I351" s="127"/>
      <c r="J351" s="127"/>
      <c r="K351" s="127"/>
      <c r="L351" s="127"/>
    </row>
    <row r="352" spans="1:12" ht="18" customHeight="1" x14ac:dyDescent="0.2">
      <c r="A352" s="91">
        <v>45000</v>
      </c>
      <c r="B352" s="47" t="s">
        <v>481</v>
      </c>
      <c r="C352" s="48">
        <f t="shared" si="12"/>
        <v>3.5513828442058373E-2</v>
      </c>
      <c r="D352" s="93" t="s">
        <v>125</v>
      </c>
      <c r="E352" s="93" t="s">
        <v>407</v>
      </c>
      <c r="F352" s="93" t="s">
        <v>21</v>
      </c>
      <c r="G352" s="29" t="s">
        <v>482</v>
      </c>
      <c r="H352" s="127" t="s">
        <v>483</v>
      </c>
      <c r="I352" s="127"/>
      <c r="J352" s="127"/>
      <c r="K352" s="127"/>
      <c r="L352" s="127"/>
    </row>
    <row r="353" spans="1:12" ht="18" customHeight="1" x14ac:dyDescent="0.2">
      <c r="A353" s="91">
        <v>46000</v>
      </c>
      <c r="B353" s="47" t="s">
        <v>481</v>
      </c>
      <c r="C353" s="48">
        <f t="shared" si="12"/>
        <v>3.5504673124734126E-2</v>
      </c>
      <c r="D353" s="93" t="s">
        <v>125</v>
      </c>
      <c r="E353" s="93" t="s">
        <v>407</v>
      </c>
      <c r="F353" s="93" t="s">
        <v>21</v>
      </c>
      <c r="G353" s="29" t="s">
        <v>482</v>
      </c>
      <c r="H353" s="127" t="s">
        <v>483</v>
      </c>
      <c r="I353" s="127"/>
      <c r="J353" s="127"/>
      <c r="K353" s="127"/>
      <c r="L353" s="127"/>
    </row>
    <row r="354" spans="1:12" ht="18" customHeight="1" x14ac:dyDescent="0.2">
      <c r="A354" s="91">
        <v>47000</v>
      </c>
      <c r="B354" s="47" t="s">
        <v>481</v>
      </c>
      <c r="C354" s="48">
        <f t="shared" si="12"/>
        <v>3.5495941664693408E-2</v>
      </c>
      <c r="D354" s="93" t="s">
        <v>125</v>
      </c>
      <c r="E354" s="93" t="s">
        <v>407</v>
      </c>
      <c r="F354" s="93" t="s">
        <v>21</v>
      </c>
      <c r="G354" s="29" t="s">
        <v>482</v>
      </c>
      <c r="H354" s="127" t="s">
        <v>483</v>
      </c>
      <c r="I354" s="127"/>
      <c r="J354" s="127"/>
      <c r="K354" s="127"/>
      <c r="L354" s="127"/>
    </row>
    <row r="355" spans="1:12" ht="18" customHeight="1" x14ac:dyDescent="0.2">
      <c r="A355" s="91">
        <v>48000</v>
      </c>
      <c r="B355" s="47" t="s">
        <v>481</v>
      </c>
      <c r="C355" s="48">
        <f t="shared" si="12"/>
        <v>3.5487634061936217E-2</v>
      </c>
      <c r="D355" s="93" t="s">
        <v>125</v>
      </c>
      <c r="E355" s="93" t="s">
        <v>407</v>
      </c>
      <c r="F355" s="93" t="s">
        <v>21</v>
      </c>
      <c r="G355" s="29" t="s">
        <v>482</v>
      </c>
      <c r="H355" s="127" t="s">
        <v>483</v>
      </c>
      <c r="I355" s="127"/>
      <c r="J355" s="127"/>
      <c r="K355" s="127"/>
      <c r="L355" s="127"/>
    </row>
    <row r="356" spans="1:12" ht="18" customHeight="1" x14ac:dyDescent="0.2">
      <c r="A356" s="91">
        <v>49000</v>
      </c>
      <c r="B356" s="47" t="s">
        <v>481</v>
      </c>
      <c r="C356" s="48">
        <f t="shared" si="12"/>
        <v>3.5479665545005847E-2</v>
      </c>
      <c r="D356" s="93" t="s">
        <v>125</v>
      </c>
      <c r="E356" s="93" t="s">
        <v>407</v>
      </c>
      <c r="F356" s="93" t="s">
        <v>21</v>
      </c>
      <c r="G356" s="29" t="s">
        <v>482</v>
      </c>
      <c r="H356" s="127" t="s">
        <v>483</v>
      </c>
      <c r="I356" s="127"/>
      <c r="J356" s="127"/>
      <c r="K356" s="127"/>
      <c r="L356" s="127"/>
    </row>
    <row r="357" spans="1:12" ht="18" customHeight="1" x14ac:dyDescent="0.2">
      <c r="A357" s="93" t="s">
        <v>559</v>
      </c>
      <c r="B357" s="93" t="s">
        <v>420</v>
      </c>
      <c r="C357" s="36">
        <f t="shared" ref="C357:C365" si="13">C321/C339</f>
        <v>2.8570536527696433</v>
      </c>
      <c r="D357" s="93" t="s">
        <v>125</v>
      </c>
      <c r="E357" s="93" t="s">
        <v>421</v>
      </c>
      <c r="F357" s="93" t="s">
        <v>21</v>
      </c>
      <c r="G357" s="29" t="s">
        <v>422</v>
      </c>
      <c r="H357" s="110" t="s">
        <v>423</v>
      </c>
      <c r="I357" s="110"/>
      <c r="J357" s="110"/>
      <c r="K357" s="110"/>
      <c r="L357" s="110"/>
    </row>
    <row r="358" spans="1:12" ht="18" customHeight="1" x14ac:dyDescent="0.2">
      <c r="A358" s="91">
        <v>42000</v>
      </c>
      <c r="B358" s="93" t="s">
        <v>420</v>
      </c>
      <c r="C358" s="36">
        <f t="shared" si="13"/>
        <v>2.8579462847314083</v>
      </c>
      <c r="D358" s="93" t="s">
        <v>125</v>
      </c>
      <c r="E358" s="93" t="s">
        <v>421</v>
      </c>
      <c r="F358" s="93" t="s">
        <v>21</v>
      </c>
      <c r="G358" s="29" t="s">
        <v>422</v>
      </c>
      <c r="H358" s="110" t="s">
        <v>423</v>
      </c>
      <c r="I358" s="110"/>
      <c r="J358" s="110"/>
      <c r="K358" s="110"/>
      <c r="L358" s="110"/>
    </row>
    <row r="359" spans="1:12" ht="18" customHeight="1" x14ac:dyDescent="0.2">
      <c r="A359" s="91">
        <v>43000</v>
      </c>
      <c r="B359" s="93" t="s">
        <v>420</v>
      </c>
      <c r="C359" s="36">
        <f t="shared" si="13"/>
        <v>2.8587951428926055</v>
      </c>
      <c r="D359" s="93" t="s">
        <v>125</v>
      </c>
      <c r="E359" s="93" t="s">
        <v>421</v>
      </c>
      <c r="F359" s="93" t="s">
        <v>21</v>
      </c>
      <c r="G359" s="29" t="s">
        <v>422</v>
      </c>
      <c r="H359" s="110" t="s">
        <v>423</v>
      </c>
      <c r="I359" s="110"/>
      <c r="J359" s="110"/>
      <c r="K359" s="110"/>
      <c r="L359" s="110"/>
    </row>
    <row r="360" spans="1:12" ht="18" customHeight="1" x14ac:dyDescent="0.2">
      <c r="A360" s="91">
        <v>44000</v>
      </c>
      <c r="B360" s="93" t="s">
        <v>420</v>
      </c>
      <c r="C360" s="36">
        <f t="shared" si="13"/>
        <v>2.8596069727577178</v>
      </c>
      <c r="D360" s="93" t="s">
        <v>125</v>
      </c>
      <c r="E360" s="93" t="s">
        <v>421</v>
      </c>
      <c r="F360" s="93" t="s">
        <v>21</v>
      </c>
      <c r="G360" s="29" t="s">
        <v>422</v>
      </c>
      <c r="H360" s="110" t="s">
        <v>423</v>
      </c>
      <c r="I360" s="110"/>
      <c r="J360" s="110"/>
      <c r="K360" s="110"/>
      <c r="L360" s="110"/>
    </row>
    <row r="361" spans="1:12" ht="18" customHeight="1" x14ac:dyDescent="0.2">
      <c r="A361" s="91">
        <v>45000</v>
      </c>
      <c r="B361" s="93" t="s">
        <v>420</v>
      </c>
      <c r="C361" s="36">
        <f t="shared" si="13"/>
        <v>2.8603782969349001</v>
      </c>
      <c r="D361" s="93" t="s">
        <v>125</v>
      </c>
      <c r="E361" s="93" t="s">
        <v>421</v>
      </c>
      <c r="F361" s="93" t="s">
        <v>21</v>
      </c>
      <c r="G361" s="29" t="s">
        <v>422</v>
      </c>
      <c r="H361" s="110" t="s">
        <v>423</v>
      </c>
      <c r="I361" s="110"/>
      <c r="J361" s="110"/>
      <c r="K361" s="110"/>
      <c r="L361" s="110"/>
    </row>
    <row r="362" spans="1:12" ht="18" customHeight="1" x14ac:dyDescent="0.2">
      <c r="A362" s="91">
        <v>46000</v>
      </c>
      <c r="B362" s="93" t="s">
        <v>420</v>
      </c>
      <c r="C362" s="36">
        <f t="shared" si="13"/>
        <v>2.8611158807139097</v>
      </c>
      <c r="D362" s="93" t="s">
        <v>125</v>
      </c>
      <c r="E362" s="93" t="s">
        <v>421</v>
      </c>
      <c r="F362" s="93" t="s">
        <v>21</v>
      </c>
      <c r="G362" s="29" t="s">
        <v>422</v>
      </c>
      <c r="H362" s="110" t="s">
        <v>423</v>
      </c>
      <c r="I362" s="110"/>
      <c r="J362" s="110"/>
      <c r="K362" s="110"/>
      <c r="L362" s="110"/>
    </row>
    <row r="363" spans="1:12" ht="18" customHeight="1" x14ac:dyDescent="0.2">
      <c r="A363" s="91">
        <v>47000</v>
      </c>
      <c r="B363" s="93" t="s">
        <v>420</v>
      </c>
      <c r="C363" s="36">
        <f t="shared" si="13"/>
        <v>2.8618196715647146</v>
      </c>
      <c r="D363" s="93" t="s">
        <v>125</v>
      </c>
      <c r="E363" s="93" t="s">
        <v>421</v>
      </c>
      <c r="F363" s="93" t="s">
        <v>21</v>
      </c>
      <c r="G363" s="29" t="s">
        <v>422</v>
      </c>
      <c r="H363" s="110" t="s">
        <v>423</v>
      </c>
      <c r="I363" s="110"/>
      <c r="J363" s="110"/>
      <c r="K363" s="110"/>
      <c r="L363" s="110"/>
    </row>
    <row r="364" spans="1:12" ht="18" customHeight="1" x14ac:dyDescent="0.2">
      <c r="A364" s="91">
        <v>48000</v>
      </c>
      <c r="B364" s="93" t="s">
        <v>420</v>
      </c>
      <c r="C364" s="36">
        <f t="shared" si="13"/>
        <v>2.862489619326027</v>
      </c>
      <c r="D364" s="93" t="s">
        <v>125</v>
      </c>
      <c r="E364" s="93" t="s">
        <v>421</v>
      </c>
      <c r="F364" s="93" t="s">
        <v>21</v>
      </c>
      <c r="G364" s="29" t="s">
        <v>422</v>
      </c>
      <c r="H364" s="110" t="s">
        <v>423</v>
      </c>
      <c r="I364" s="110"/>
      <c r="J364" s="110"/>
      <c r="K364" s="110"/>
      <c r="L364" s="110"/>
    </row>
    <row r="365" spans="1:12" ht="18" customHeight="1" x14ac:dyDescent="0.2">
      <c r="A365" s="91">
        <v>49000</v>
      </c>
      <c r="B365" s="93" t="s">
        <v>420</v>
      </c>
      <c r="C365" s="36">
        <f t="shared" si="13"/>
        <v>2.8631325170716573</v>
      </c>
      <c r="D365" s="93" t="s">
        <v>125</v>
      </c>
      <c r="E365" s="93" t="s">
        <v>421</v>
      </c>
      <c r="F365" s="93" t="s">
        <v>21</v>
      </c>
      <c r="G365" s="29" t="s">
        <v>422</v>
      </c>
      <c r="H365" s="110" t="s">
        <v>423</v>
      </c>
      <c r="I365" s="110"/>
      <c r="J365" s="110"/>
      <c r="K365" s="110"/>
      <c r="L365" s="110"/>
    </row>
    <row r="366" spans="1:12" ht="18" customHeight="1" x14ac:dyDescent="0.2">
      <c r="A366" s="93" t="s">
        <v>425</v>
      </c>
      <c r="B366" s="93" t="s">
        <v>426</v>
      </c>
      <c r="C366" s="36">
        <f>C357</f>
        <v>2.8570536527696433</v>
      </c>
      <c r="D366" s="93" t="s">
        <v>125</v>
      </c>
      <c r="E366" s="93" t="s">
        <v>421</v>
      </c>
      <c r="F366" s="93" t="s">
        <v>21</v>
      </c>
      <c r="G366" s="29" t="s">
        <v>427</v>
      </c>
      <c r="H366" s="110" t="s">
        <v>428</v>
      </c>
      <c r="I366" s="110"/>
      <c r="J366" s="110"/>
      <c r="K366" s="110"/>
      <c r="L366" s="110"/>
    </row>
    <row r="367" spans="1:12" ht="18" customHeight="1" x14ac:dyDescent="0.2">
      <c r="A367" s="91">
        <v>42000</v>
      </c>
      <c r="B367" s="93" t="s">
        <v>426</v>
      </c>
      <c r="C367" s="36">
        <f t="shared" ref="C367:C374" si="14">C358</f>
        <v>2.8579462847314083</v>
      </c>
      <c r="D367" s="93" t="s">
        <v>125</v>
      </c>
      <c r="E367" s="93" t="s">
        <v>421</v>
      </c>
      <c r="F367" s="93" t="s">
        <v>21</v>
      </c>
      <c r="G367" s="29" t="s">
        <v>427</v>
      </c>
      <c r="H367" s="110" t="s">
        <v>428</v>
      </c>
      <c r="I367" s="110"/>
      <c r="J367" s="110"/>
      <c r="K367" s="110"/>
      <c r="L367" s="110"/>
    </row>
    <row r="368" spans="1:12" ht="18" customHeight="1" x14ac:dyDescent="0.2">
      <c r="A368" s="91">
        <v>43000</v>
      </c>
      <c r="B368" s="93" t="s">
        <v>426</v>
      </c>
      <c r="C368" s="36">
        <f t="shared" si="14"/>
        <v>2.8587951428926055</v>
      </c>
      <c r="D368" s="93" t="s">
        <v>125</v>
      </c>
      <c r="E368" s="93" t="s">
        <v>421</v>
      </c>
      <c r="F368" s="93" t="s">
        <v>21</v>
      </c>
      <c r="G368" s="29" t="s">
        <v>427</v>
      </c>
      <c r="H368" s="110" t="s">
        <v>428</v>
      </c>
      <c r="I368" s="110"/>
      <c r="J368" s="110"/>
      <c r="K368" s="110"/>
      <c r="L368" s="110"/>
    </row>
    <row r="369" spans="1:12" ht="18" customHeight="1" x14ac:dyDescent="0.2">
      <c r="A369" s="91">
        <v>44000</v>
      </c>
      <c r="B369" s="93" t="s">
        <v>426</v>
      </c>
      <c r="C369" s="36">
        <f t="shared" si="14"/>
        <v>2.8596069727577178</v>
      </c>
      <c r="D369" s="93" t="s">
        <v>125</v>
      </c>
      <c r="E369" s="93" t="s">
        <v>421</v>
      </c>
      <c r="F369" s="93" t="s">
        <v>21</v>
      </c>
      <c r="G369" s="29" t="s">
        <v>427</v>
      </c>
      <c r="H369" s="110" t="s">
        <v>428</v>
      </c>
      <c r="I369" s="110"/>
      <c r="J369" s="110"/>
      <c r="K369" s="110"/>
      <c r="L369" s="110"/>
    </row>
    <row r="370" spans="1:12" ht="18" customHeight="1" x14ac:dyDescent="0.2">
      <c r="A370" s="91">
        <v>45000</v>
      </c>
      <c r="B370" s="93" t="s">
        <v>426</v>
      </c>
      <c r="C370" s="36">
        <f t="shared" si="14"/>
        <v>2.8603782969349001</v>
      </c>
      <c r="D370" s="93" t="s">
        <v>125</v>
      </c>
      <c r="E370" s="93" t="s">
        <v>421</v>
      </c>
      <c r="F370" s="93" t="s">
        <v>21</v>
      </c>
      <c r="G370" s="29" t="s">
        <v>427</v>
      </c>
      <c r="H370" s="110" t="s">
        <v>428</v>
      </c>
      <c r="I370" s="110"/>
      <c r="J370" s="110"/>
      <c r="K370" s="110"/>
      <c r="L370" s="110"/>
    </row>
    <row r="371" spans="1:12" ht="18" customHeight="1" x14ac:dyDescent="0.2">
      <c r="A371" s="91">
        <v>46000</v>
      </c>
      <c r="B371" s="93" t="s">
        <v>426</v>
      </c>
      <c r="C371" s="36">
        <f t="shared" si="14"/>
        <v>2.8611158807139097</v>
      </c>
      <c r="D371" s="93" t="s">
        <v>125</v>
      </c>
      <c r="E371" s="93" t="s">
        <v>421</v>
      </c>
      <c r="F371" s="93" t="s">
        <v>21</v>
      </c>
      <c r="G371" s="29" t="s">
        <v>427</v>
      </c>
      <c r="H371" s="110" t="s">
        <v>428</v>
      </c>
      <c r="I371" s="110"/>
      <c r="J371" s="110"/>
      <c r="K371" s="110"/>
      <c r="L371" s="110"/>
    </row>
    <row r="372" spans="1:12" ht="18" customHeight="1" x14ac:dyDescent="0.2">
      <c r="A372" s="91">
        <v>47000</v>
      </c>
      <c r="B372" s="93" t="s">
        <v>426</v>
      </c>
      <c r="C372" s="36">
        <f t="shared" si="14"/>
        <v>2.8618196715647146</v>
      </c>
      <c r="D372" s="93" t="s">
        <v>125</v>
      </c>
      <c r="E372" s="93" t="s">
        <v>421</v>
      </c>
      <c r="F372" s="93" t="s">
        <v>21</v>
      </c>
      <c r="G372" s="29" t="s">
        <v>427</v>
      </c>
      <c r="H372" s="110" t="s">
        <v>428</v>
      </c>
      <c r="I372" s="110"/>
      <c r="J372" s="110"/>
      <c r="K372" s="110"/>
      <c r="L372" s="110"/>
    </row>
    <row r="373" spans="1:12" ht="18" customHeight="1" x14ac:dyDescent="0.2">
      <c r="A373" s="91">
        <v>48000</v>
      </c>
      <c r="B373" s="93" t="s">
        <v>426</v>
      </c>
      <c r="C373" s="36">
        <f t="shared" si="14"/>
        <v>2.862489619326027</v>
      </c>
      <c r="D373" s="93" t="s">
        <v>125</v>
      </c>
      <c r="E373" s="93" t="s">
        <v>421</v>
      </c>
      <c r="F373" s="93" t="s">
        <v>21</v>
      </c>
      <c r="G373" s="29" t="s">
        <v>427</v>
      </c>
      <c r="H373" s="110" t="s">
        <v>428</v>
      </c>
      <c r="I373" s="110"/>
      <c r="J373" s="110"/>
      <c r="K373" s="110"/>
      <c r="L373" s="110"/>
    </row>
    <row r="374" spans="1:12" ht="18" customHeight="1" x14ac:dyDescent="0.2">
      <c r="A374" s="91">
        <v>49000</v>
      </c>
      <c r="B374" s="93" t="s">
        <v>426</v>
      </c>
      <c r="C374" s="36">
        <f t="shared" si="14"/>
        <v>2.8631325170716573</v>
      </c>
      <c r="D374" s="93" t="s">
        <v>125</v>
      </c>
      <c r="E374" s="93" t="s">
        <v>421</v>
      </c>
      <c r="F374" s="93" t="s">
        <v>21</v>
      </c>
      <c r="G374" s="29" t="s">
        <v>427</v>
      </c>
      <c r="H374" s="110" t="s">
        <v>428</v>
      </c>
      <c r="I374" s="110"/>
      <c r="J374" s="110"/>
      <c r="K374" s="110"/>
      <c r="L374" s="110"/>
    </row>
    <row r="375" spans="1:12" ht="18" customHeight="1" x14ac:dyDescent="0.2">
      <c r="A375" s="96" t="s">
        <v>429</v>
      </c>
      <c r="B375" s="93" t="s">
        <v>430</v>
      </c>
      <c r="C375" s="36">
        <f>$C$7/C339</f>
        <v>0.5856826013290678</v>
      </c>
      <c r="D375" s="93" t="s">
        <v>125</v>
      </c>
      <c r="E375" s="93" t="s">
        <v>431</v>
      </c>
      <c r="F375" s="93" t="s">
        <v>21</v>
      </c>
      <c r="G375" s="29" t="s">
        <v>432</v>
      </c>
      <c r="H375" s="110" t="s">
        <v>433</v>
      </c>
      <c r="I375" s="110"/>
      <c r="J375" s="110"/>
      <c r="K375" s="110"/>
      <c r="L375" s="110"/>
    </row>
    <row r="376" spans="1:12" ht="18" customHeight="1" x14ac:dyDescent="0.2">
      <c r="A376" s="91">
        <v>42000</v>
      </c>
      <c r="B376" s="93" t="s">
        <v>430</v>
      </c>
      <c r="C376" s="36">
        <f t="shared" ref="C376:C383" si="15">$C$7/C340</f>
        <v>0.558445653913338</v>
      </c>
      <c r="D376" s="93" t="s">
        <v>125</v>
      </c>
      <c r="E376" s="93" t="s">
        <v>431</v>
      </c>
      <c r="F376" s="93" t="s">
        <v>21</v>
      </c>
      <c r="G376" s="29" t="s">
        <v>432</v>
      </c>
      <c r="H376" s="110" t="s">
        <v>433</v>
      </c>
      <c r="I376" s="110"/>
      <c r="J376" s="110"/>
      <c r="K376" s="110"/>
      <c r="L376" s="110"/>
    </row>
    <row r="377" spans="1:12" ht="18" customHeight="1" x14ac:dyDescent="0.2">
      <c r="A377" s="91">
        <v>43000</v>
      </c>
      <c r="B377" s="93" t="s">
        <v>430</v>
      </c>
      <c r="C377" s="36">
        <f t="shared" si="15"/>
        <v>0.53254437982695846</v>
      </c>
      <c r="D377" s="93" t="s">
        <v>125</v>
      </c>
      <c r="E377" s="93" t="s">
        <v>431</v>
      </c>
      <c r="F377" s="93" t="s">
        <v>21</v>
      </c>
      <c r="G377" s="29" t="s">
        <v>432</v>
      </c>
      <c r="H377" s="110" t="s">
        <v>433</v>
      </c>
      <c r="I377" s="110"/>
      <c r="J377" s="110"/>
      <c r="K377" s="110"/>
      <c r="L377" s="110"/>
    </row>
    <row r="378" spans="1:12" ht="18" customHeight="1" x14ac:dyDescent="0.2">
      <c r="A378" s="91">
        <v>44000</v>
      </c>
      <c r="B378" s="93" t="s">
        <v>430</v>
      </c>
      <c r="C378" s="36">
        <f t="shared" si="15"/>
        <v>0.50777295297501746</v>
      </c>
      <c r="D378" s="93" t="s">
        <v>125</v>
      </c>
      <c r="E378" s="93" t="s">
        <v>431</v>
      </c>
      <c r="F378" s="93" t="s">
        <v>21</v>
      </c>
      <c r="G378" s="29" t="s">
        <v>432</v>
      </c>
      <c r="H378" s="110" t="s">
        <v>433</v>
      </c>
      <c r="I378" s="110"/>
      <c r="J378" s="110"/>
      <c r="K378" s="110"/>
      <c r="L378" s="110"/>
    </row>
    <row r="379" spans="1:12" ht="18" customHeight="1" x14ac:dyDescent="0.2">
      <c r="A379" s="91">
        <v>45000</v>
      </c>
      <c r="B379" s="93" t="s">
        <v>430</v>
      </c>
      <c r="C379" s="36">
        <f t="shared" si="15"/>
        <v>0.48423747928119215</v>
      </c>
      <c r="D379" s="93" t="s">
        <v>125</v>
      </c>
      <c r="E379" s="93" t="s">
        <v>431</v>
      </c>
      <c r="F379" s="93" t="s">
        <v>21</v>
      </c>
      <c r="G379" s="29" t="s">
        <v>432</v>
      </c>
      <c r="H379" s="110" t="s">
        <v>433</v>
      </c>
      <c r="I379" s="110"/>
      <c r="J379" s="110"/>
      <c r="K379" s="110"/>
      <c r="L379" s="110"/>
    </row>
    <row r="380" spans="1:12" ht="18" customHeight="1" x14ac:dyDescent="0.2">
      <c r="A380" s="91">
        <v>46000</v>
      </c>
      <c r="B380" s="93" t="s">
        <v>430</v>
      </c>
      <c r="C380" s="36">
        <f t="shared" si="15"/>
        <v>0.46173152894098707</v>
      </c>
      <c r="D380" s="93" t="s">
        <v>125</v>
      </c>
      <c r="E380" s="93" t="s">
        <v>431</v>
      </c>
      <c r="F380" s="93" t="s">
        <v>21</v>
      </c>
      <c r="G380" s="29" t="s">
        <v>432</v>
      </c>
      <c r="H380" s="110" t="s">
        <v>433</v>
      </c>
      <c r="I380" s="110"/>
      <c r="J380" s="110"/>
      <c r="K380" s="110"/>
      <c r="L380" s="110"/>
    </row>
    <row r="381" spans="1:12" ht="18" customHeight="1" x14ac:dyDescent="0.2">
      <c r="A381" s="91">
        <v>47000</v>
      </c>
      <c r="B381" s="93" t="s">
        <v>430</v>
      </c>
      <c r="C381" s="36">
        <f t="shared" si="15"/>
        <v>0.44025670480727047</v>
      </c>
      <c r="D381" s="93" t="s">
        <v>125</v>
      </c>
      <c r="E381" s="93" t="s">
        <v>431</v>
      </c>
      <c r="F381" s="93" t="s">
        <v>21</v>
      </c>
      <c r="G381" s="29" t="s">
        <v>432</v>
      </c>
      <c r="H381" s="110" t="s">
        <v>433</v>
      </c>
      <c r="I381" s="110"/>
      <c r="J381" s="110"/>
      <c r="K381" s="110"/>
      <c r="L381" s="110"/>
    </row>
    <row r="382" spans="1:12" ht="18" customHeight="1" x14ac:dyDescent="0.2">
      <c r="A382" s="91">
        <v>48000</v>
      </c>
      <c r="B382" s="93" t="s">
        <v>430</v>
      </c>
      <c r="C382" s="36">
        <f t="shared" si="15"/>
        <v>0.41981453745527225</v>
      </c>
      <c r="D382" s="93" t="s">
        <v>125</v>
      </c>
      <c r="E382" s="93" t="s">
        <v>431</v>
      </c>
      <c r="F382" s="93" t="s">
        <v>21</v>
      </c>
      <c r="G382" s="29" t="s">
        <v>432</v>
      </c>
      <c r="H382" s="110" t="s">
        <v>433</v>
      </c>
      <c r="I382" s="110"/>
      <c r="J382" s="110"/>
      <c r="K382" s="110"/>
      <c r="L382" s="110"/>
    </row>
    <row r="383" spans="1:12" ht="18" customHeight="1" x14ac:dyDescent="0.2">
      <c r="A383" s="91">
        <v>49000</v>
      </c>
      <c r="B383" s="93" t="s">
        <v>430</v>
      </c>
      <c r="C383" s="36">
        <f t="shared" si="15"/>
        <v>0.40019774930354118</v>
      </c>
      <c r="D383" s="93" t="s">
        <v>125</v>
      </c>
      <c r="E383" s="93" t="s">
        <v>431</v>
      </c>
      <c r="F383" s="93" t="s">
        <v>21</v>
      </c>
      <c r="G383" s="29" t="s">
        <v>432</v>
      </c>
      <c r="H383" s="110" t="s">
        <v>433</v>
      </c>
      <c r="I383" s="110"/>
      <c r="J383" s="110"/>
      <c r="K383" s="110"/>
      <c r="L383" s="110"/>
    </row>
    <row r="384" spans="1:12" ht="18" customHeight="1" x14ac:dyDescent="0.2">
      <c r="A384" s="93" t="s">
        <v>434</v>
      </c>
      <c r="B384" s="93" t="s">
        <v>435</v>
      </c>
      <c r="C384" s="36">
        <f>2*'Stability Constants Subsonic'!$C$13*('Stability Constants Subsonic'!$C$4-'Stability Constants Subsonic'!$C$3)*'Stability Constants Subsonic'!$C$14*'Supersonic Stability'!C339</f>
        <v>61221.054274985494</v>
      </c>
      <c r="D384" s="93" t="s">
        <v>125</v>
      </c>
      <c r="E384" s="93" t="s">
        <v>224</v>
      </c>
      <c r="F384" s="93" t="s">
        <v>21</v>
      </c>
      <c r="G384" s="29" t="s">
        <v>437</v>
      </c>
      <c r="H384" s="110" t="s">
        <v>438</v>
      </c>
      <c r="I384" s="110"/>
      <c r="J384" s="110"/>
      <c r="K384" s="110"/>
      <c r="L384" s="110"/>
    </row>
    <row r="385" spans="1:12" ht="18" customHeight="1" x14ac:dyDescent="0.2">
      <c r="A385" s="91">
        <v>42000</v>
      </c>
      <c r="B385" s="93" t="s">
        <v>435</v>
      </c>
      <c r="C385" s="36">
        <f>2*'Stability Constants Subsonic'!$C$13*('Stability Constants Subsonic'!$C$4-'Stability Constants Subsonic'!$C$3)*'Stability Constants Subsonic'!$C$14*'Supersonic Stability'!C340</f>
        <v>64206.975329860572</v>
      </c>
      <c r="D385" s="93" t="s">
        <v>125</v>
      </c>
      <c r="E385" s="93" t="s">
        <v>224</v>
      </c>
      <c r="F385" s="93" t="s">
        <v>21</v>
      </c>
      <c r="G385" s="29" t="s">
        <v>437</v>
      </c>
      <c r="H385" s="110" t="s">
        <v>438</v>
      </c>
      <c r="I385" s="110"/>
      <c r="J385" s="110"/>
      <c r="K385" s="110"/>
      <c r="L385" s="110"/>
    </row>
    <row r="386" spans="1:12" ht="18" customHeight="1" x14ac:dyDescent="0.2">
      <c r="A386" s="91">
        <v>43000</v>
      </c>
      <c r="B386" s="93" t="s">
        <v>435</v>
      </c>
      <c r="C386" s="36">
        <f>2*'Stability Constants Subsonic'!$C$13*('Stability Constants Subsonic'!$C$4-'Stability Constants Subsonic'!$C$3)*'Stability Constants Subsonic'!$C$14*'Supersonic Stability'!C341</f>
        <v>67329.799509915771</v>
      </c>
      <c r="D386" s="93" t="s">
        <v>125</v>
      </c>
      <c r="E386" s="93" t="s">
        <v>224</v>
      </c>
      <c r="F386" s="93" t="s">
        <v>21</v>
      </c>
      <c r="G386" s="29" t="s">
        <v>437</v>
      </c>
      <c r="H386" s="110" t="s">
        <v>438</v>
      </c>
      <c r="I386" s="110"/>
      <c r="J386" s="110"/>
      <c r="K386" s="110"/>
      <c r="L386" s="110"/>
    </row>
    <row r="387" spans="1:12" ht="18" customHeight="1" x14ac:dyDescent="0.2">
      <c r="A387" s="91">
        <v>44000</v>
      </c>
      <c r="B387" s="93" t="s">
        <v>435</v>
      </c>
      <c r="C387" s="36">
        <f>2*'Stability Constants Subsonic'!$C$13*('Stability Constants Subsonic'!$C$4-'Stability Constants Subsonic'!$C$3)*'Stability Constants Subsonic'!$C$14*'Supersonic Stability'!C342</f>
        <v>70614.447094517993</v>
      </c>
      <c r="D387" s="93" t="s">
        <v>125</v>
      </c>
      <c r="E387" s="93" t="s">
        <v>224</v>
      </c>
      <c r="F387" s="93" t="s">
        <v>21</v>
      </c>
      <c r="G387" s="29" t="s">
        <v>437</v>
      </c>
      <c r="H387" s="110" t="s">
        <v>438</v>
      </c>
      <c r="I387" s="110"/>
      <c r="J387" s="110"/>
      <c r="K387" s="110"/>
      <c r="L387" s="110"/>
    </row>
    <row r="388" spans="1:12" ht="18" customHeight="1" x14ac:dyDescent="0.2">
      <c r="A388" s="91">
        <v>45000</v>
      </c>
      <c r="B388" s="93" t="s">
        <v>435</v>
      </c>
      <c r="C388" s="36">
        <f>2*'Stability Constants Subsonic'!$C$13*('Stability Constants Subsonic'!$C$4-'Stability Constants Subsonic'!$C$3)*'Stability Constants Subsonic'!$C$14*'Supersonic Stability'!C343</f>
        <v>74046.53265812216</v>
      </c>
      <c r="D388" s="93" t="s">
        <v>125</v>
      </c>
      <c r="E388" s="93" t="s">
        <v>224</v>
      </c>
      <c r="F388" s="93" t="s">
        <v>21</v>
      </c>
      <c r="G388" s="29" t="s">
        <v>437</v>
      </c>
      <c r="H388" s="110" t="s">
        <v>438</v>
      </c>
      <c r="I388" s="110"/>
      <c r="J388" s="110"/>
      <c r="K388" s="110"/>
      <c r="L388" s="110"/>
    </row>
    <row r="389" spans="1:12" ht="18" customHeight="1" x14ac:dyDescent="0.2">
      <c r="A389" s="91">
        <v>46000</v>
      </c>
      <c r="B389" s="93" t="s">
        <v>435</v>
      </c>
      <c r="C389" s="36">
        <f>2*'Stability Constants Subsonic'!$C$13*('Stability Constants Subsonic'!$C$4-'Stability Constants Subsonic'!$C$3)*'Stability Constants Subsonic'!$C$14*'Supersonic Stability'!C344</f>
        <v>77655.745983212342</v>
      </c>
      <c r="D389" s="93" t="s">
        <v>125</v>
      </c>
      <c r="E389" s="93" t="s">
        <v>224</v>
      </c>
      <c r="F389" s="93" t="s">
        <v>21</v>
      </c>
      <c r="G389" s="29" t="s">
        <v>437</v>
      </c>
      <c r="H389" s="110" t="s">
        <v>438</v>
      </c>
      <c r="I389" s="110"/>
      <c r="J389" s="110"/>
      <c r="K389" s="110"/>
      <c r="L389" s="110"/>
    </row>
    <row r="390" spans="1:12" ht="18" customHeight="1" x14ac:dyDescent="0.2">
      <c r="A390" s="91">
        <v>47000</v>
      </c>
      <c r="B390" s="93" t="s">
        <v>435</v>
      </c>
      <c r="C390" s="36">
        <f>2*'Stability Constants Subsonic'!$C$13*('Stability Constants Subsonic'!$C$4-'Stability Constants Subsonic'!$C$3)*'Stability Constants Subsonic'!$C$14*'Supersonic Stability'!C345</f>
        <v>81443.634889281559</v>
      </c>
      <c r="D390" s="93" t="s">
        <v>125</v>
      </c>
      <c r="E390" s="93" t="s">
        <v>224</v>
      </c>
      <c r="F390" s="93" t="s">
        <v>21</v>
      </c>
      <c r="G390" s="29" t="s">
        <v>437</v>
      </c>
      <c r="H390" s="110" t="s">
        <v>438</v>
      </c>
      <c r="I390" s="110"/>
      <c r="J390" s="110"/>
      <c r="K390" s="110"/>
      <c r="L390" s="110"/>
    </row>
    <row r="391" spans="1:12" ht="18" customHeight="1" x14ac:dyDescent="0.2">
      <c r="A391" s="91">
        <v>48000</v>
      </c>
      <c r="B391" s="93" t="s">
        <v>435</v>
      </c>
      <c r="C391" s="36">
        <f>2*'Stability Constants Subsonic'!$C$13*('Stability Constants Subsonic'!$C$4-'Stability Constants Subsonic'!$C$3)*'Stability Constants Subsonic'!$C$14*'Supersonic Stability'!C346</f>
        <v>85409.396590278193</v>
      </c>
      <c r="D391" s="93" t="s">
        <v>125</v>
      </c>
      <c r="E391" s="93" t="s">
        <v>224</v>
      </c>
      <c r="F391" s="93" t="s">
        <v>21</v>
      </c>
      <c r="G391" s="29" t="s">
        <v>437</v>
      </c>
      <c r="H391" s="110" t="s">
        <v>438</v>
      </c>
      <c r="I391" s="110"/>
      <c r="J391" s="110"/>
      <c r="K391" s="110"/>
      <c r="L391" s="110"/>
    </row>
    <row r="392" spans="1:12" ht="18" customHeight="1" x14ac:dyDescent="0.2">
      <c r="A392" s="91">
        <v>49000</v>
      </c>
      <c r="B392" s="93" t="s">
        <v>435</v>
      </c>
      <c r="C392" s="36">
        <f>2*'Stability Constants Subsonic'!$C$13*('Stability Constants Subsonic'!$C$4-'Stability Constants Subsonic'!$C$3)*'Stability Constants Subsonic'!$C$14*'Supersonic Stability'!C347</f>
        <v>89595.971957067348</v>
      </c>
      <c r="D392" s="93" t="s">
        <v>125</v>
      </c>
      <c r="E392" s="93" t="s">
        <v>224</v>
      </c>
      <c r="F392" s="93" t="s">
        <v>21</v>
      </c>
      <c r="G392" s="29" t="s">
        <v>437</v>
      </c>
      <c r="H392" s="110" t="s">
        <v>438</v>
      </c>
      <c r="I392" s="110"/>
      <c r="J392" s="110"/>
      <c r="K392" s="110"/>
      <c r="L392" s="110"/>
    </row>
    <row r="393" spans="1:12" ht="18" customHeight="1" x14ac:dyDescent="0.2">
      <c r="A393" s="93" t="s">
        <v>439</v>
      </c>
      <c r="B393" s="93" t="s">
        <v>440</v>
      </c>
      <c r="C393" s="36">
        <f>2*'Stability Constants Subsonic'!$C$13*('Stability Constants Subsonic'!$C$6-'Stability Constants Subsonic'!$C$5)*'Stability Constants Subsonic'!$C$15*'Supersonic Stability'!C339</f>
        <v>38298.914269860899</v>
      </c>
      <c r="D393" s="93" t="s">
        <v>125</v>
      </c>
      <c r="E393" s="93" t="s">
        <v>224</v>
      </c>
      <c r="F393" s="93" t="s">
        <v>21</v>
      </c>
      <c r="G393" s="29" t="s">
        <v>442</v>
      </c>
      <c r="H393" s="110" t="s">
        <v>438</v>
      </c>
      <c r="I393" s="110"/>
      <c r="J393" s="110"/>
      <c r="K393" s="110"/>
      <c r="L393" s="110"/>
    </row>
    <row r="394" spans="1:12" ht="18" customHeight="1" x14ac:dyDescent="0.2">
      <c r="A394" s="91">
        <v>42000</v>
      </c>
      <c r="B394" s="93" t="s">
        <v>440</v>
      </c>
      <c r="C394" s="36">
        <f>2*'Stability Constants Subsonic'!$C$13*('Stability Constants Subsonic'!$C$6-'Stability Constants Subsonic'!$C$5)*'Stability Constants Subsonic'!$C$15*'Supersonic Stability'!C340</f>
        <v>40166.858816904722</v>
      </c>
      <c r="D394" s="93" t="s">
        <v>125</v>
      </c>
      <c r="E394" s="93" t="s">
        <v>224</v>
      </c>
      <c r="F394" s="93" t="s">
        <v>21</v>
      </c>
      <c r="G394" s="29" t="s">
        <v>442</v>
      </c>
      <c r="H394" s="110" t="s">
        <v>438</v>
      </c>
      <c r="I394" s="110"/>
      <c r="J394" s="110"/>
      <c r="K394" s="110"/>
      <c r="L394" s="110"/>
    </row>
    <row r="395" spans="1:12" ht="18" customHeight="1" x14ac:dyDescent="0.2">
      <c r="A395" s="91">
        <v>43000</v>
      </c>
      <c r="B395" s="93" t="s">
        <v>440</v>
      </c>
      <c r="C395" s="36">
        <f>2*'Stability Constants Subsonic'!$C$13*('Stability Constants Subsonic'!$C$6-'Stability Constants Subsonic'!$C$5)*'Stability Constants Subsonic'!$C$15*'Supersonic Stability'!C341</f>
        <v>42120.447773647844</v>
      </c>
      <c r="D395" s="93" t="s">
        <v>125</v>
      </c>
      <c r="E395" s="93" t="s">
        <v>224</v>
      </c>
      <c r="F395" s="93" t="s">
        <v>21</v>
      </c>
      <c r="G395" s="29" t="s">
        <v>442</v>
      </c>
      <c r="H395" s="110" t="s">
        <v>438</v>
      </c>
      <c r="I395" s="110"/>
      <c r="J395" s="110"/>
      <c r="K395" s="110"/>
      <c r="L395" s="110"/>
    </row>
    <row r="396" spans="1:12" ht="18" customHeight="1" x14ac:dyDescent="0.2">
      <c r="A396" s="91">
        <v>44000</v>
      </c>
      <c r="B396" s="93" t="s">
        <v>440</v>
      </c>
      <c r="C396" s="36">
        <f>2*'Stability Constants Subsonic'!$C$13*('Stability Constants Subsonic'!$C$6-'Stability Constants Subsonic'!$C$5)*'Stability Constants Subsonic'!$C$15*'Supersonic Stability'!C342</f>
        <v>44175.270869054526</v>
      </c>
      <c r="D396" s="93" t="s">
        <v>125</v>
      </c>
      <c r="E396" s="93" t="s">
        <v>224</v>
      </c>
      <c r="F396" s="93" t="s">
        <v>21</v>
      </c>
      <c r="G396" s="29" t="s">
        <v>442</v>
      </c>
      <c r="H396" s="110" t="s">
        <v>438</v>
      </c>
      <c r="I396" s="110"/>
      <c r="J396" s="110"/>
      <c r="K396" s="110"/>
      <c r="L396" s="110"/>
    </row>
    <row r="397" spans="1:12" ht="18" customHeight="1" x14ac:dyDescent="0.2">
      <c r="A397" s="91">
        <v>45000</v>
      </c>
      <c r="B397" s="93" t="s">
        <v>440</v>
      </c>
      <c r="C397" s="36">
        <f>2*'Stability Constants Subsonic'!$C$13*('Stability Constants Subsonic'!$C$6-'Stability Constants Subsonic'!$C$5)*'Stability Constants Subsonic'!$C$15*'Supersonic Stability'!C343</f>
        <v>46322.328810541345</v>
      </c>
      <c r="D397" s="93" t="s">
        <v>125</v>
      </c>
      <c r="E397" s="93" t="s">
        <v>224</v>
      </c>
      <c r="F397" s="93" t="s">
        <v>21</v>
      </c>
      <c r="G397" s="29" t="s">
        <v>442</v>
      </c>
      <c r="H397" s="110" t="s">
        <v>438</v>
      </c>
      <c r="I397" s="110"/>
      <c r="J397" s="110"/>
      <c r="K397" s="110"/>
      <c r="L397" s="110"/>
    </row>
    <row r="398" spans="1:12" ht="18" customHeight="1" x14ac:dyDescent="0.2">
      <c r="A398" s="91">
        <v>46000</v>
      </c>
      <c r="B398" s="93" t="s">
        <v>440</v>
      </c>
      <c r="C398" s="36">
        <f>2*'Stability Constants Subsonic'!$C$13*('Stability Constants Subsonic'!$C$6-'Stability Constants Subsonic'!$C$5)*'Stability Constants Subsonic'!$C$15*'Supersonic Stability'!C344</f>
        <v>48580.195052086085</v>
      </c>
      <c r="D398" s="93" t="s">
        <v>125</v>
      </c>
      <c r="E398" s="93" t="s">
        <v>224</v>
      </c>
      <c r="F398" s="93" t="s">
        <v>21</v>
      </c>
      <c r="G398" s="29" t="s">
        <v>442</v>
      </c>
      <c r="H398" s="110" t="s">
        <v>438</v>
      </c>
      <c r="I398" s="110"/>
      <c r="J398" s="110"/>
      <c r="K398" s="110"/>
      <c r="L398" s="110"/>
    </row>
    <row r="399" spans="1:12" ht="18" customHeight="1" x14ac:dyDescent="0.2">
      <c r="A399" s="91">
        <v>47000</v>
      </c>
      <c r="B399" s="93" t="s">
        <v>440</v>
      </c>
      <c r="C399" s="36">
        <f>2*'Stability Constants Subsonic'!$C$13*('Stability Constants Subsonic'!$C$6-'Stability Constants Subsonic'!$C$5)*'Stability Constants Subsonic'!$C$15*'Supersonic Stability'!C345</f>
        <v>50949.837884855428</v>
      </c>
      <c r="D399" s="93" t="s">
        <v>125</v>
      </c>
      <c r="E399" s="93" t="s">
        <v>224</v>
      </c>
      <c r="F399" s="93" t="s">
        <v>21</v>
      </c>
      <c r="G399" s="29" t="s">
        <v>442</v>
      </c>
      <c r="H399" s="110" t="s">
        <v>438</v>
      </c>
      <c r="I399" s="110"/>
      <c r="J399" s="110"/>
      <c r="K399" s="110"/>
      <c r="L399" s="110"/>
    </row>
    <row r="400" spans="1:12" ht="18" customHeight="1" x14ac:dyDescent="0.2">
      <c r="A400" s="91">
        <v>48000</v>
      </c>
      <c r="B400" s="93" t="s">
        <v>440</v>
      </c>
      <c r="C400" s="36">
        <f>2*'Stability Constants Subsonic'!$C$13*('Stability Constants Subsonic'!$C$6-'Stability Constants Subsonic'!$C$5)*'Stability Constants Subsonic'!$C$15*'Supersonic Stability'!C346</f>
        <v>53430.755098710513</v>
      </c>
      <c r="D400" s="93" t="s">
        <v>125</v>
      </c>
      <c r="E400" s="93" t="s">
        <v>224</v>
      </c>
      <c r="F400" s="93" t="s">
        <v>21</v>
      </c>
      <c r="G400" s="29" t="s">
        <v>442</v>
      </c>
      <c r="H400" s="110" t="s">
        <v>438</v>
      </c>
      <c r="I400" s="110"/>
      <c r="J400" s="110"/>
      <c r="K400" s="110"/>
      <c r="L400" s="110"/>
    </row>
    <row r="401" spans="1:12" ht="18" customHeight="1" x14ac:dyDescent="0.2">
      <c r="A401" s="91">
        <v>49000</v>
      </c>
      <c r="B401" s="93" t="s">
        <v>440</v>
      </c>
      <c r="C401" s="36">
        <f>2*'Stability Constants Subsonic'!$C$13*('Stability Constants Subsonic'!$C$6-'Stability Constants Subsonic'!$C$5)*'Stability Constants Subsonic'!$C$15*'Supersonic Stability'!C347</f>
        <v>56049.809816990397</v>
      </c>
      <c r="D401" s="93" t="s">
        <v>125</v>
      </c>
      <c r="E401" s="93" t="s">
        <v>224</v>
      </c>
      <c r="F401" s="93" t="s">
        <v>21</v>
      </c>
      <c r="G401" s="29" t="s">
        <v>442</v>
      </c>
      <c r="H401" s="110" t="s">
        <v>438</v>
      </c>
      <c r="I401" s="110"/>
      <c r="J401" s="110"/>
      <c r="K401" s="110"/>
      <c r="L401" s="110"/>
    </row>
    <row r="402" spans="1:12" ht="18" customHeight="1" x14ac:dyDescent="0.2">
      <c r="A402" s="118" t="s">
        <v>503</v>
      </c>
      <c r="B402" s="119"/>
      <c r="C402" s="119"/>
      <c r="D402" s="119"/>
      <c r="E402" s="119"/>
      <c r="F402" s="119"/>
      <c r="G402" s="119"/>
      <c r="H402" s="121"/>
      <c r="I402" s="121"/>
      <c r="J402" s="121"/>
      <c r="K402" s="121"/>
      <c r="L402" s="125"/>
    </row>
    <row r="403" spans="1:12" ht="18" customHeight="1" x14ac:dyDescent="0.2">
      <c r="A403" s="23" t="s">
        <v>5</v>
      </c>
      <c r="B403" s="23" t="s">
        <v>96</v>
      </c>
      <c r="C403" s="94" t="s">
        <v>7</v>
      </c>
      <c r="D403" s="94" t="s">
        <v>125</v>
      </c>
      <c r="E403" s="94" t="s">
        <v>8</v>
      </c>
      <c r="F403" s="94" t="s">
        <v>9</v>
      </c>
      <c r="G403" s="31" t="s">
        <v>10</v>
      </c>
      <c r="H403" s="122" t="s">
        <v>11</v>
      </c>
      <c r="I403" s="123"/>
      <c r="J403" s="123"/>
      <c r="K403" s="123"/>
      <c r="L403" s="124"/>
    </row>
    <row r="404" spans="1:12" ht="18" customHeight="1" x14ac:dyDescent="0.2">
      <c r="A404" s="93" t="s">
        <v>379</v>
      </c>
      <c r="B404" s="93" t="s">
        <v>380</v>
      </c>
      <c r="C404" s="36">
        <v>1.7</v>
      </c>
      <c r="D404" s="93" t="s">
        <v>125</v>
      </c>
      <c r="E404" s="93" t="s">
        <v>137</v>
      </c>
      <c r="F404" s="93" t="s">
        <v>484</v>
      </c>
      <c r="G404" s="29" t="s">
        <v>137</v>
      </c>
      <c r="H404" s="126" t="s">
        <v>309</v>
      </c>
      <c r="I404" s="126"/>
      <c r="J404" s="126"/>
      <c r="K404" s="126"/>
      <c r="L404" s="126"/>
    </row>
    <row r="405" spans="1:12" ht="18" customHeight="1" x14ac:dyDescent="0.2">
      <c r="A405" s="93" t="s">
        <v>557</v>
      </c>
      <c r="B405" s="93" t="s">
        <v>406</v>
      </c>
      <c r="C405" s="36">
        <f>'Final Aircraft Checkouts'!C126</f>
        <v>7.9110739723372167E-2</v>
      </c>
      <c r="D405" s="93" t="s">
        <v>125</v>
      </c>
      <c r="E405" s="93" t="s">
        <v>137</v>
      </c>
      <c r="F405" s="93" t="s">
        <v>21</v>
      </c>
      <c r="G405" s="29" t="s">
        <v>550</v>
      </c>
      <c r="H405" s="127" t="s">
        <v>526</v>
      </c>
      <c r="I405" s="127"/>
      <c r="J405" s="127"/>
      <c r="K405" s="127"/>
      <c r="L405" s="127"/>
    </row>
    <row r="406" spans="1:12" ht="18" customHeight="1" x14ac:dyDescent="0.2">
      <c r="A406" s="91">
        <v>42000</v>
      </c>
      <c r="B406" s="93" t="s">
        <v>406</v>
      </c>
      <c r="C406" s="36">
        <f>'Final Aircraft Checkouts'!C127</f>
        <v>8.2995112625831605E-2</v>
      </c>
      <c r="D406" s="93" t="s">
        <v>125</v>
      </c>
      <c r="E406" s="93" t="s">
        <v>137</v>
      </c>
      <c r="F406" s="93" t="s">
        <v>21</v>
      </c>
      <c r="G406" s="29" t="s">
        <v>550</v>
      </c>
      <c r="H406" s="127" t="s">
        <v>526</v>
      </c>
      <c r="I406" s="127"/>
      <c r="J406" s="127"/>
      <c r="K406" s="127"/>
      <c r="L406" s="127"/>
    </row>
    <row r="407" spans="1:12" ht="18" customHeight="1" x14ac:dyDescent="0.2">
      <c r="A407" s="91">
        <v>43000</v>
      </c>
      <c r="B407" s="93" t="s">
        <v>406</v>
      </c>
      <c r="C407" s="36">
        <f>'Final Aircraft Checkouts'!C128</f>
        <v>8.7057582262912797E-2</v>
      </c>
      <c r="D407" s="93" t="s">
        <v>125</v>
      </c>
      <c r="E407" s="93" t="s">
        <v>137</v>
      </c>
      <c r="F407" s="93" t="s">
        <v>21</v>
      </c>
      <c r="G407" s="29" t="s">
        <v>550</v>
      </c>
      <c r="H407" s="127" t="s">
        <v>526</v>
      </c>
      <c r="I407" s="127"/>
      <c r="J407" s="127"/>
      <c r="K407" s="127"/>
      <c r="L407" s="127"/>
    </row>
    <row r="408" spans="1:12" ht="18" customHeight="1" x14ac:dyDescent="0.2">
      <c r="A408" s="91">
        <v>44000</v>
      </c>
      <c r="B408" s="93" t="s">
        <v>406</v>
      </c>
      <c r="C408" s="36">
        <f>'Final Aircraft Checkouts'!C129</f>
        <v>9.1330567327580409E-2</v>
      </c>
      <c r="D408" s="93" t="s">
        <v>125</v>
      </c>
      <c r="E408" s="93" t="s">
        <v>137</v>
      </c>
      <c r="F408" s="93" t="s">
        <v>21</v>
      </c>
      <c r="G408" s="29" t="s">
        <v>550</v>
      </c>
      <c r="H408" s="127" t="s">
        <v>526</v>
      </c>
      <c r="I408" s="127"/>
      <c r="J408" s="127"/>
      <c r="K408" s="127"/>
      <c r="L408" s="127"/>
    </row>
    <row r="409" spans="1:12" ht="18" customHeight="1" x14ac:dyDescent="0.2">
      <c r="A409" s="91">
        <v>45000</v>
      </c>
      <c r="B409" s="93" t="s">
        <v>406</v>
      </c>
      <c r="C409" s="36">
        <f>'Final Aircraft Checkouts'!C130</f>
        <v>9.5795353876581738E-2</v>
      </c>
      <c r="D409" s="93" t="s">
        <v>125</v>
      </c>
      <c r="E409" s="93" t="s">
        <v>137</v>
      </c>
      <c r="F409" s="93" t="s">
        <v>21</v>
      </c>
      <c r="G409" s="29" t="s">
        <v>550</v>
      </c>
      <c r="H409" s="127" t="s">
        <v>526</v>
      </c>
      <c r="I409" s="127"/>
      <c r="J409" s="127"/>
      <c r="K409" s="127"/>
      <c r="L409" s="127"/>
    </row>
    <row r="410" spans="1:12" ht="18" customHeight="1" x14ac:dyDescent="0.2">
      <c r="A410" s="91">
        <v>46000</v>
      </c>
      <c r="B410" s="93" t="s">
        <v>406</v>
      </c>
      <c r="C410" s="36">
        <f>'Final Aircraft Checkouts'!C131</f>
        <v>0.10049056523064157</v>
      </c>
      <c r="D410" s="93" t="s">
        <v>125</v>
      </c>
      <c r="E410" s="93" t="s">
        <v>137</v>
      </c>
      <c r="F410" s="93" t="s">
        <v>21</v>
      </c>
      <c r="G410" s="29" t="s">
        <v>550</v>
      </c>
      <c r="H410" s="127" t="s">
        <v>526</v>
      </c>
      <c r="I410" s="127"/>
      <c r="J410" s="127"/>
      <c r="K410" s="127"/>
      <c r="L410" s="127"/>
    </row>
    <row r="411" spans="1:12" ht="18" customHeight="1" x14ac:dyDescent="0.2">
      <c r="A411" s="91">
        <v>47000</v>
      </c>
      <c r="B411" s="93" t="s">
        <v>406</v>
      </c>
      <c r="C411" s="36">
        <f>'Final Aircraft Checkouts'!C132</f>
        <v>0.10541821494202271</v>
      </c>
      <c r="D411" s="93" t="s">
        <v>125</v>
      </c>
      <c r="E411" s="93" t="s">
        <v>137</v>
      </c>
      <c r="F411" s="93" t="s">
        <v>21</v>
      </c>
      <c r="G411" s="29" t="s">
        <v>550</v>
      </c>
      <c r="H411" s="127" t="s">
        <v>526</v>
      </c>
      <c r="I411" s="127"/>
      <c r="J411" s="127"/>
      <c r="K411" s="127"/>
      <c r="L411" s="127"/>
    </row>
    <row r="412" spans="1:12" ht="18" customHeight="1" x14ac:dyDescent="0.2">
      <c r="A412" s="91">
        <v>48000</v>
      </c>
      <c r="B412" s="93" t="s">
        <v>406</v>
      </c>
      <c r="C412" s="36">
        <f>'Final Aircraft Checkouts'!C133</f>
        <v>0.11057725866952246</v>
      </c>
      <c r="D412" s="93" t="s">
        <v>125</v>
      </c>
      <c r="E412" s="93" t="s">
        <v>137</v>
      </c>
      <c r="F412" s="93" t="s">
        <v>21</v>
      </c>
      <c r="G412" s="29" t="s">
        <v>550</v>
      </c>
      <c r="H412" s="127" t="s">
        <v>526</v>
      </c>
      <c r="I412" s="127"/>
      <c r="J412" s="127"/>
      <c r="K412" s="127"/>
      <c r="L412" s="127"/>
    </row>
    <row r="413" spans="1:12" ht="18" customHeight="1" x14ac:dyDescent="0.2">
      <c r="A413" s="91">
        <v>49000</v>
      </c>
      <c r="B413" s="93" t="s">
        <v>406</v>
      </c>
      <c r="C413" s="36">
        <f>'Final Aircraft Checkouts'!C134</f>
        <v>0.11602355802238339</v>
      </c>
      <c r="D413" s="93" t="s">
        <v>125</v>
      </c>
      <c r="E413" s="93" t="s">
        <v>137</v>
      </c>
      <c r="F413" s="93" t="s">
        <v>21</v>
      </c>
      <c r="G413" s="29" t="s">
        <v>550</v>
      </c>
      <c r="H413" s="127" t="s">
        <v>526</v>
      </c>
      <c r="I413" s="127"/>
      <c r="J413" s="127"/>
      <c r="K413" s="127"/>
      <c r="L413" s="127"/>
    </row>
    <row r="414" spans="1:12" ht="18" customHeight="1" x14ac:dyDescent="0.2">
      <c r="A414" s="93" t="s">
        <v>447</v>
      </c>
      <c r="B414" s="47" t="s">
        <v>448</v>
      </c>
      <c r="C414" s="48">
        <v>0.10158298411673315</v>
      </c>
      <c r="D414" s="93" t="s">
        <v>125</v>
      </c>
      <c r="E414" s="93" t="s">
        <v>137</v>
      </c>
      <c r="F414" s="93" t="s">
        <v>399</v>
      </c>
      <c r="G414" s="29" t="s">
        <v>137</v>
      </c>
      <c r="H414" s="127" t="s">
        <v>449</v>
      </c>
      <c r="I414" s="127"/>
      <c r="J414" s="127"/>
      <c r="K414" s="127"/>
      <c r="L414" s="127"/>
    </row>
    <row r="415" spans="1:12" ht="18" customHeight="1" x14ac:dyDescent="0.2">
      <c r="A415" s="93" t="s">
        <v>447</v>
      </c>
      <c r="B415" s="47" t="s">
        <v>448</v>
      </c>
      <c r="C415" s="48">
        <v>0.10158298411673315</v>
      </c>
      <c r="D415" s="93" t="s">
        <v>125</v>
      </c>
      <c r="E415" s="93" t="s">
        <v>137</v>
      </c>
      <c r="F415" s="93" t="s">
        <v>399</v>
      </c>
      <c r="G415" s="29" t="s">
        <v>137</v>
      </c>
      <c r="H415" s="127" t="s">
        <v>449</v>
      </c>
      <c r="I415" s="127"/>
      <c r="J415" s="127"/>
      <c r="K415" s="127"/>
      <c r="L415" s="127"/>
    </row>
    <row r="416" spans="1:12" ht="18" customHeight="1" x14ac:dyDescent="0.2">
      <c r="A416" s="93" t="s">
        <v>447</v>
      </c>
      <c r="B416" s="47" t="s">
        <v>448</v>
      </c>
      <c r="C416" s="48">
        <v>0.10158298411673315</v>
      </c>
      <c r="D416" s="93" t="s">
        <v>125</v>
      </c>
      <c r="E416" s="93" t="s">
        <v>137</v>
      </c>
      <c r="F416" s="93" t="s">
        <v>399</v>
      </c>
      <c r="G416" s="29" t="s">
        <v>137</v>
      </c>
      <c r="H416" s="127" t="s">
        <v>449</v>
      </c>
      <c r="I416" s="127"/>
      <c r="J416" s="127"/>
      <c r="K416" s="127"/>
      <c r="L416" s="127"/>
    </row>
    <row r="417" spans="1:12" ht="18" customHeight="1" x14ac:dyDescent="0.2">
      <c r="A417" s="93" t="s">
        <v>447</v>
      </c>
      <c r="B417" s="47" t="s">
        <v>448</v>
      </c>
      <c r="C417" s="48">
        <v>0.10158298411673315</v>
      </c>
      <c r="D417" s="93" t="s">
        <v>125</v>
      </c>
      <c r="E417" s="93" t="s">
        <v>137</v>
      </c>
      <c r="F417" s="93" t="s">
        <v>399</v>
      </c>
      <c r="G417" s="29" t="s">
        <v>137</v>
      </c>
      <c r="H417" s="127" t="s">
        <v>449</v>
      </c>
      <c r="I417" s="127"/>
      <c r="J417" s="127"/>
      <c r="K417" s="127"/>
      <c r="L417" s="127"/>
    </row>
    <row r="418" spans="1:12" ht="18" customHeight="1" x14ac:dyDescent="0.2">
      <c r="A418" s="93" t="s">
        <v>447</v>
      </c>
      <c r="B418" s="47" t="s">
        <v>448</v>
      </c>
      <c r="C418" s="48">
        <v>0.10158298411673315</v>
      </c>
      <c r="D418" s="93" t="s">
        <v>125</v>
      </c>
      <c r="E418" s="93" t="s">
        <v>137</v>
      </c>
      <c r="F418" s="93" t="s">
        <v>399</v>
      </c>
      <c r="G418" s="29" t="s">
        <v>137</v>
      </c>
      <c r="H418" s="127" t="s">
        <v>449</v>
      </c>
      <c r="I418" s="127"/>
      <c r="J418" s="127"/>
      <c r="K418" s="127"/>
      <c r="L418" s="127"/>
    </row>
    <row r="419" spans="1:12" ht="18" customHeight="1" x14ac:dyDescent="0.2">
      <c r="A419" s="93" t="s">
        <v>447</v>
      </c>
      <c r="B419" s="47" t="s">
        <v>448</v>
      </c>
      <c r="C419" s="48">
        <v>0.10158298411673315</v>
      </c>
      <c r="D419" s="93" t="s">
        <v>125</v>
      </c>
      <c r="E419" s="93" t="s">
        <v>137</v>
      </c>
      <c r="F419" s="93" t="s">
        <v>399</v>
      </c>
      <c r="G419" s="29" t="s">
        <v>137</v>
      </c>
      <c r="H419" s="127" t="s">
        <v>449</v>
      </c>
      <c r="I419" s="127"/>
      <c r="J419" s="127"/>
      <c r="K419" s="127"/>
      <c r="L419" s="127"/>
    </row>
    <row r="420" spans="1:12" ht="18" customHeight="1" x14ac:dyDescent="0.2">
      <c r="A420" s="93" t="s">
        <v>447</v>
      </c>
      <c r="B420" s="47" t="s">
        <v>448</v>
      </c>
      <c r="C420" s="48">
        <v>0.10158298411673315</v>
      </c>
      <c r="D420" s="93" t="s">
        <v>125</v>
      </c>
      <c r="E420" s="93" t="s">
        <v>137</v>
      </c>
      <c r="F420" s="93" t="s">
        <v>399</v>
      </c>
      <c r="G420" s="29" t="s">
        <v>137</v>
      </c>
      <c r="H420" s="127" t="s">
        <v>449</v>
      </c>
      <c r="I420" s="127"/>
      <c r="J420" s="127"/>
      <c r="K420" s="127"/>
      <c r="L420" s="127"/>
    </row>
    <row r="421" spans="1:12" ht="18" customHeight="1" x14ac:dyDescent="0.2">
      <c r="A421" s="93" t="s">
        <v>447</v>
      </c>
      <c r="B421" s="47" t="s">
        <v>448</v>
      </c>
      <c r="C421" s="48">
        <v>0.10158298411673315</v>
      </c>
      <c r="D421" s="93" t="s">
        <v>125</v>
      </c>
      <c r="E421" s="93" t="s">
        <v>137</v>
      </c>
      <c r="F421" s="93" t="s">
        <v>399</v>
      </c>
      <c r="G421" s="29" t="s">
        <v>137</v>
      </c>
      <c r="H421" s="127" t="s">
        <v>449</v>
      </c>
      <c r="I421" s="127"/>
      <c r="J421" s="127"/>
      <c r="K421" s="127"/>
      <c r="L421" s="127"/>
    </row>
    <row r="422" spans="1:12" ht="18" customHeight="1" x14ac:dyDescent="0.2">
      <c r="A422" s="93" t="s">
        <v>447</v>
      </c>
      <c r="B422" s="47" t="s">
        <v>448</v>
      </c>
      <c r="C422" s="48">
        <v>0.10158298411673315</v>
      </c>
      <c r="D422" s="93" t="s">
        <v>125</v>
      </c>
      <c r="E422" s="93" t="s">
        <v>137</v>
      </c>
      <c r="F422" s="93" t="s">
        <v>399</v>
      </c>
      <c r="G422" s="29" t="s">
        <v>137</v>
      </c>
      <c r="H422" s="127" t="s">
        <v>449</v>
      </c>
      <c r="I422" s="127"/>
      <c r="J422" s="127"/>
      <c r="K422" s="127"/>
      <c r="L422" s="127"/>
    </row>
    <row r="423" spans="1:12" ht="18" customHeight="1" x14ac:dyDescent="0.2">
      <c r="A423" s="93" t="s">
        <v>558</v>
      </c>
      <c r="B423" s="93" t="s">
        <v>436</v>
      </c>
      <c r="C423" s="36">
        <f xml:space="preserve"> ABS((C405-CFD!$B$26)/(CFD!$B$27-CFD!$B$26)*(CFD!$A$27-CFD!$A$26) + CFD!$A$26)*PI()/180</f>
        <v>2.9603601951030123E-2</v>
      </c>
      <c r="D423" s="93" t="s">
        <v>125</v>
      </c>
      <c r="E423" s="93" t="s">
        <v>407</v>
      </c>
      <c r="F423" s="93" t="s">
        <v>21</v>
      </c>
      <c r="G423" s="29" t="s">
        <v>550</v>
      </c>
      <c r="H423" s="127" t="s">
        <v>526</v>
      </c>
      <c r="I423" s="127"/>
      <c r="J423" s="127"/>
      <c r="K423" s="127"/>
      <c r="L423" s="127"/>
    </row>
    <row r="424" spans="1:12" ht="18" customHeight="1" x14ac:dyDescent="0.2">
      <c r="A424" s="91">
        <v>42000</v>
      </c>
      <c r="B424" s="93" t="s">
        <v>436</v>
      </c>
      <c r="C424" s="36">
        <f xml:space="preserve"> ABS((C406-CFD!$B$26)/(CFD!$B$27-CFD!$B$26)*(CFD!$A$27-CFD!$A$26) + CFD!$A$26)*PI()/180</f>
        <v>3.1055317080005838E-2</v>
      </c>
      <c r="D424" s="93"/>
      <c r="E424" s="93" t="s">
        <v>407</v>
      </c>
      <c r="F424" s="93" t="s">
        <v>21</v>
      </c>
      <c r="G424" s="29" t="s">
        <v>550</v>
      </c>
      <c r="H424" s="127" t="s">
        <v>526</v>
      </c>
      <c r="I424" s="127"/>
      <c r="J424" s="127"/>
      <c r="K424" s="127"/>
      <c r="L424" s="127"/>
    </row>
    <row r="425" spans="1:12" ht="18" customHeight="1" x14ac:dyDescent="0.2">
      <c r="A425" s="91">
        <v>43000</v>
      </c>
      <c r="B425" s="93" t="s">
        <v>436</v>
      </c>
      <c r="C425" s="36">
        <f xml:space="preserve"> ABS((C407-CFD!$B$26)/(CFD!$B$27-CFD!$B$26)*(CFD!$A$27-CFD!$A$26) + CFD!$A$26)*PI()/180</f>
        <v>3.2573592688771705E-2</v>
      </c>
      <c r="D425" s="93"/>
      <c r="E425" s="93" t="s">
        <v>407</v>
      </c>
      <c r="F425" s="93" t="s">
        <v>21</v>
      </c>
      <c r="G425" s="29" t="s">
        <v>550</v>
      </c>
      <c r="H425" s="127" t="s">
        <v>526</v>
      </c>
      <c r="I425" s="127"/>
      <c r="J425" s="127"/>
      <c r="K425" s="127"/>
      <c r="L425" s="127"/>
    </row>
    <row r="426" spans="1:12" ht="18" customHeight="1" x14ac:dyDescent="0.2">
      <c r="A426" s="91">
        <v>44000</v>
      </c>
      <c r="B426" s="93" t="s">
        <v>436</v>
      </c>
      <c r="C426" s="36">
        <f xml:space="preserve"> ABS((C408-CFD!$B$26)/(CFD!$B$27-CFD!$B$26)*(CFD!$A$27-CFD!$A$26) + CFD!$A$26)*PI()/180</f>
        <v>3.4170544685923579E-2</v>
      </c>
      <c r="D426" s="93"/>
      <c r="E426" s="93" t="s">
        <v>407</v>
      </c>
      <c r="F426" s="93" t="s">
        <v>21</v>
      </c>
      <c r="G426" s="29" t="s">
        <v>550</v>
      </c>
      <c r="H426" s="127" t="s">
        <v>526</v>
      </c>
      <c r="I426" s="127"/>
      <c r="J426" s="127"/>
      <c r="K426" s="127"/>
      <c r="L426" s="127"/>
    </row>
    <row r="427" spans="1:12" ht="18" customHeight="1" x14ac:dyDescent="0.2">
      <c r="A427" s="91">
        <v>45000</v>
      </c>
      <c r="B427" s="93" t="s">
        <v>436</v>
      </c>
      <c r="C427" s="36">
        <f xml:space="preserve"> ABS((C409-CFD!$B$26)/(CFD!$B$27-CFD!$B$26)*(CFD!$A$27-CFD!$A$26) + CFD!$A$26)*PI()/180</f>
        <v>3.5839179068767872E-2</v>
      </c>
      <c r="D427" s="93"/>
      <c r="E427" s="93" t="s">
        <v>407</v>
      </c>
      <c r="F427" s="93" t="s">
        <v>21</v>
      </c>
      <c r="G427" s="29" t="s">
        <v>550</v>
      </c>
      <c r="H427" s="127" t="s">
        <v>526</v>
      </c>
      <c r="I427" s="127"/>
      <c r="J427" s="127"/>
      <c r="K427" s="127"/>
      <c r="L427" s="127"/>
    </row>
    <row r="428" spans="1:12" ht="18" customHeight="1" x14ac:dyDescent="0.2">
      <c r="A428" s="91">
        <v>46000</v>
      </c>
      <c r="B428" s="93" t="s">
        <v>436</v>
      </c>
      <c r="C428" s="36">
        <f xml:space="preserve"> ABS((C410-CFD!$B$26)/(CFD!$B$27-CFD!$B$26)*(CFD!$A$27-CFD!$A$26) + CFD!$A$26)*PI()/180</f>
        <v>3.7593930614921299E-2</v>
      </c>
      <c r="D428" s="93"/>
      <c r="E428" s="93" t="s">
        <v>407</v>
      </c>
      <c r="F428" s="93" t="s">
        <v>21</v>
      </c>
      <c r="G428" s="29" t="s">
        <v>550</v>
      </c>
      <c r="H428" s="127" t="s">
        <v>526</v>
      </c>
      <c r="I428" s="127"/>
      <c r="J428" s="127"/>
      <c r="K428" s="127"/>
      <c r="L428" s="127"/>
    </row>
    <row r="429" spans="1:12" ht="18" customHeight="1" x14ac:dyDescent="0.2">
      <c r="A429" s="91">
        <v>47000</v>
      </c>
      <c r="B429" s="93" t="s">
        <v>436</v>
      </c>
      <c r="C429" s="36">
        <f xml:space="preserve"> ABS((C411-CFD!$B$26)/(CFD!$B$27-CFD!$B$26)*(CFD!$A$27-CFD!$A$26) + CFD!$A$26)*PI()/180</f>
        <v>3.9435551853648262E-2</v>
      </c>
      <c r="D429" s="93"/>
      <c r="E429" s="93" t="s">
        <v>407</v>
      </c>
      <c r="F429" s="93" t="s">
        <v>21</v>
      </c>
      <c r="G429" s="29" t="s">
        <v>550</v>
      </c>
      <c r="H429" s="127" t="s">
        <v>526</v>
      </c>
      <c r="I429" s="127"/>
      <c r="J429" s="127"/>
      <c r="K429" s="127"/>
      <c r="L429" s="127"/>
    </row>
    <row r="430" spans="1:12" ht="18" customHeight="1" x14ac:dyDescent="0.2">
      <c r="A430" s="91">
        <v>48000</v>
      </c>
      <c r="B430" s="93" t="s">
        <v>436</v>
      </c>
      <c r="C430" s="36">
        <f xml:space="preserve"> ABS((C412-CFD!$B$26)/(CFD!$B$27-CFD!$B$26)*(CFD!$A$27-CFD!$A$26) + CFD!$A$26)*PI()/180</f>
        <v>4.1363652481040805E-2</v>
      </c>
      <c r="D430" s="93"/>
      <c r="E430" s="93" t="s">
        <v>407</v>
      </c>
      <c r="F430" s="93" t="s">
        <v>21</v>
      </c>
      <c r="G430" s="29" t="s">
        <v>550</v>
      </c>
      <c r="H430" s="127" t="s">
        <v>526</v>
      </c>
      <c r="I430" s="127"/>
      <c r="J430" s="127"/>
      <c r="K430" s="127"/>
      <c r="L430" s="127"/>
    </row>
    <row r="431" spans="1:12" ht="18" customHeight="1" x14ac:dyDescent="0.2">
      <c r="A431" s="91">
        <v>49000</v>
      </c>
      <c r="B431" s="93" t="s">
        <v>436</v>
      </c>
      <c r="C431" s="36">
        <f xml:space="preserve"> ABS((C413-CFD!$B$26)/(CFD!$B$27-CFD!$B$26)*(CFD!$A$27-CFD!$A$26) + CFD!$A$26)*PI()/180</f>
        <v>4.3399109777757287E-2</v>
      </c>
      <c r="D431" s="93"/>
      <c r="E431" s="93" t="s">
        <v>407</v>
      </c>
      <c r="F431" s="93" t="s">
        <v>21</v>
      </c>
      <c r="G431" s="29" t="s">
        <v>550</v>
      </c>
      <c r="H431" s="127" t="s">
        <v>526</v>
      </c>
      <c r="I431" s="127"/>
      <c r="J431" s="127"/>
      <c r="K431" s="127"/>
      <c r="L431" s="127"/>
    </row>
    <row r="432" spans="1:12" ht="18" customHeight="1" x14ac:dyDescent="0.2">
      <c r="A432" s="93" t="s">
        <v>560</v>
      </c>
      <c r="B432" s="47" t="s">
        <v>481</v>
      </c>
      <c r="C432" s="48">
        <f>C414/C450</f>
        <v>3.8012818958651974E-2</v>
      </c>
      <c r="D432" s="93" t="s">
        <v>125</v>
      </c>
      <c r="E432" s="93" t="s">
        <v>407</v>
      </c>
      <c r="F432" s="93" t="s">
        <v>21</v>
      </c>
      <c r="G432" s="29" t="s">
        <v>482</v>
      </c>
      <c r="H432" s="127" t="s">
        <v>483</v>
      </c>
      <c r="I432" s="127"/>
      <c r="J432" s="127"/>
      <c r="K432" s="127"/>
      <c r="L432" s="127"/>
    </row>
    <row r="433" spans="1:12" ht="18" customHeight="1" x14ac:dyDescent="0.2">
      <c r="A433" s="91">
        <v>42000</v>
      </c>
      <c r="B433" s="47" t="s">
        <v>481</v>
      </c>
      <c r="C433" s="48">
        <f t="shared" ref="C433:C440" si="16">C415/C451</f>
        <v>3.8010572934585922E-2</v>
      </c>
      <c r="D433" s="93" t="s">
        <v>125</v>
      </c>
      <c r="E433" s="93" t="s">
        <v>407</v>
      </c>
      <c r="F433" s="93" t="s">
        <v>21</v>
      </c>
      <c r="G433" s="29" t="s">
        <v>482</v>
      </c>
      <c r="H433" s="127" t="s">
        <v>483</v>
      </c>
      <c r="I433" s="127"/>
      <c r="J433" s="127"/>
      <c r="K433" s="127"/>
      <c r="L433" s="127"/>
    </row>
    <row r="434" spans="1:12" ht="18" customHeight="1" x14ac:dyDescent="0.2">
      <c r="A434" s="91">
        <v>43000</v>
      </c>
      <c r="B434" s="47" t="s">
        <v>481</v>
      </c>
      <c r="C434" s="48">
        <f t="shared" si="16"/>
        <v>3.8008438354462062E-2</v>
      </c>
      <c r="D434" s="93" t="s">
        <v>125</v>
      </c>
      <c r="E434" s="93" t="s">
        <v>407</v>
      </c>
      <c r="F434" s="93" t="s">
        <v>21</v>
      </c>
      <c r="G434" s="29" t="s">
        <v>482</v>
      </c>
      <c r="H434" s="127" t="s">
        <v>483</v>
      </c>
      <c r="I434" s="127"/>
      <c r="J434" s="127"/>
      <c r="K434" s="127"/>
      <c r="L434" s="127"/>
    </row>
    <row r="435" spans="1:12" ht="18" customHeight="1" x14ac:dyDescent="0.2">
      <c r="A435" s="91">
        <v>44000</v>
      </c>
      <c r="B435" s="47" t="s">
        <v>481</v>
      </c>
      <c r="C435" s="48">
        <f t="shared" si="16"/>
        <v>3.8006398073058542E-2</v>
      </c>
      <c r="D435" s="93" t="s">
        <v>125</v>
      </c>
      <c r="E435" s="93" t="s">
        <v>407</v>
      </c>
      <c r="F435" s="93" t="s">
        <v>21</v>
      </c>
      <c r="G435" s="29" t="s">
        <v>482</v>
      </c>
      <c r="H435" s="127" t="s">
        <v>483</v>
      </c>
      <c r="I435" s="127"/>
      <c r="J435" s="127"/>
      <c r="K435" s="127"/>
      <c r="L435" s="127"/>
    </row>
    <row r="436" spans="1:12" ht="18" customHeight="1" x14ac:dyDescent="0.2">
      <c r="A436" s="91">
        <v>45000</v>
      </c>
      <c r="B436" s="47" t="s">
        <v>481</v>
      </c>
      <c r="C436" s="48">
        <f t="shared" si="16"/>
        <v>3.8004460662986295E-2</v>
      </c>
      <c r="D436" s="93" t="s">
        <v>125</v>
      </c>
      <c r="E436" s="93" t="s">
        <v>407</v>
      </c>
      <c r="F436" s="93" t="s">
        <v>21</v>
      </c>
      <c r="G436" s="29" t="s">
        <v>482</v>
      </c>
      <c r="H436" s="127" t="s">
        <v>483</v>
      </c>
      <c r="I436" s="127"/>
      <c r="J436" s="127"/>
      <c r="K436" s="127"/>
      <c r="L436" s="127"/>
    </row>
    <row r="437" spans="1:12" ht="18" customHeight="1" x14ac:dyDescent="0.2">
      <c r="A437" s="91">
        <v>46000</v>
      </c>
      <c r="B437" s="47" t="s">
        <v>481</v>
      </c>
      <c r="C437" s="48">
        <f t="shared" si="16"/>
        <v>3.8002608979023425E-2</v>
      </c>
      <c r="D437" s="93" t="s">
        <v>125</v>
      </c>
      <c r="E437" s="93" t="s">
        <v>407</v>
      </c>
      <c r="F437" s="93" t="s">
        <v>21</v>
      </c>
      <c r="G437" s="29" t="s">
        <v>482</v>
      </c>
      <c r="H437" s="127" t="s">
        <v>483</v>
      </c>
      <c r="I437" s="127"/>
      <c r="J437" s="127"/>
      <c r="K437" s="127"/>
      <c r="L437" s="127"/>
    </row>
    <row r="438" spans="1:12" ht="18" customHeight="1" x14ac:dyDescent="0.2">
      <c r="A438" s="91">
        <v>47000</v>
      </c>
      <c r="B438" s="47" t="s">
        <v>481</v>
      </c>
      <c r="C438" s="48">
        <f t="shared" si="16"/>
        <v>3.8000843021169954E-2</v>
      </c>
      <c r="D438" s="93" t="s">
        <v>125</v>
      </c>
      <c r="E438" s="93" t="s">
        <v>407</v>
      </c>
      <c r="F438" s="93" t="s">
        <v>21</v>
      </c>
      <c r="G438" s="29" t="s">
        <v>482</v>
      </c>
      <c r="H438" s="127" t="s">
        <v>483</v>
      </c>
      <c r="I438" s="127"/>
      <c r="J438" s="127"/>
      <c r="K438" s="127"/>
      <c r="L438" s="127"/>
    </row>
    <row r="439" spans="1:12" ht="18" customHeight="1" x14ac:dyDescent="0.2">
      <c r="A439" s="91">
        <v>48000</v>
      </c>
      <c r="B439" s="47" t="s">
        <v>481</v>
      </c>
      <c r="C439" s="48">
        <f t="shared" si="16"/>
        <v>3.7999162789425875E-2</v>
      </c>
      <c r="D439" s="93" t="s">
        <v>125</v>
      </c>
      <c r="E439" s="93" t="s">
        <v>407</v>
      </c>
      <c r="F439" s="93" t="s">
        <v>21</v>
      </c>
      <c r="G439" s="29" t="s">
        <v>482</v>
      </c>
      <c r="H439" s="127" t="s">
        <v>483</v>
      </c>
      <c r="I439" s="127"/>
      <c r="J439" s="127"/>
      <c r="K439" s="127"/>
      <c r="L439" s="127"/>
    </row>
    <row r="440" spans="1:12" ht="18" customHeight="1" x14ac:dyDescent="0.2">
      <c r="A440" s="91">
        <v>49000</v>
      </c>
      <c r="B440" s="47" t="s">
        <v>481</v>
      </c>
      <c r="C440" s="48">
        <f t="shared" si="16"/>
        <v>3.7997551138569313E-2</v>
      </c>
      <c r="D440" s="93" t="s">
        <v>125</v>
      </c>
      <c r="E440" s="93" t="s">
        <v>407</v>
      </c>
      <c r="F440" s="93" t="s">
        <v>21</v>
      </c>
      <c r="G440" s="29" t="s">
        <v>482</v>
      </c>
      <c r="H440" s="127" t="s">
        <v>483</v>
      </c>
      <c r="I440" s="127"/>
      <c r="J440" s="127"/>
      <c r="K440" s="127"/>
      <c r="L440" s="127"/>
    </row>
    <row r="441" spans="1:12" ht="18" customHeight="1" x14ac:dyDescent="0.2">
      <c r="A441" s="93" t="s">
        <v>559</v>
      </c>
      <c r="B441" s="93" t="s">
        <v>420</v>
      </c>
      <c r="C441" s="36">
        <f t="shared" ref="C441:C449" si="17">C405/C423</f>
        <v>2.672334935939082</v>
      </c>
      <c r="D441" s="93" t="s">
        <v>125</v>
      </c>
      <c r="E441" s="93" t="s">
        <v>421</v>
      </c>
      <c r="F441" s="93" t="s">
        <v>21</v>
      </c>
      <c r="G441" s="29" t="s">
        <v>422</v>
      </c>
      <c r="H441" s="110" t="s">
        <v>423</v>
      </c>
      <c r="I441" s="110"/>
      <c r="J441" s="110"/>
      <c r="K441" s="110"/>
      <c r="L441" s="110"/>
    </row>
    <row r="442" spans="1:12" ht="18" customHeight="1" x14ac:dyDescent="0.2">
      <c r="A442" s="91">
        <v>42000</v>
      </c>
      <c r="B442" s="93" t="s">
        <v>420</v>
      </c>
      <c r="C442" s="36">
        <f t="shared" si="17"/>
        <v>2.6724928427559305</v>
      </c>
      <c r="D442" s="93" t="s">
        <v>125</v>
      </c>
      <c r="E442" s="93" t="s">
        <v>421</v>
      </c>
      <c r="F442" s="93" t="s">
        <v>21</v>
      </c>
      <c r="G442" s="29" t="s">
        <v>422</v>
      </c>
      <c r="H442" s="110" t="s">
        <v>423</v>
      </c>
      <c r="I442" s="110"/>
      <c r="J442" s="110"/>
      <c r="K442" s="110"/>
      <c r="L442" s="110"/>
    </row>
    <row r="443" spans="1:12" ht="18" customHeight="1" x14ac:dyDescent="0.2">
      <c r="A443" s="91">
        <v>43000</v>
      </c>
      <c r="B443" s="93" t="s">
        <v>420</v>
      </c>
      <c r="C443" s="36">
        <f t="shared" si="17"/>
        <v>2.6726429317980029</v>
      </c>
      <c r="D443" s="93" t="s">
        <v>125</v>
      </c>
      <c r="E443" s="93" t="s">
        <v>421</v>
      </c>
      <c r="F443" s="93" t="s">
        <v>21</v>
      </c>
      <c r="G443" s="29" t="s">
        <v>422</v>
      </c>
      <c r="H443" s="110" t="s">
        <v>423</v>
      </c>
      <c r="I443" s="110"/>
      <c r="J443" s="110"/>
      <c r="K443" s="110"/>
      <c r="L443" s="110"/>
    </row>
    <row r="444" spans="1:12" ht="18" customHeight="1" x14ac:dyDescent="0.2">
      <c r="A444" s="91">
        <v>44000</v>
      </c>
      <c r="B444" s="93" t="s">
        <v>420</v>
      </c>
      <c r="C444" s="36">
        <f t="shared" si="17"/>
        <v>2.6727864061588598</v>
      </c>
      <c r="D444" s="93" t="s">
        <v>125</v>
      </c>
      <c r="E444" s="93" t="s">
        <v>421</v>
      </c>
      <c r="F444" s="93" t="s">
        <v>21</v>
      </c>
      <c r="G444" s="29" t="s">
        <v>422</v>
      </c>
      <c r="H444" s="110" t="s">
        <v>423</v>
      </c>
      <c r="I444" s="110"/>
      <c r="J444" s="110"/>
      <c r="K444" s="110"/>
      <c r="L444" s="110"/>
    </row>
    <row r="445" spans="1:12" ht="18" customHeight="1" x14ac:dyDescent="0.2">
      <c r="A445" s="91">
        <v>45000</v>
      </c>
      <c r="B445" s="93" t="s">
        <v>420</v>
      </c>
      <c r="C445" s="36">
        <f t="shared" si="17"/>
        <v>2.672922660777763</v>
      </c>
      <c r="D445" s="93" t="s">
        <v>125</v>
      </c>
      <c r="E445" s="93" t="s">
        <v>421</v>
      </c>
      <c r="F445" s="93" t="s">
        <v>21</v>
      </c>
      <c r="G445" s="29" t="s">
        <v>422</v>
      </c>
      <c r="H445" s="110" t="s">
        <v>423</v>
      </c>
      <c r="I445" s="110"/>
      <c r="J445" s="110"/>
      <c r="K445" s="110"/>
      <c r="L445" s="110"/>
    </row>
    <row r="446" spans="1:12" ht="18" customHeight="1" x14ac:dyDescent="0.2">
      <c r="A446" s="91">
        <v>46000</v>
      </c>
      <c r="B446" s="93" t="s">
        <v>420</v>
      </c>
      <c r="C446" s="36">
        <f t="shared" si="17"/>
        <v>2.673052899415528</v>
      </c>
      <c r="D446" s="93" t="s">
        <v>125</v>
      </c>
      <c r="E446" s="93" t="s">
        <v>421</v>
      </c>
      <c r="F446" s="93" t="s">
        <v>21</v>
      </c>
      <c r="G446" s="29" t="s">
        <v>422</v>
      </c>
      <c r="H446" s="110" t="s">
        <v>423</v>
      </c>
      <c r="I446" s="110"/>
      <c r="J446" s="110"/>
      <c r="K446" s="110"/>
      <c r="L446" s="110"/>
    </row>
    <row r="447" spans="1:12" ht="18" customHeight="1" x14ac:dyDescent="0.2">
      <c r="A447" s="91">
        <v>47000</v>
      </c>
      <c r="B447" s="93" t="s">
        <v>420</v>
      </c>
      <c r="C447" s="36">
        <f t="shared" si="17"/>
        <v>2.6731771203113075</v>
      </c>
      <c r="D447" s="93" t="s">
        <v>125</v>
      </c>
      <c r="E447" s="93" t="s">
        <v>421</v>
      </c>
      <c r="F447" s="93" t="s">
        <v>21</v>
      </c>
      <c r="G447" s="29" t="s">
        <v>422</v>
      </c>
      <c r="H447" s="110" t="s">
        <v>423</v>
      </c>
      <c r="I447" s="110"/>
      <c r="J447" s="110"/>
      <c r="K447" s="110"/>
      <c r="L447" s="110"/>
    </row>
    <row r="448" spans="1:12" ht="18" customHeight="1" x14ac:dyDescent="0.2">
      <c r="A448" s="91">
        <v>48000</v>
      </c>
      <c r="B448" s="93" t="s">
        <v>420</v>
      </c>
      <c r="C448" s="36">
        <f t="shared" si="17"/>
        <v>2.6732953217853765</v>
      </c>
      <c r="D448" s="93" t="s">
        <v>125</v>
      </c>
      <c r="E448" s="93" t="s">
        <v>421</v>
      </c>
      <c r="F448" s="93" t="s">
        <v>21</v>
      </c>
      <c r="G448" s="29" t="s">
        <v>422</v>
      </c>
      <c r="H448" s="110" t="s">
        <v>423</v>
      </c>
      <c r="I448" s="110"/>
      <c r="J448" s="110"/>
      <c r="K448" s="110"/>
      <c r="L448" s="110"/>
    </row>
    <row r="449" spans="1:12" ht="18" customHeight="1" x14ac:dyDescent="0.2">
      <c r="A449" s="91">
        <v>49000</v>
      </c>
      <c r="B449" s="93" t="s">
        <v>420</v>
      </c>
      <c r="C449" s="36">
        <f t="shared" si="17"/>
        <v>2.6734087085317877</v>
      </c>
      <c r="D449" s="93" t="s">
        <v>125</v>
      </c>
      <c r="E449" s="93" t="s">
        <v>421</v>
      </c>
      <c r="F449" s="93" t="s">
        <v>21</v>
      </c>
      <c r="G449" s="29" t="s">
        <v>422</v>
      </c>
      <c r="H449" s="110" t="s">
        <v>423</v>
      </c>
      <c r="I449" s="110"/>
      <c r="J449" s="110"/>
      <c r="K449" s="110"/>
      <c r="L449" s="110"/>
    </row>
    <row r="450" spans="1:12" ht="18" customHeight="1" x14ac:dyDescent="0.2">
      <c r="A450" s="93" t="s">
        <v>425</v>
      </c>
      <c r="B450" s="93" t="s">
        <v>426</v>
      </c>
      <c r="C450" s="36">
        <f>C441</f>
        <v>2.672334935939082</v>
      </c>
      <c r="D450" s="93" t="s">
        <v>125</v>
      </c>
      <c r="E450" s="93" t="s">
        <v>421</v>
      </c>
      <c r="F450" s="93" t="s">
        <v>21</v>
      </c>
      <c r="G450" s="29" t="s">
        <v>427</v>
      </c>
      <c r="H450" s="110" t="s">
        <v>428</v>
      </c>
      <c r="I450" s="110"/>
      <c r="J450" s="110"/>
      <c r="K450" s="110"/>
      <c r="L450" s="110"/>
    </row>
    <row r="451" spans="1:12" ht="18" customHeight="1" x14ac:dyDescent="0.2">
      <c r="A451" s="91">
        <v>42000</v>
      </c>
      <c r="B451" s="93" t="s">
        <v>426</v>
      </c>
      <c r="C451" s="36">
        <f t="shared" ref="C451:C458" si="18">C442</f>
        <v>2.6724928427559305</v>
      </c>
      <c r="D451" s="93" t="s">
        <v>125</v>
      </c>
      <c r="E451" s="93" t="s">
        <v>421</v>
      </c>
      <c r="F451" s="93" t="s">
        <v>21</v>
      </c>
      <c r="G451" s="29" t="s">
        <v>427</v>
      </c>
      <c r="H451" s="110" t="s">
        <v>428</v>
      </c>
      <c r="I451" s="110"/>
      <c r="J451" s="110"/>
      <c r="K451" s="110"/>
      <c r="L451" s="110"/>
    </row>
    <row r="452" spans="1:12" ht="18" customHeight="1" x14ac:dyDescent="0.2">
      <c r="A452" s="91">
        <v>43000</v>
      </c>
      <c r="B452" s="93" t="s">
        <v>426</v>
      </c>
      <c r="C452" s="36">
        <f t="shared" si="18"/>
        <v>2.6726429317980029</v>
      </c>
      <c r="D452" s="93" t="s">
        <v>125</v>
      </c>
      <c r="E452" s="93" t="s">
        <v>421</v>
      </c>
      <c r="F452" s="93" t="s">
        <v>21</v>
      </c>
      <c r="G452" s="29" t="s">
        <v>427</v>
      </c>
      <c r="H452" s="110" t="s">
        <v>428</v>
      </c>
      <c r="I452" s="110"/>
      <c r="J452" s="110"/>
      <c r="K452" s="110"/>
      <c r="L452" s="110"/>
    </row>
    <row r="453" spans="1:12" ht="18" customHeight="1" x14ac:dyDescent="0.2">
      <c r="A453" s="91">
        <v>44000</v>
      </c>
      <c r="B453" s="93" t="s">
        <v>426</v>
      </c>
      <c r="C453" s="36">
        <f t="shared" si="18"/>
        <v>2.6727864061588598</v>
      </c>
      <c r="D453" s="93" t="s">
        <v>125</v>
      </c>
      <c r="E453" s="93" t="s">
        <v>421</v>
      </c>
      <c r="F453" s="93" t="s">
        <v>21</v>
      </c>
      <c r="G453" s="29" t="s">
        <v>427</v>
      </c>
      <c r="H453" s="110" t="s">
        <v>428</v>
      </c>
      <c r="I453" s="110"/>
      <c r="J453" s="110"/>
      <c r="K453" s="110"/>
      <c r="L453" s="110"/>
    </row>
    <row r="454" spans="1:12" ht="18" customHeight="1" x14ac:dyDescent="0.2">
      <c r="A454" s="91">
        <v>45000</v>
      </c>
      <c r="B454" s="93" t="s">
        <v>426</v>
      </c>
      <c r="C454" s="36">
        <f t="shared" si="18"/>
        <v>2.672922660777763</v>
      </c>
      <c r="D454" s="93" t="s">
        <v>125</v>
      </c>
      <c r="E454" s="93" t="s">
        <v>421</v>
      </c>
      <c r="F454" s="93" t="s">
        <v>21</v>
      </c>
      <c r="G454" s="29" t="s">
        <v>427</v>
      </c>
      <c r="H454" s="110" t="s">
        <v>428</v>
      </c>
      <c r="I454" s="110"/>
      <c r="J454" s="110"/>
      <c r="K454" s="110"/>
      <c r="L454" s="110"/>
    </row>
    <row r="455" spans="1:12" ht="18" customHeight="1" x14ac:dyDescent="0.2">
      <c r="A455" s="91">
        <v>46000</v>
      </c>
      <c r="B455" s="93" t="s">
        <v>426</v>
      </c>
      <c r="C455" s="36">
        <f t="shared" si="18"/>
        <v>2.673052899415528</v>
      </c>
      <c r="D455" s="93" t="s">
        <v>125</v>
      </c>
      <c r="E455" s="93" t="s">
        <v>421</v>
      </c>
      <c r="F455" s="93" t="s">
        <v>21</v>
      </c>
      <c r="G455" s="29" t="s">
        <v>427</v>
      </c>
      <c r="H455" s="110" t="s">
        <v>428</v>
      </c>
      <c r="I455" s="110"/>
      <c r="J455" s="110"/>
      <c r="K455" s="110"/>
      <c r="L455" s="110"/>
    </row>
    <row r="456" spans="1:12" ht="18" customHeight="1" x14ac:dyDescent="0.2">
      <c r="A456" s="91">
        <v>47000</v>
      </c>
      <c r="B456" s="93" t="s">
        <v>426</v>
      </c>
      <c r="C456" s="36">
        <f t="shared" si="18"/>
        <v>2.6731771203113075</v>
      </c>
      <c r="D456" s="93" t="s">
        <v>125</v>
      </c>
      <c r="E456" s="93" t="s">
        <v>421</v>
      </c>
      <c r="F456" s="93" t="s">
        <v>21</v>
      </c>
      <c r="G456" s="29" t="s">
        <v>427</v>
      </c>
      <c r="H456" s="110" t="s">
        <v>428</v>
      </c>
      <c r="I456" s="110"/>
      <c r="J456" s="110"/>
      <c r="K456" s="110"/>
      <c r="L456" s="110"/>
    </row>
    <row r="457" spans="1:12" ht="18" customHeight="1" x14ac:dyDescent="0.2">
      <c r="A457" s="91">
        <v>48000</v>
      </c>
      <c r="B457" s="93" t="s">
        <v>426</v>
      </c>
      <c r="C457" s="36">
        <f t="shared" si="18"/>
        <v>2.6732953217853765</v>
      </c>
      <c r="D457" s="93" t="s">
        <v>125</v>
      </c>
      <c r="E457" s="93" t="s">
        <v>421</v>
      </c>
      <c r="F457" s="93" t="s">
        <v>21</v>
      </c>
      <c r="G457" s="29" t="s">
        <v>427</v>
      </c>
      <c r="H457" s="110" t="s">
        <v>428</v>
      </c>
      <c r="I457" s="110"/>
      <c r="J457" s="110"/>
      <c r="K457" s="110"/>
      <c r="L457" s="110"/>
    </row>
    <row r="458" spans="1:12" ht="18" customHeight="1" x14ac:dyDescent="0.2">
      <c r="A458" s="91">
        <v>49000</v>
      </c>
      <c r="B458" s="93" t="s">
        <v>426</v>
      </c>
      <c r="C458" s="36">
        <f t="shared" si="18"/>
        <v>2.6734087085317877</v>
      </c>
      <c r="D458" s="93" t="s">
        <v>125</v>
      </c>
      <c r="E458" s="93" t="s">
        <v>421</v>
      </c>
      <c r="F458" s="93" t="s">
        <v>21</v>
      </c>
      <c r="G458" s="29" t="s">
        <v>427</v>
      </c>
      <c r="H458" s="110" t="s">
        <v>428</v>
      </c>
      <c r="I458" s="110"/>
      <c r="J458" s="110"/>
      <c r="K458" s="110"/>
      <c r="L458" s="110"/>
    </row>
    <row r="459" spans="1:12" ht="18" customHeight="1" x14ac:dyDescent="0.2">
      <c r="A459" s="96" t="s">
        <v>429</v>
      </c>
      <c r="B459" s="93" t="s">
        <v>430</v>
      </c>
      <c r="C459" s="36">
        <f>$C$7/C423</f>
        <v>0.61843305365610923</v>
      </c>
      <c r="D459" s="93" t="s">
        <v>125</v>
      </c>
      <c r="E459" s="93" t="s">
        <v>431</v>
      </c>
      <c r="F459" s="93" t="s">
        <v>21</v>
      </c>
      <c r="G459" s="29" t="s">
        <v>432</v>
      </c>
      <c r="H459" s="110" t="s">
        <v>433</v>
      </c>
      <c r="I459" s="110"/>
      <c r="J459" s="110"/>
      <c r="K459" s="110"/>
      <c r="L459" s="110"/>
    </row>
    <row r="460" spans="1:12" ht="18" customHeight="1" x14ac:dyDescent="0.2">
      <c r="A460" s="91">
        <v>42000</v>
      </c>
      <c r="B460" s="93" t="s">
        <v>430</v>
      </c>
      <c r="C460" s="36">
        <f t="shared" ref="C460:C467" si="19">$C$7/C424</f>
        <v>0.58952371687689331</v>
      </c>
      <c r="D460" s="93" t="s">
        <v>125</v>
      </c>
      <c r="E460" s="93" t="s">
        <v>431</v>
      </c>
      <c r="F460" s="93" t="s">
        <v>21</v>
      </c>
      <c r="G460" s="29" t="s">
        <v>432</v>
      </c>
      <c r="H460" s="110" t="s">
        <v>433</v>
      </c>
      <c r="I460" s="110"/>
      <c r="J460" s="110"/>
      <c r="K460" s="110"/>
      <c r="L460" s="110"/>
    </row>
    <row r="461" spans="1:12" ht="18" customHeight="1" x14ac:dyDescent="0.2">
      <c r="A461" s="91">
        <v>43000</v>
      </c>
      <c r="B461" s="93" t="s">
        <v>430</v>
      </c>
      <c r="C461" s="36">
        <f t="shared" si="19"/>
        <v>0.56204564626076159</v>
      </c>
      <c r="D461" s="93" t="s">
        <v>125</v>
      </c>
      <c r="E461" s="93" t="s">
        <v>431</v>
      </c>
      <c r="F461" s="93" t="s">
        <v>21</v>
      </c>
      <c r="G461" s="29" t="s">
        <v>432</v>
      </c>
      <c r="H461" s="110" t="s">
        <v>433</v>
      </c>
      <c r="I461" s="110"/>
      <c r="J461" s="110"/>
      <c r="K461" s="110"/>
      <c r="L461" s="110"/>
    </row>
    <row r="462" spans="1:12" ht="18" customHeight="1" x14ac:dyDescent="0.2">
      <c r="A462" s="91">
        <v>44000</v>
      </c>
      <c r="B462" s="93" t="s">
        <v>430</v>
      </c>
      <c r="C462" s="36">
        <f t="shared" si="19"/>
        <v>0.53577858129189715</v>
      </c>
      <c r="D462" s="93" t="s">
        <v>125</v>
      </c>
      <c r="E462" s="93" t="s">
        <v>431</v>
      </c>
      <c r="F462" s="93" t="s">
        <v>21</v>
      </c>
      <c r="G462" s="29" t="s">
        <v>432</v>
      </c>
      <c r="H462" s="110" t="s">
        <v>433</v>
      </c>
      <c r="I462" s="110"/>
      <c r="J462" s="110"/>
      <c r="K462" s="110"/>
      <c r="L462" s="110"/>
    </row>
    <row r="463" spans="1:12" ht="18" customHeight="1" x14ac:dyDescent="0.2">
      <c r="A463" s="91">
        <v>45000</v>
      </c>
      <c r="B463" s="93" t="s">
        <v>430</v>
      </c>
      <c r="C463" s="36">
        <f t="shared" si="19"/>
        <v>0.51083329555809842</v>
      </c>
      <c r="D463" s="93" t="s">
        <v>125</v>
      </c>
      <c r="E463" s="93" t="s">
        <v>431</v>
      </c>
      <c r="F463" s="93" t="s">
        <v>21</v>
      </c>
      <c r="G463" s="29" t="s">
        <v>432</v>
      </c>
      <c r="H463" s="110" t="s">
        <v>433</v>
      </c>
      <c r="I463" s="110"/>
      <c r="J463" s="110"/>
      <c r="K463" s="110"/>
      <c r="L463" s="110"/>
    </row>
    <row r="464" spans="1:12" ht="18" customHeight="1" x14ac:dyDescent="0.2">
      <c r="A464" s="91">
        <v>46000</v>
      </c>
      <c r="B464" s="93" t="s">
        <v>430</v>
      </c>
      <c r="C464" s="36">
        <f t="shared" si="19"/>
        <v>0.48698940638383253</v>
      </c>
      <c r="D464" s="93" t="s">
        <v>125</v>
      </c>
      <c r="E464" s="93" t="s">
        <v>431</v>
      </c>
      <c r="F464" s="93" t="s">
        <v>21</v>
      </c>
      <c r="G464" s="29" t="s">
        <v>432</v>
      </c>
      <c r="H464" s="110" t="s">
        <v>433</v>
      </c>
      <c r="I464" s="110"/>
      <c r="J464" s="110"/>
      <c r="K464" s="110"/>
      <c r="L464" s="110"/>
    </row>
    <row r="465" spans="1:12" ht="18" customHeight="1" x14ac:dyDescent="0.2">
      <c r="A465" s="91">
        <v>47000</v>
      </c>
      <c r="B465" s="93" t="s">
        <v>430</v>
      </c>
      <c r="C465" s="36">
        <f t="shared" si="19"/>
        <v>0.46424723614212121</v>
      </c>
      <c r="D465" s="93" t="s">
        <v>125</v>
      </c>
      <c r="E465" s="93" t="s">
        <v>431</v>
      </c>
      <c r="F465" s="93" t="s">
        <v>21</v>
      </c>
      <c r="G465" s="29" t="s">
        <v>432</v>
      </c>
      <c r="H465" s="110" t="s">
        <v>433</v>
      </c>
      <c r="I465" s="110"/>
      <c r="J465" s="110"/>
      <c r="K465" s="110"/>
      <c r="L465" s="110"/>
    </row>
    <row r="466" spans="1:12" ht="18" customHeight="1" x14ac:dyDescent="0.2">
      <c r="A466" s="91">
        <v>48000</v>
      </c>
      <c r="B466" s="93" t="s">
        <v>430</v>
      </c>
      <c r="C466" s="36">
        <f t="shared" si="19"/>
        <v>0.44260709235450096</v>
      </c>
      <c r="D466" s="93" t="s">
        <v>125</v>
      </c>
      <c r="E466" s="93" t="s">
        <v>431</v>
      </c>
      <c r="F466" s="93" t="s">
        <v>21</v>
      </c>
      <c r="G466" s="29" t="s">
        <v>432</v>
      </c>
      <c r="H466" s="110" t="s">
        <v>433</v>
      </c>
      <c r="I466" s="110"/>
      <c r="J466" s="110"/>
      <c r="K466" s="110"/>
      <c r="L466" s="110"/>
    </row>
    <row r="467" spans="1:12" ht="18" customHeight="1" x14ac:dyDescent="0.2">
      <c r="A467" s="91">
        <v>49000</v>
      </c>
      <c r="B467" s="93" t="s">
        <v>430</v>
      </c>
      <c r="C467" s="36">
        <f t="shared" si="19"/>
        <v>0.42184842148947865</v>
      </c>
      <c r="D467" s="93" t="s">
        <v>125</v>
      </c>
      <c r="E467" s="93" t="s">
        <v>431</v>
      </c>
      <c r="F467" s="93" t="s">
        <v>21</v>
      </c>
      <c r="G467" s="29" t="s">
        <v>432</v>
      </c>
      <c r="H467" s="110" t="s">
        <v>433</v>
      </c>
      <c r="I467" s="110"/>
      <c r="J467" s="110"/>
      <c r="K467" s="110"/>
      <c r="L467" s="110"/>
    </row>
    <row r="468" spans="1:12" ht="18" customHeight="1" x14ac:dyDescent="0.2">
      <c r="A468" s="93" t="s">
        <v>434</v>
      </c>
      <c r="B468" s="93" t="s">
        <v>435</v>
      </c>
      <c r="C468" s="36">
        <f>2*'Stability Constants Subsonic'!$C$13*('Stability Constants Subsonic'!$C$4-'Stability Constants Subsonic'!$C$3)*'Stability Constants Subsonic'!$C$14*'Supersonic Stability'!C423</f>
        <v>57978.961686966977</v>
      </c>
      <c r="D468" s="93" t="s">
        <v>125</v>
      </c>
      <c r="E468" s="93" t="s">
        <v>224</v>
      </c>
      <c r="F468" s="93" t="s">
        <v>21</v>
      </c>
      <c r="G468" s="29" t="s">
        <v>437</v>
      </c>
      <c r="H468" s="110" t="s">
        <v>438</v>
      </c>
      <c r="I468" s="110"/>
      <c r="J468" s="110"/>
      <c r="K468" s="110"/>
      <c r="L468" s="110"/>
    </row>
    <row r="469" spans="1:12" ht="18" customHeight="1" x14ac:dyDescent="0.2">
      <c r="A469" s="91">
        <v>42000</v>
      </c>
      <c r="B469" s="93" t="s">
        <v>435</v>
      </c>
      <c r="C469" s="36">
        <f>2*'Stability Constants Subsonic'!$C$13*('Stability Constants Subsonic'!$C$4-'Stability Constants Subsonic'!$C$3)*'Stability Constants Subsonic'!$C$14*'Supersonic Stability'!C424</f>
        <v>60822.160834912029</v>
      </c>
      <c r="D469" s="93" t="s">
        <v>125</v>
      </c>
      <c r="E469" s="93" t="s">
        <v>224</v>
      </c>
      <c r="F469" s="93" t="s">
        <v>21</v>
      </c>
      <c r="G469" s="29" t="s">
        <v>437</v>
      </c>
      <c r="H469" s="110" t="s">
        <v>438</v>
      </c>
      <c r="I469" s="110"/>
      <c r="J469" s="110"/>
      <c r="K469" s="110"/>
      <c r="L469" s="110"/>
    </row>
    <row r="470" spans="1:12" ht="18" customHeight="1" x14ac:dyDescent="0.2">
      <c r="A470" s="91">
        <v>43000</v>
      </c>
      <c r="B470" s="93" t="s">
        <v>435</v>
      </c>
      <c r="C470" s="36">
        <f>2*'Stability Constants Subsonic'!$C$13*('Stability Constants Subsonic'!$C$4-'Stability Constants Subsonic'!$C$3)*'Stability Constants Subsonic'!$C$14*'Supersonic Stability'!C425</f>
        <v>63795.719373379994</v>
      </c>
      <c r="D470" s="93" t="s">
        <v>125</v>
      </c>
      <c r="E470" s="93" t="s">
        <v>224</v>
      </c>
      <c r="F470" s="93" t="s">
        <v>21</v>
      </c>
      <c r="G470" s="29" t="s">
        <v>437</v>
      </c>
      <c r="H470" s="110" t="s">
        <v>438</v>
      </c>
      <c r="I470" s="110"/>
      <c r="J470" s="110"/>
      <c r="K470" s="110"/>
      <c r="L470" s="110"/>
    </row>
    <row r="471" spans="1:12" ht="18" customHeight="1" x14ac:dyDescent="0.2">
      <c r="A471" s="91">
        <v>44000</v>
      </c>
      <c r="B471" s="93" t="s">
        <v>435</v>
      </c>
      <c r="C471" s="36">
        <f>2*'Stability Constants Subsonic'!$C$13*('Stability Constants Subsonic'!$C$4-'Stability Constants Subsonic'!$C$3)*'Stability Constants Subsonic'!$C$14*'Supersonic Stability'!C426</f>
        <v>66923.366435111006</v>
      </c>
      <c r="D471" s="93" t="s">
        <v>125</v>
      </c>
      <c r="E471" s="93" t="s">
        <v>224</v>
      </c>
      <c r="F471" s="93" t="s">
        <v>21</v>
      </c>
      <c r="G471" s="29" t="s">
        <v>437</v>
      </c>
      <c r="H471" s="110" t="s">
        <v>438</v>
      </c>
      <c r="I471" s="110"/>
      <c r="J471" s="110"/>
      <c r="K471" s="110"/>
      <c r="L471" s="110"/>
    </row>
    <row r="472" spans="1:12" ht="18" customHeight="1" x14ac:dyDescent="0.2">
      <c r="A472" s="91">
        <v>45000</v>
      </c>
      <c r="B472" s="93" t="s">
        <v>435</v>
      </c>
      <c r="C472" s="36">
        <f>2*'Stability Constants Subsonic'!$C$13*('Stability Constants Subsonic'!$C$4-'Stability Constants Subsonic'!$C$3)*'Stability Constants Subsonic'!$C$14*'Supersonic Stability'!C427</f>
        <v>70191.404193236536</v>
      </c>
      <c r="D472" s="93" t="s">
        <v>125</v>
      </c>
      <c r="E472" s="93" t="s">
        <v>224</v>
      </c>
      <c r="F472" s="93" t="s">
        <v>21</v>
      </c>
      <c r="G472" s="29" t="s">
        <v>437</v>
      </c>
      <c r="H472" s="110" t="s">
        <v>438</v>
      </c>
      <c r="I472" s="110"/>
      <c r="J472" s="110"/>
      <c r="K472" s="110"/>
      <c r="L472" s="110"/>
    </row>
    <row r="473" spans="1:12" ht="18" customHeight="1" x14ac:dyDescent="0.2">
      <c r="A473" s="91">
        <v>46000</v>
      </c>
      <c r="B473" s="93" t="s">
        <v>435</v>
      </c>
      <c r="C473" s="36">
        <f>2*'Stability Constants Subsonic'!$C$13*('Stability Constants Subsonic'!$C$4-'Stability Constants Subsonic'!$C$3)*'Stability Constants Subsonic'!$C$14*'Supersonic Stability'!C428</f>
        <v>73628.103309542406</v>
      </c>
      <c r="D473" s="93" t="s">
        <v>125</v>
      </c>
      <c r="E473" s="93" t="s">
        <v>224</v>
      </c>
      <c r="F473" s="93" t="s">
        <v>21</v>
      </c>
      <c r="G473" s="29" t="s">
        <v>437</v>
      </c>
      <c r="H473" s="110" t="s">
        <v>438</v>
      </c>
      <c r="I473" s="110"/>
      <c r="J473" s="110"/>
      <c r="K473" s="110"/>
      <c r="L473" s="110"/>
    </row>
    <row r="474" spans="1:12" ht="18" customHeight="1" x14ac:dyDescent="0.2">
      <c r="A474" s="91">
        <v>47000</v>
      </c>
      <c r="B474" s="93" t="s">
        <v>435</v>
      </c>
      <c r="C474" s="36">
        <f>2*'Stability Constants Subsonic'!$C$13*('Stability Constants Subsonic'!$C$4-'Stability Constants Subsonic'!$C$3)*'Stability Constants Subsonic'!$C$14*'Supersonic Stability'!C429</f>
        <v>77234.937620403682</v>
      </c>
      <c r="D474" s="93" t="s">
        <v>125</v>
      </c>
      <c r="E474" s="93" t="s">
        <v>224</v>
      </c>
      <c r="F474" s="93" t="s">
        <v>21</v>
      </c>
      <c r="G474" s="29" t="s">
        <v>437</v>
      </c>
      <c r="H474" s="110" t="s">
        <v>438</v>
      </c>
      <c r="I474" s="110"/>
      <c r="J474" s="110"/>
      <c r="K474" s="110"/>
      <c r="L474" s="110"/>
    </row>
    <row r="475" spans="1:12" ht="18" customHeight="1" x14ac:dyDescent="0.2">
      <c r="A475" s="91">
        <v>48000</v>
      </c>
      <c r="B475" s="93" t="s">
        <v>435</v>
      </c>
      <c r="C475" s="36">
        <f>2*'Stability Constants Subsonic'!$C$13*('Stability Constants Subsonic'!$C$4-'Stability Constants Subsonic'!$C$3)*'Stability Constants Subsonic'!$C$14*'Supersonic Stability'!C430</f>
        <v>81011.142711565539</v>
      </c>
      <c r="D475" s="93" t="s">
        <v>125</v>
      </c>
      <c r="E475" s="93" t="s">
        <v>224</v>
      </c>
      <c r="F475" s="93" t="s">
        <v>21</v>
      </c>
      <c r="G475" s="29" t="s">
        <v>437</v>
      </c>
      <c r="H475" s="110" t="s">
        <v>438</v>
      </c>
      <c r="I475" s="110"/>
      <c r="J475" s="110"/>
      <c r="K475" s="110"/>
      <c r="L475" s="110"/>
    </row>
    <row r="476" spans="1:12" ht="18" customHeight="1" x14ac:dyDescent="0.2">
      <c r="A476" s="91">
        <v>49000</v>
      </c>
      <c r="B476" s="93" t="s">
        <v>435</v>
      </c>
      <c r="C476" s="36">
        <f>2*'Stability Constants Subsonic'!$C$13*('Stability Constants Subsonic'!$C$4-'Stability Constants Subsonic'!$C$3)*'Stability Constants Subsonic'!$C$14*'Supersonic Stability'!C431</f>
        <v>84997.606953889801</v>
      </c>
      <c r="D476" s="93" t="s">
        <v>125</v>
      </c>
      <c r="E476" s="93" t="s">
        <v>224</v>
      </c>
      <c r="F476" s="93" t="s">
        <v>21</v>
      </c>
      <c r="G476" s="29" t="s">
        <v>437</v>
      </c>
      <c r="H476" s="110" t="s">
        <v>438</v>
      </c>
      <c r="I476" s="110"/>
      <c r="J476" s="110"/>
      <c r="K476" s="110"/>
      <c r="L476" s="110"/>
    </row>
    <row r="477" spans="1:12" ht="18" customHeight="1" x14ac:dyDescent="0.2">
      <c r="A477" s="93" t="s">
        <v>439</v>
      </c>
      <c r="B477" s="93" t="s">
        <v>440</v>
      </c>
      <c r="C477" s="36">
        <f>2*'Stability Constants Subsonic'!$C$13*('Stability Constants Subsonic'!$C$6-'Stability Constants Subsonic'!$C$5)*'Stability Constants Subsonic'!$C$15*'Supersonic Stability'!C423</f>
        <v>36270.712901002618</v>
      </c>
      <c r="D477" s="93" t="s">
        <v>125</v>
      </c>
      <c r="E477" s="93" t="s">
        <v>224</v>
      </c>
      <c r="F477" s="93" t="s">
        <v>21</v>
      </c>
      <c r="G477" s="29" t="s">
        <v>442</v>
      </c>
      <c r="H477" s="110" t="s">
        <v>438</v>
      </c>
      <c r="I477" s="110"/>
      <c r="J477" s="110"/>
      <c r="K477" s="110"/>
      <c r="L477" s="110"/>
    </row>
    <row r="478" spans="1:12" ht="18" customHeight="1" x14ac:dyDescent="0.2">
      <c r="A478" s="91">
        <v>42000</v>
      </c>
      <c r="B478" s="93" t="s">
        <v>440</v>
      </c>
      <c r="C478" s="36">
        <f>2*'Stability Constants Subsonic'!$C$13*('Stability Constants Subsonic'!$C$6-'Stability Constants Subsonic'!$C$5)*'Stability Constants Subsonic'!$C$15*'Supersonic Stability'!C424</f>
        <v>38049.372901370843</v>
      </c>
      <c r="D478" s="93" t="s">
        <v>125</v>
      </c>
      <c r="E478" s="93" t="s">
        <v>224</v>
      </c>
      <c r="F478" s="93" t="s">
        <v>21</v>
      </c>
      <c r="G478" s="29" t="s">
        <v>442</v>
      </c>
      <c r="H478" s="110" t="s">
        <v>438</v>
      </c>
      <c r="I478" s="110"/>
      <c r="J478" s="110"/>
      <c r="K478" s="110"/>
      <c r="L478" s="110"/>
    </row>
    <row r="479" spans="1:12" ht="18" customHeight="1" x14ac:dyDescent="0.2">
      <c r="A479" s="91">
        <v>43000</v>
      </c>
      <c r="B479" s="93" t="s">
        <v>440</v>
      </c>
      <c r="C479" s="36">
        <f>2*'Stability Constants Subsonic'!$C$13*('Stability Constants Subsonic'!$C$6-'Stability Constants Subsonic'!$C$5)*'Stability Constants Subsonic'!$C$15*'Supersonic Stability'!C425</f>
        <v>39909.583655495837</v>
      </c>
      <c r="D479" s="93" t="s">
        <v>125</v>
      </c>
      <c r="E479" s="93" t="s">
        <v>224</v>
      </c>
      <c r="F479" s="93" t="s">
        <v>21</v>
      </c>
      <c r="G479" s="29" t="s">
        <v>442</v>
      </c>
      <c r="H479" s="110" t="s">
        <v>438</v>
      </c>
      <c r="I479" s="110"/>
      <c r="J479" s="110"/>
      <c r="K479" s="110"/>
      <c r="L479" s="110"/>
    </row>
    <row r="480" spans="1:12" ht="18" customHeight="1" x14ac:dyDescent="0.2">
      <c r="A480" s="91">
        <v>44000</v>
      </c>
      <c r="B480" s="93" t="s">
        <v>440</v>
      </c>
      <c r="C480" s="36">
        <f>2*'Stability Constants Subsonic'!$C$13*('Stability Constants Subsonic'!$C$6-'Stability Constants Subsonic'!$C$5)*'Stability Constants Subsonic'!$C$15*'Supersonic Stability'!C426</f>
        <v>41866.189730026672</v>
      </c>
      <c r="D480" s="93" t="s">
        <v>125</v>
      </c>
      <c r="E480" s="93" t="s">
        <v>224</v>
      </c>
      <c r="F480" s="93" t="s">
        <v>21</v>
      </c>
      <c r="G480" s="29" t="s">
        <v>442</v>
      </c>
      <c r="H480" s="110" t="s">
        <v>438</v>
      </c>
      <c r="I480" s="110"/>
      <c r="J480" s="110"/>
      <c r="K480" s="110"/>
      <c r="L480" s="110"/>
    </row>
    <row r="481" spans="1:12" ht="18" customHeight="1" x14ac:dyDescent="0.2">
      <c r="A481" s="91">
        <v>45000</v>
      </c>
      <c r="B481" s="93" t="s">
        <v>440</v>
      </c>
      <c r="C481" s="36">
        <f>2*'Stability Constants Subsonic'!$C$13*('Stability Constants Subsonic'!$C$6-'Stability Constants Subsonic'!$C$5)*'Stability Constants Subsonic'!$C$15*'Supersonic Stability'!C427</f>
        <v>43910.621983135687</v>
      </c>
      <c r="D481" s="93" t="s">
        <v>125</v>
      </c>
      <c r="E481" s="93" t="s">
        <v>224</v>
      </c>
      <c r="F481" s="93" t="s">
        <v>21</v>
      </c>
      <c r="G481" s="29" t="s">
        <v>442</v>
      </c>
      <c r="H481" s="110" t="s">
        <v>438</v>
      </c>
      <c r="I481" s="110"/>
      <c r="J481" s="110"/>
      <c r="K481" s="110"/>
      <c r="L481" s="110"/>
    </row>
    <row r="482" spans="1:12" ht="18" customHeight="1" x14ac:dyDescent="0.2">
      <c r="A482" s="91">
        <v>46000</v>
      </c>
      <c r="B482" s="93" t="s">
        <v>440</v>
      </c>
      <c r="C482" s="36">
        <f>2*'Stability Constants Subsonic'!$C$13*('Stability Constants Subsonic'!$C$6-'Stability Constants Subsonic'!$C$5)*'Stability Constants Subsonic'!$C$15*'Supersonic Stability'!C428</f>
        <v>46060.566089545573</v>
      </c>
      <c r="D482" s="93" t="s">
        <v>125</v>
      </c>
      <c r="E482" s="93" t="s">
        <v>224</v>
      </c>
      <c r="F482" s="93" t="s">
        <v>21</v>
      </c>
      <c r="G482" s="29" t="s">
        <v>442</v>
      </c>
      <c r="H482" s="110" t="s">
        <v>438</v>
      </c>
      <c r="I482" s="110"/>
      <c r="J482" s="110"/>
      <c r="K482" s="110"/>
      <c r="L482" s="110"/>
    </row>
    <row r="483" spans="1:12" ht="18" customHeight="1" x14ac:dyDescent="0.2">
      <c r="A483" s="91">
        <v>47000</v>
      </c>
      <c r="B483" s="93" t="s">
        <v>440</v>
      </c>
      <c r="C483" s="36">
        <f>2*'Stability Constants Subsonic'!$C$13*('Stability Constants Subsonic'!$C$6-'Stability Constants Subsonic'!$C$5)*'Stability Constants Subsonic'!$C$15*'Supersonic Stability'!C429</f>
        <v>48316.944057765424</v>
      </c>
      <c r="D483" s="93" t="s">
        <v>125</v>
      </c>
      <c r="E483" s="93" t="s">
        <v>224</v>
      </c>
      <c r="F483" s="93" t="s">
        <v>21</v>
      </c>
      <c r="G483" s="29" t="s">
        <v>442</v>
      </c>
      <c r="H483" s="110" t="s">
        <v>438</v>
      </c>
      <c r="I483" s="110"/>
      <c r="J483" s="110"/>
      <c r="K483" s="110"/>
      <c r="L483" s="110"/>
    </row>
    <row r="484" spans="1:12" ht="18" customHeight="1" x14ac:dyDescent="0.2">
      <c r="A484" s="91">
        <v>48000</v>
      </c>
      <c r="B484" s="93" t="s">
        <v>440</v>
      </c>
      <c r="C484" s="36">
        <f>2*'Stability Constants Subsonic'!$C$13*('Stability Constants Subsonic'!$C$6-'Stability Constants Subsonic'!$C$5)*'Stability Constants Subsonic'!$C$15*'Supersonic Stability'!C430</f>
        <v>50679.277682439919</v>
      </c>
      <c r="D484" s="93" t="s">
        <v>125</v>
      </c>
      <c r="E484" s="93" t="s">
        <v>224</v>
      </c>
      <c r="F484" s="93" t="s">
        <v>21</v>
      </c>
      <c r="G484" s="29" t="s">
        <v>442</v>
      </c>
      <c r="H484" s="110" t="s">
        <v>438</v>
      </c>
      <c r="I484" s="110"/>
      <c r="J484" s="110"/>
      <c r="K484" s="110"/>
      <c r="L484" s="110"/>
    </row>
    <row r="485" spans="1:12" ht="18" customHeight="1" x14ac:dyDescent="0.2">
      <c r="A485" s="91">
        <v>49000</v>
      </c>
      <c r="B485" s="93" t="s">
        <v>440</v>
      </c>
      <c r="C485" s="36">
        <f>2*'Stability Constants Subsonic'!$C$13*('Stability Constants Subsonic'!$C$6-'Stability Constants Subsonic'!$C$5)*'Stability Constants Subsonic'!$C$15*'Supersonic Stability'!C431</f>
        <v>53173.146075670542</v>
      </c>
      <c r="D485" s="93" t="s">
        <v>125</v>
      </c>
      <c r="E485" s="93" t="s">
        <v>224</v>
      </c>
      <c r="F485" s="93" t="s">
        <v>21</v>
      </c>
      <c r="G485" s="29" t="s">
        <v>442</v>
      </c>
      <c r="H485" s="110" t="s">
        <v>438</v>
      </c>
      <c r="I485" s="110"/>
      <c r="J485" s="110"/>
      <c r="K485" s="110"/>
      <c r="L485" s="110"/>
    </row>
    <row r="486" spans="1:12" ht="18" customHeight="1" x14ac:dyDescent="0.2">
      <c r="A486" s="131" t="s">
        <v>502</v>
      </c>
      <c r="B486" s="121"/>
      <c r="C486" s="121"/>
      <c r="D486" s="121"/>
      <c r="E486" s="121"/>
      <c r="F486" s="121"/>
      <c r="G486" s="121"/>
      <c r="H486" s="121"/>
      <c r="I486" s="121"/>
      <c r="J486" s="121"/>
      <c r="K486" s="121"/>
      <c r="L486" s="125"/>
    </row>
    <row r="487" spans="1:12" ht="18" customHeight="1" x14ac:dyDescent="0.2">
      <c r="A487" s="23" t="s">
        <v>5</v>
      </c>
      <c r="B487" s="23" t="s">
        <v>96</v>
      </c>
      <c r="C487" s="94" t="s">
        <v>7</v>
      </c>
      <c r="D487" s="94" t="s">
        <v>125</v>
      </c>
      <c r="E487" s="94" t="s">
        <v>8</v>
      </c>
      <c r="F487" s="94" t="s">
        <v>9</v>
      </c>
      <c r="G487" s="31" t="s">
        <v>10</v>
      </c>
      <c r="H487" s="122" t="s">
        <v>11</v>
      </c>
      <c r="I487" s="123"/>
      <c r="J487" s="123"/>
      <c r="K487" s="123"/>
      <c r="L487" s="124"/>
    </row>
    <row r="488" spans="1:12" ht="18" customHeight="1" x14ac:dyDescent="0.2">
      <c r="A488" s="93" t="s">
        <v>379</v>
      </c>
      <c r="B488" s="93" t="s">
        <v>380</v>
      </c>
      <c r="C488" s="36">
        <v>1.8</v>
      </c>
      <c r="D488" s="93" t="s">
        <v>125</v>
      </c>
      <c r="E488" s="93" t="s">
        <v>137</v>
      </c>
      <c r="F488" s="93" t="s">
        <v>484</v>
      </c>
      <c r="G488" s="29" t="s">
        <v>137</v>
      </c>
      <c r="H488" s="126" t="s">
        <v>309</v>
      </c>
      <c r="I488" s="126"/>
      <c r="J488" s="126"/>
      <c r="K488" s="126"/>
      <c r="L488" s="126"/>
    </row>
    <row r="489" spans="1:12" ht="18" customHeight="1" x14ac:dyDescent="0.2">
      <c r="A489" s="93" t="s">
        <v>557</v>
      </c>
      <c r="B489" s="93" t="s">
        <v>406</v>
      </c>
      <c r="C489" s="36">
        <f>'Final Aircraft Checkouts'!C156</f>
        <v>7.0564826481649856E-2</v>
      </c>
      <c r="D489" s="93" t="s">
        <v>125</v>
      </c>
      <c r="E489" s="93" t="s">
        <v>137</v>
      </c>
      <c r="F489" s="93" t="s">
        <v>21</v>
      </c>
      <c r="G489" s="29" t="s">
        <v>550</v>
      </c>
      <c r="H489" s="127" t="s">
        <v>526</v>
      </c>
      <c r="I489" s="127"/>
      <c r="J489" s="127"/>
      <c r="K489" s="127"/>
      <c r="L489" s="127"/>
    </row>
    <row r="490" spans="1:12" ht="18" customHeight="1" x14ac:dyDescent="0.2">
      <c r="A490" s="91">
        <v>42000</v>
      </c>
      <c r="B490" s="93" t="s">
        <v>406</v>
      </c>
      <c r="C490" s="36">
        <f>'Final Aircraft Checkouts'!C157</f>
        <v>7.4029591200201625E-2</v>
      </c>
      <c r="D490" s="93" t="s">
        <v>125</v>
      </c>
      <c r="E490" s="93" t="s">
        <v>137</v>
      </c>
      <c r="F490" s="93" t="s">
        <v>21</v>
      </c>
      <c r="G490" s="29" t="s">
        <v>550</v>
      </c>
      <c r="H490" s="127" t="s">
        <v>526</v>
      </c>
      <c r="I490" s="127"/>
      <c r="J490" s="127"/>
      <c r="K490" s="127"/>
      <c r="L490" s="127"/>
    </row>
    <row r="491" spans="1:12" ht="18" customHeight="1" x14ac:dyDescent="0.2">
      <c r="A491" s="91">
        <v>43000</v>
      </c>
      <c r="B491" s="93" t="s">
        <v>406</v>
      </c>
      <c r="C491" s="36">
        <f>'Final Aircraft Checkouts'!C158</f>
        <v>7.7653213808585794E-2</v>
      </c>
      <c r="D491" s="93" t="s">
        <v>125</v>
      </c>
      <c r="E491" s="93" t="s">
        <v>137</v>
      </c>
      <c r="F491" s="93" t="s">
        <v>21</v>
      </c>
      <c r="G491" s="29" t="s">
        <v>550</v>
      </c>
      <c r="H491" s="127" t="s">
        <v>526</v>
      </c>
      <c r="I491" s="127"/>
      <c r="J491" s="127"/>
      <c r="K491" s="127"/>
      <c r="L491" s="127"/>
    </row>
    <row r="492" spans="1:12" ht="18" customHeight="1" x14ac:dyDescent="0.2">
      <c r="A492" s="91">
        <v>44000</v>
      </c>
      <c r="B492" s="93" t="s">
        <v>406</v>
      </c>
      <c r="C492" s="36">
        <f>'Final Aircraft Checkouts'!C159</f>
        <v>8.146461098046523E-2</v>
      </c>
      <c r="D492" s="93" t="s">
        <v>125</v>
      </c>
      <c r="E492" s="93" t="s">
        <v>137</v>
      </c>
      <c r="F492" s="93" t="s">
        <v>21</v>
      </c>
      <c r="G492" s="29" t="s">
        <v>550</v>
      </c>
      <c r="H492" s="127" t="s">
        <v>526</v>
      </c>
      <c r="I492" s="127"/>
      <c r="J492" s="127"/>
      <c r="K492" s="127"/>
      <c r="L492" s="127"/>
    </row>
    <row r="493" spans="1:12" ht="18" customHeight="1" x14ac:dyDescent="0.2">
      <c r="A493" s="91">
        <v>45000</v>
      </c>
      <c r="B493" s="93" t="s">
        <v>406</v>
      </c>
      <c r="C493" s="36">
        <f>'Final Aircraft Checkouts'!C160</f>
        <v>8.5447090340531232E-2</v>
      </c>
      <c r="D493" s="93" t="s">
        <v>125</v>
      </c>
      <c r="E493" s="93" t="s">
        <v>137</v>
      </c>
      <c r="F493" s="93" t="s">
        <v>21</v>
      </c>
      <c r="G493" s="29" t="s">
        <v>550</v>
      </c>
      <c r="H493" s="127" t="s">
        <v>526</v>
      </c>
      <c r="I493" s="127"/>
      <c r="J493" s="127"/>
      <c r="K493" s="127"/>
      <c r="L493" s="127"/>
    </row>
    <row r="494" spans="1:12" ht="18" customHeight="1" x14ac:dyDescent="0.2">
      <c r="A494" s="91">
        <v>46000</v>
      </c>
      <c r="B494" s="93" t="s">
        <v>406</v>
      </c>
      <c r="C494" s="36">
        <f>'Final Aircraft Checkouts'!C161</f>
        <v>8.9635102937208042E-2</v>
      </c>
      <c r="D494" s="93" t="s">
        <v>125</v>
      </c>
      <c r="E494" s="93" t="s">
        <v>137</v>
      </c>
      <c r="F494" s="93" t="s">
        <v>21</v>
      </c>
      <c r="G494" s="29" t="s">
        <v>550</v>
      </c>
      <c r="H494" s="127" t="s">
        <v>526</v>
      </c>
      <c r="I494" s="127"/>
      <c r="J494" s="127"/>
      <c r="K494" s="127"/>
      <c r="L494" s="127"/>
    </row>
    <row r="495" spans="1:12" ht="18" customHeight="1" x14ac:dyDescent="0.2">
      <c r="A495" s="91">
        <v>47000</v>
      </c>
      <c r="B495" s="93" t="s">
        <v>406</v>
      </c>
      <c r="C495" s="36">
        <f>'Final Aircraft Checkouts'!C162</f>
        <v>9.4030444809396777E-2</v>
      </c>
      <c r="D495" s="93" t="s">
        <v>125</v>
      </c>
      <c r="E495" s="93" t="s">
        <v>137</v>
      </c>
      <c r="F495" s="93" t="s">
        <v>21</v>
      </c>
      <c r="G495" s="29" t="s">
        <v>550</v>
      </c>
      <c r="H495" s="127" t="s">
        <v>526</v>
      </c>
      <c r="I495" s="127"/>
      <c r="J495" s="127"/>
      <c r="K495" s="127"/>
      <c r="L495" s="127"/>
    </row>
    <row r="496" spans="1:12" ht="18" customHeight="1" x14ac:dyDescent="0.2">
      <c r="A496" s="91">
        <v>48000</v>
      </c>
      <c r="B496" s="93" t="s">
        <v>406</v>
      </c>
      <c r="C496" s="36">
        <f>'Final Aircraft Checkouts'!C163</f>
        <v>9.8632184430530803E-2</v>
      </c>
      <c r="D496" s="93" t="s">
        <v>125</v>
      </c>
      <c r="E496" s="93" t="s">
        <v>137</v>
      </c>
      <c r="F496" s="93" t="s">
        <v>21</v>
      </c>
      <c r="G496" s="29" t="s">
        <v>550</v>
      </c>
      <c r="H496" s="127" t="s">
        <v>526</v>
      </c>
      <c r="I496" s="127"/>
      <c r="J496" s="127"/>
      <c r="K496" s="127"/>
      <c r="L496" s="127"/>
    </row>
    <row r="497" spans="1:12" ht="18" customHeight="1" x14ac:dyDescent="0.2">
      <c r="A497" s="91">
        <v>49000</v>
      </c>
      <c r="B497" s="93" t="s">
        <v>406</v>
      </c>
      <c r="C497" s="36">
        <f>'Final Aircraft Checkouts'!C164</f>
        <v>0.10349014897675554</v>
      </c>
      <c r="D497" s="93" t="s">
        <v>125</v>
      </c>
      <c r="E497" s="93" t="s">
        <v>137</v>
      </c>
      <c r="F497" s="93" t="s">
        <v>21</v>
      </c>
      <c r="G497" s="29" t="s">
        <v>550</v>
      </c>
      <c r="H497" s="127" t="s">
        <v>526</v>
      </c>
      <c r="I497" s="127"/>
      <c r="J497" s="127"/>
      <c r="K497" s="127"/>
      <c r="L497" s="127"/>
    </row>
    <row r="498" spans="1:12" ht="18" customHeight="1" x14ac:dyDescent="0.2">
      <c r="A498" s="93" t="s">
        <v>447</v>
      </c>
      <c r="B498" s="47" t="s">
        <v>448</v>
      </c>
      <c r="C498" s="48">
        <v>0.10158298411673315</v>
      </c>
      <c r="D498" s="93" t="s">
        <v>125</v>
      </c>
      <c r="E498" s="93" t="s">
        <v>137</v>
      </c>
      <c r="F498" s="93" t="s">
        <v>399</v>
      </c>
      <c r="G498" s="29" t="s">
        <v>137</v>
      </c>
      <c r="H498" s="127" t="s">
        <v>449</v>
      </c>
      <c r="I498" s="127"/>
      <c r="J498" s="127"/>
      <c r="K498" s="127"/>
      <c r="L498" s="127"/>
    </row>
    <row r="499" spans="1:12" ht="18" customHeight="1" x14ac:dyDescent="0.2">
      <c r="A499" s="93" t="s">
        <v>447</v>
      </c>
      <c r="B499" s="47" t="s">
        <v>448</v>
      </c>
      <c r="C499" s="48">
        <v>0.10158298411673315</v>
      </c>
      <c r="D499" s="93" t="s">
        <v>125</v>
      </c>
      <c r="E499" s="93" t="s">
        <v>137</v>
      </c>
      <c r="F499" s="93" t="s">
        <v>399</v>
      </c>
      <c r="G499" s="29" t="s">
        <v>137</v>
      </c>
      <c r="H499" s="127" t="s">
        <v>449</v>
      </c>
      <c r="I499" s="127"/>
      <c r="J499" s="127"/>
      <c r="K499" s="127"/>
      <c r="L499" s="127"/>
    </row>
    <row r="500" spans="1:12" ht="18" customHeight="1" x14ac:dyDescent="0.2">
      <c r="A500" s="93" t="s">
        <v>447</v>
      </c>
      <c r="B500" s="47" t="s">
        <v>448</v>
      </c>
      <c r="C500" s="48">
        <v>0.10158298411673315</v>
      </c>
      <c r="D500" s="93" t="s">
        <v>125</v>
      </c>
      <c r="E500" s="93" t="s">
        <v>137</v>
      </c>
      <c r="F500" s="93" t="s">
        <v>399</v>
      </c>
      <c r="G500" s="29" t="s">
        <v>137</v>
      </c>
      <c r="H500" s="127" t="s">
        <v>449</v>
      </c>
      <c r="I500" s="127"/>
      <c r="J500" s="127"/>
      <c r="K500" s="127"/>
      <c r="L500" s="127"/>
    </row>
    <row r="501" spans="1:12" ht="18" customHeight="1" x14ac:dyDescent="0.2">
      <c r="A501" s="93" t="s">
        <v>447</v>
      </c>
      <c r="B501" s="47" t="s">
        <v>448</v>
      </c>
      <c r="C501" s="48">
        <v>0.10158298411673315</v>
      </c>
      <c r="D501" s="93" t="s">
        <v>125</v>
      </c>
      <c r="E501" s="93" t="s">
        <v>137</v>
      </c>
      <c r="F501" s="93" t="s">
        <v>399</v>
      </c>
      <c r="G501" s="29" t="s">
        <v>137</v>
      </c>
      <c r="H501" s="127" t="s">
        <v>449</v>
      </c>
      <c r="I501" s="127"/>
      <c r="J501" s="127"/>
      <c r="K501" s="127"/>
      <c r="L501" s="127"/>
    </row>
    <row r="502" spans="1:12" ht="18" customHeight="1" x14ac:dyDescent="0.2">
      <c r="A502" s="93" t="s">
        <v>447</v>
      </c>
      <c r="B502" s="47" t="s">
        <v>448</v>
      </c>
      <c r="C502" s="48">
        <v>0.10158298411673315</v>
      </c>
      <c r="D502" s="93" t="s">
        <v>125</v>
      </c>
      <c r="E502" s="93" t="s">
        <v>137</v>
      </c>
      <c r="F502" s="93" t="s">
        <v>399</v>
      </c>
      <c r="G502" s="29" t="s">
        <v>137</v>
      </c>
      <c r="H502" s="127" t="s">
        <v>449</v>
      </c>
      <c r="I502" s="127"/>
      <c r="J502" s="127"/>
      <c r="K502" s="127"/>
      <c r="L502" s="127"/>
    </row>
    <row r="503" spans="1:12" ht="18" customHeight="1" x14ac:dyDescent="0.2">
      <c r="A503" s="93" t="s">
        <v>447</v>
      </c>
      <c r="B503" s="47" t="s">
        <v>448</v>
      </c>
      <c r="C503" s="48">
        <v>0.10158298411673315</v>
      </c>
      <c r="D503" s="93" t="s">
        <v>125</v>
      </c>
      <c r="E503" s="93" t="s">
        <v>137</v>
      </c>
      <c r="F503" s="93" t="s">
        <v>399</v>
      </c>
      <c r="G503" s="29" t="s">
        <v>137</v>
      </c>
      <c r="H503" s="127" t="s">
        <v>449</v>
      </c>
      <c r="I503" s="127"/>
      <c r="J503" s="127"/>
      <c r="K503" s="127"/>
      <c r="L503" s="127"/>
    </row>
    <row r="504" spans="1:12" ht="18" customHeight="1" x14ac:dyDescent="0.2">
      <c r="A504" s="93" t="s">
        <v>447</v>
      </c>
      <c r="B504" s="47" t="s">
        <v>448</v>
      </c>
      <c r="C504" s="48">
        <v>0.10158298411673315</v>
      </c>
      <c r="D504" s="93" t="s">
        <v>125</v>
      </c>
      <c r="E504" s="93" t="s">
        <v>137</v>
      </c>
      <c r="F504" s="93" t="s">
        <v>399</v>
      </c>
      <c r="G504" s="29" t="s">
        <v>137</v>
      </c>
      <c r="H504" s="127" t="s">
        <v>449</v>
      </c>
      <c r="I504" s="127"/>
      <c r="J504" s="127"/>
      <c r="K504" s="127"/>
      <c r="L504" s="127"/>
    </row>
    <row r="505" spans="1:12" ht="18" customHeight="1" x14ac:dyDescent="0.2">
      <c r="A505" s="93" t="s">
        <v>447</v>
      </c>
      <c r="B505" s="47" t="s">
        <v>448</v>
      </c>
      <c r="C505" s="48">
        <v>0.10158298411673315</v>
      </c>
      <c r="D505" s="93" t="s">
        <v>125</v>
      </c>
      <c r="E505" s="93" t="s">
        <v>137</v>
      </c>
      <c r="F505" s="93" t="s">
        <v>399</v>
      </c>
      <c r="G505" s="29" t="s">
        <v>137</v>
      </c>
      <c r="H505" s="127" t="s">
        <v>449</v>
      </c>
      <c r="I505" s="127"/>
      <c r="J505" s="127"/>
      <c r="K505" s="127"/>
      <c r="L505" s="127"/>
    </row>
    <row r="506" spans="1:12" ht="18" customHeight="1" x14ac:dyDescent="0.2">
      <c r="A506" s="93" t="s">
        <v>447</v>
      </c>
      <c r="B506" s="47" t="s">
        <v>448</v>
      </c>
      <c r="C506" s="48">
        <v>0.10158298411673315</v>
      </c>
      <c r="D506" s="93" t="s">
        <v>125</v>
      </c>
      <c r="E506" s="93" t="s">
        <v>137</v>
      </c>
      <c r="F506" s="93" t="s">
        <v>399</v>
      </c>
      <c r="G506" s="29" t="s">
        <v>137</v>
      </c>
      <c r="H506" s="127" t="s">
        <v>449</v>
      </c>
      <c r="I506" s="127"/>
      <c r="J506" s="127"/>
      <c r="K506" s="127"/>
      <c r="L506" s="127"/>
    </row>
    <row r="507" spans="1:12" ht="18" customHeight="1" x14ac:dyDescent="0.2">
      <c r="A507" s="93" t="s">
        <v>558</v>
      </c>
      <c r="B507" s="93" t="s">
        <v>436</v>
      </c>
      <c r="C507" s="36">
        <f xml:space="preserve"> ABS((C489-CFD!$B$33)/(CFD!$B$34-CFD!$B$33)*(CFD!$A$34-CFD!$A$33) + CFD!$A$33)*PI()/180</f>
        <v>2.8122974069424458E-2</v>
      </c>
      <c r="D507" s="93" t="s">
        <v>125</v>
      </c>
      <c r="E507" s="93" t="s">
        <v>407</v>
      </c>
      <c r="F507" s="93" t="s">
        <v>21</v>
      </c>
      <c r="G507" s="29" t="s">
        <v>550</v>
      </c>
      <c r="H507" s="127" t="s">
        <v>526</v>
      </c>
      <c r="I507" s="127"/>
      <c r="J507" s="127"/>
      <c r="K507" s="127"/>
      <c r="L507" s="127"/>
    </row>
    <row r="508" spans="1:12" ht="18" customHeight="1" x14ac:dyDescent="0.2">
      <c r="A508" s="91">
        <v>42000</v>
      </c>
      <c r="B508" s="93" t="s">
        <v>436</v>
      </c>
      <c r="C508" s="36">
        <f xml:space="preserve"> ABS((C490-CFD!$B$33)/(CFD!$B$34-CFD!$B$33)*(CFD!$A$34-CFD!$A$33) + CFD!$A$33)*PI()/180</f>
        <v>2.9535860801799763E-2</v>
      </c>
      <c r="D508" s="93"/>
      <c r="E508" s="93" t="s">
        <v>407</v>
      </c>
      <c r="F508" s="93" t="s">
        <v>21</v>
      </c>
      <c r="G508" s="29" t="s">
        <v>550</v>
      </c>
      <c r="H508" s="127" t="s">
        <v>526</v>
      </c>
      <c r="I508" s="127"/>
      <c r="J508" s="127"/>
      <c r="K508" s="127"/>
      <c r="L508" s="127"/>
    </row>
    <row r="509" spans="1:12" ht="18" customHeight="1" x14ac:dyDescent="0.2">
      <c r="A509" s="91">
        <v>43000</v>
      </c>
      <c r="B509" s="93" t="s">
        <v>436</v>
      </c>
      <c r="C509" s="36">
        <f xml:space="preserve"> ABS((C491-CFD!$B$33)/(CFD!$B$34-CFD!$B$33)*(CFD!$A$34-CFD!$A$33) + CFD!$A$33)*PI()/180</f>
        <v>3.1013527749603708E-2</v>
      </c>
      <c r="D509" s="93"/>
      <c r="E509" s="93" t="s">
        <v>407</v>
      </c>
      <c r="F509" s="93" t="s">
        <v>21</v>
      </c>
      <c r="G509" s="29" t="s">
        <v>550</v>
      </c>
      <c r="H509" s="127" t="s">
        <v>526</v>
      </c>
      <c r="I509" s="127"/>
      <c r="J509" s="127"/>
      <c r="K509" s="127"/>
      <c r="L509" s="127"/>
    </row>
    <row r="510" spans="1:12" ht="18" customHeight="1" x14ac:dyDescent="0.2">
      <c r="A510" s="91">
        <v>44000</v>
      </c>
      <c r="B510" s="93" t="s">
        <v>436</v>
      </c>
      <c r="C510" s="36">
        <f xml:space="preserve"> ABS((C492-CFD!$B$33)/(CFD!$B$34-CFD!$B$33)*(CFD!$A$34-CFD!$A$33) + CFD!$A$33)*PI()/180</f>
        <v>3.2567766762465769E-2</v>
      </c>
      <c r="D510" s="93"/>
      <c r="E510" s="93" t="s">
        <v>407</v>
      </c>
      <c r="F510" s="93" t="s">
        <v>21</v>
      </c>
      <c r="G510" s="29" t="s">
        <v>550</v>
      </c>
      <c r="H510" s="127" t="s">
        <v>526</v>
      </c>
      <c r="I510" s="127"/>
      <c r="J510" s="127"/>
      <c r="K510" s="127"/>
      <c r="L510" s="127"/>
    </row>
    <row r="511" spans="1:12" ht="18" customHeight="1" x14ac:dyDescent="0.2">
      <c r="A511" s="91">
        <v>45000</v>
      </c>
      <c r="B511" s="93" t="s">
        <v>436</v>
      </c>
      <c r="C511" s="36">
        <f xml:space="preserve"> ABS((C493-CFD!$B$33)/(CFD!$B$34-CFD!$B$33)*(CFD!$A$34-CFD!$A$33) + CFD!$A$33)*PI()/180</f>
        <v>3.419177090325709E-2</v>
      </c>
      <c r="D511" s="93"/>
      <c r="E511" s="93" t="s">
        <v>407</v>
      </c>
      <c r="F511" s="93" t="s">
        <v>21</v>
      </c>
      <c r="G511" s="29" t="s">
        <v>550</v>
      </c>
      <c r="H511" s="127" t="s">
        <v>526</v>
      </c>
      <c r="I511" s="127"/>
      <c r="J511" s="127"/>
      <c r="K511" s="127"/>
      <c r="L511" s="127"/>
    </row>
    <row r="512" spans="1:12" ht="18" customHeight="1" x14ac:dyDescent="0.2">
      <c r="A512" s="91">
        <v>46000</v>
      </c>
      <c r="B512" s="93" t="s">
        <v>436</v>
      </c>
      <c r="C512" s="36">
        <f xml:space="preserve"> ABS((C494-CFD!$B$33)/(CFD!$B$34-CFD!$B$33)*(CFD!$A$34-CFD!$A$33) + CFD!$A$33)*PI()/180</f>
        <v>3.5899588868841377E-2</v>
      </c>
      <c r="D512" s="93"/>
      <c r="E512" s="93" t="s">
        <v>407</v>
      </c>
      <c r="F512" s="93" t="s">
        <v>21</v>
      </c>
      <c r="G512" s="29" t="s">
        <v>550</v>
      </c>
      <c r="H512" s="127" t="s">
        <v>526</v>
      </c>
      <c r="I512" s="127"/>
      <c r="J512" s="127"/>
      <c r="K512" s="127"/>
      <c r="L512" s="127"/>
    </row>
    <row r="513" spans="1:12" ht="18" customHeight="1" x14ac:dyDescent="0.2">
      <c r="A513" s="91">
        <v>47000</v>
      </c>
      <c r="B513" s="93" t="s">
        <v>436</v>
      </c>
      <c r="C513" s="36">
        <f xml:space="preserve"> ABS((C495-CFD!$B$33)/(CFD!$B$34-CFD!$B$33)*(CFD!$A$34-CFD!$A$33) + CFD!$A$33)*PI()/180</f>
        <v>3.7691953060908327E-2</v>
      </c>
      <c r="D513" s="93"/>
      <c r="E513" s="93" t="s">
        <v>407</v>
      </c>
      <c r="F513" s="93" t="s">
        <v>21</v>
      </c>
      <c r="G513" s="29" t="s">
        <v>550</v>
      </c>
      <c r="H513" s="127" t="s">
        <v>526</v>
      </c>
      <c r="I513" s="127"/>
      <c r="J513" s="127"/>
      <c r="K513" s="127"/>
      <c r="L513" s="127"/>
    </row>
    <row r="514" spans="1:12" ht="18" customHeight="1" x14ac:dyDescent="0.2">
      <c r="A514" s="91">
        <v>48000</v>
      </c>
      <c r="B514" s="93" t="s">
        <v>436</v>
      </c>
      <c r="C514" s="36">
        <f xml:space="preserve"> ABS((C496-CFD!$B$33)/(CFD!$B$34-CFD!$B$33)*(CFD!$A$34-CFD!$A$33) + CFD!$A$33)*PI()/180</f>
        <v>3.956848361483975E-2</v>
      </c>
      <c r="D514" s="93"/>
      <c r="E514" s="93" t="s">
        <v>407</v>
      </c>
      <c r="F514" s="93" t="s">
        <v>21</v>
      </c>
      <c r="G514" s="29" t="s">
        <v>550</v>
      </c>
      <c r="H514" s="127" t="s">
        <v>526</v>
      </c>
      <c r="I514" s="127"/>
      <c r="J514" s="127"/>
      <c r="K514" s="127"/>
      <c r="L514" s="127"/>
    </row>
    <row r="515" spans="1:12" ht="18" customHeight="1" x14ac:dyDescent="0.2">
      <c r="A515" s="91">
        <v>49000</v>
      </c>
      <c r="B515" s="93" t="s">
        <v>436</v>
      </c>
      <c r="C515" s="36">
        <f xml:space="preserve"> ABS((C497-CFD!$B$33)/(CFD!$B$34-CFD!$B$33)*(CFD!$A$34-CFD!$A$33) + CFD!$A$33)*PI()/180</f>
        <v>4.1549499415698965E-2</v>
      </c>
      <c r="D515" s="93"/>
      <c r="E515" s="93" t="s">
        <v>407</v>
      </c>
      <c r="F515" s="93" t="s">
        <v>21</v>
      </c>
      <c r="G515" s="29" t="s">
        <v>550</v>
      </c>
      <c r="H515" s="127" t="s">
        <v>526</v>
      </c>
      <c r="I515" s="127"/>
      <c r="J515" s="127"/>
      <c r="K515" s="127"/>
      <c r="L515" s="127"/>
    </row>
    <row r="516" spans="1:12" ht="18" customHeight="1" x14ac:dyDescent="0.2">
      <c r="A516" s="93" t="s">
        <v>560</v>
      </c>
      <c r="B516" s="47" t="s">
        <v>481</v>
      </c>
      <c r="C516" s="48">
        <f>C498/C534</f>
        <v>4.0484980558303338E-2</v>
      </c>
      <c r="D516" s="93" t="s">
        <v>125</v>
      </c>
      <c r="E516" s="93" t="s">
        <v>407</v>
      </c>
      <c r="F516" s="93" t="s">
        <v>21</v>
      </c>
      <c r="G516" s="29" t="s">
        <v>482</v>
      </c>
      <c r="H516" s="127" t="s">
        <v>483</v>
      </c>
      <c r="I516" s="127"/>
      <c r="J516" s="127"/>
      <c r="K516" s="127"/>
      <c r="L516" s="127"/>
    </row>
    <row r="517" spans="1:12" ht="18" customHeight="1" x14ac:dyDescent="0.2">
      <c r="A517" s="91">
        <v>42000</v>
      </c>
      <c r="B517" s="47" t="s">
        <v>481</v>
      </c>
      <c r="C517" s="48">
        <f t="shared" ref="C517:C524" si="20">C499/C535</f>
        <v>4.0528940252949758E-2</v>
      </c>
      <c r="D517" s="93" t="s">
        <v>125</v>
      </c>
      <c r="E517" s="93" t="s">
        <v>407</v>
      </c>
      <c r="F517" s="93" t="s">
        <v>21</v>
      </c>
      <c r="G517" s="29" t="s">
        <v>482</v>
      </c>
      <c r="H517" s="127" t="s">
        <v>483</v>
      </c>
      <c r="I517" s="127"/>
      <c r="J517" s="127"/>
      <c r="K517" s="127"/>
      <c r="L517" s="127"/>
    </row>
    <row r="518" spans="1:12" ht="18" customHeight="1" x14ac:dyDescent="0.2">
      <c r="A518" s="91">
        <v>43000</v>
      </c>
      <c r="B518" s="47" t="s">
        <v>481</v>
      </c>
      <c r="C518" s="48">
        <f t="shared" si="20"/>
        <v>4.057071874137326E-2</v>
      </c>
      <c r="D518" s="93" t="s">
        <v>125</v>
      </c>
      <c r="E518" s="93" t="s">
        <v>407</v>
      </c>
      <c r="F518" s="93" t="s">
        <v>21</v>
      </c>
      <c r="G518" s="29" t="s">
        <v>482</v>
      </c>
      <c r="H518" s="127" t="s">
        <v>483</v>
      </c>
      <c r="I518" s="127"/>
      <c r="J518" s="127"/>
      <c r="K518" s="127"/>
      <c r="L518" s="127"/>
    </row>
    <row r="519" spans="1:12" ht="18" customHeight="1" x14ac:dyDescent="0.2">
      <c r="A519" s="91">
        <v>44000</v>
      </c>
      <c r="B519" s="47" t="s">
        <v>481</v>
      </c>
      <c r="C519" s="48">
        <f t="shared" si="20"/>
        <v>4.0610651593761982E-2</v>
      </c>
      <c r="D519" s="93" t="s">
        <v>125</v>
      </c>
      <c r="E519" s="93" t="s">
        <v>407</v>
      </c>
      <c r="F519" s="93" t="s">
        <v>21</v>
      </c>
      <c r="G519" s="29" t="s">
        <v>482</v>
      </c>
      <c r="H519" s="127" t="s">
        <v>483</v>
      </c>
      <c r="I519" s="127"/>
      <c r="J519" s="127"/>
      <c r="K519" s="127"/>
      <c r="L519" s="127"/>
    </row>
    <row r="520" spans="1:12" ht="18" customHeight="1" x14ac:dyDescent="0.2">
      <c r="A520" s="91">
        <v>45000</v>
      </c>
      <c r="B520" s="47" t="s">
        <v>481</v>
      </c>
      <c r="C520" s="48">
        <f t="shared" si="20"/>
        <v>4.0648571025021868E-2</v>
      </c>
      <c r="D520" s="93" t="s">
        <v>125</v>
      </c>
      <c r="E520" s="93" t="s">
        <v>407</v>
      </c>
      <c r="F520" s="93" t="s">
        <v>21</v>
      </c>
      <c r="G520" s="29" t="s">
        <v>482</v>
      </c>
      <c r="H520" s="127" t="s">
        <v>483</v>
      </c>
      <c r="I520" s="127"/>
      <c r="J520" s="127"/>
      <c r="K520" s="127"/>
      <c r="L520" s="127"/>
    </row>
    <row r="521" spans="1:12" ht="18" customHeight="1" x14ac:dyDescent="0.2">
      <c r="A521" s="91">
        <v>46000</v>
      </c>
      <c r="B521" s="47" t="s">
        <v>481</v>
      </c>
      <c r="C521" s="48">
        <f t="shared" si="20"/>
        <v>4.0684812605341042E-2</v>
      </c>
      <c r="D521" s="93" t="s">
        <v>125</v>
      </c>
      <c r="E521" s="93" t="s">
        <v>407</v>
      </c>
      <c r="F521" s="93" t="s">
        <v>21</v>
      </c>
      <c r="G521" s="29" t="s">
        <v>482</v>
      </c>
      <c r="H521" s="127" t="s">
        <v>483</v>
      </c>
      <c r="I521" s="127"/>
      <c r="J521" s="127"/>
      <c r="K521" s="127"/>
      <c r="L521" s="127"/>
    </row>
    <row r="522" spans="1:12" ht="18" customHeight="1" x14ac:dyDescent="0.2">
      <c r="A522" s="91">
        <v>47000</v>
      </c>
      <c r="B522" s="47" t="s">
        <v>481</v>
      </c>
      <c r="C522" s="48">
        <f t="shared" si="20"/>
        <v>4.0719376334719531E-2</v>
      </c>
      <c r="D522" s="93" t="s">
        <v>125</v>
      </c>
      <c r="E522" s="93" t="s">
        <v>407</v>
      </c>
      <c r="F522" s="93" t="s">
        <v>21</v>
      </c>
      <c r="G522" s="29" t="s">
        <v>482</v>
      </c>
      <c r="H522" s="127" t="s">
        <v>483</v>
      </c>
      <c r="I522" s="127"/>
      <c r="J522" s="127"/>
      <c r="K522" s="127"/>
      <c r="L522" s="127"/>
    </row>
    <row r="523" spans="1:12" ht="18" customHeight="1" x14ac:dyDescent="0.2">
      <c r="A523" s="91">
        <v>48000</v>
      </c>
      <c r="B523" s="47" t="s">
        <v>481</v>
      </c>
      <c r="C523" s="48">
        <f t="shared" si="20"/>
        <v>4.0752262213157302E-2</v>
      </c>
      <c r="D523" s="93" t="s">
        <v>125</v>
      </c>
      <c r="E523" s="93" t="s">
        <v>407</v>
      </c>
      <c r="F523" s="93" t="s">
        <v>21</v>
      </c>
      <c r="G523" s="29" t="s">
        <v>482</v>
      </c>
      <c r="H523" s="127" t="s">
        <v>483</v>
      </c>
      <c r="I523" s="127"/>
      <c r="J523" s="127"/>
      <c r="K523" s="127"/>
      <c r="L523" s="127"/>
    </row>
    <row r="524" spans="1:12" ht="18" customHeight="1" x14ac:dyDescent="0.2">
      <c r="A524" s="91">
        <v>49000</v>
      </c>
      <c r="B524" s="47" t="s">
        <v>481</v>
      </c>
      <c r="C524" s="48">
        <f t="shared" si="20"/>
        <v>4.0783805810842531E-2</v>
      </c>
      <c r="D524" s="93" t="s">
        <v>125</v>
      </c>
      <c r="E524" s="93" t="s">
        <v>407</v>
      </c>
      <c r="F524" s="93" t="s">
        <v>21</v>
      </c>
      <c r="G524" s="29" t="s">
        <v>482</v>
      </c>
      <c r="H524" s="127" t="s">
        <v>483</v>
      </c>
      <c r="I524" s="127"/>
      <c r="J524" s="127"/>
      <c r="K524" s="127"/>
      <c r="L524" s="127"/>
    </row>
    <row r="525" spans="1:12" ht="18" customHeight="1" x14ac:dyDescent="0.2">
      <c r="A525" s="93" t="s">
        <v>559</v>
      </c>
      <c r="B525" s="93" t="s">
        <v>420</v>
      </c>
      <c r="C525" s="36">
        <f t="shared" ref="C525:C533" si="21">C489/C507</f>
        <v>2.5091523502263064</v>
      </c>
      <c r="D525" s="93" t="s">
        <v>125</v>
      </c>
      <c r="E525" s="93" t="s">
        <v>421</v>
      </c>
      <c r="F525" s="93" t="s">
        <v>21</v>
      </c>
      <c r="G525" s="29" t="s">
        <v>422</v>
      </c>
      <c r="H525" s="110" t="s">
        <v>423</v>
      </c>
      <c r="I525" s="110"/>
      <c r="J525" s="110"/>
      <c r="K525" s="110"/>
      <c r="L525" s="110"/>
    </row>
    <row r="526" spans="1:12" ht="18" customHeight="1" x14ac:dyDescent="0.2">
      <c r="A526" s="91">
        <v>42000</v>
      </c>
      <c r="B526" s="93" t="s">
        <v>420</v>
      </c>
      <c r="C526" s="36">
        <f t="shared" si="21"/>
        <v>2.5064307993925352</v>
      </c>
      <c r="D526" s="93" t="s">
        <v>125</v>
      </c>
      <c r="E526" s="93" t="s">
        <v>421</v>
      </c>
      <c r="F526" s="93" t="s">
        <v>21</v>
      </c>
      <c r="G526" s="29" t="s">
        <v>422</v>
      </c>
      <c r="H526" s="110" t="s">
        <v>423</v>
      </c>
      <c r="I526" s="110"/>
      <c r="J526" s="110"/>
      <c r="K526" s="110"/>
      <c r="L526" s="110"/>
    </row>
    <row r="527" spans="1:12" ht="18" customHeight="1" x14ac:dyDescent="0.2">
      <c r="A527" s="91">
        <v>43000</v>
      </c>
      <c r="B527" s="93" t="s">
        <v>420</v>
      </c>
      <c r="C527" s="36">
        <f t="shared" si="21"/>
        <v>2.5038497534218127</v>
      </c>
      <c r="D527" s="93" t="s">
        <v>125</v>
      </c>
      <c r="E527" s="93" t="s">
        <v>421</v>
      </c>
      <c r="F527" s="93" t="s">
        <v>21</v>
      </c>
      <c r="G527" s="29" t="s">
        <v>422</v>
      </c>
      <c r="H527" s="110" t="s">
        <v>423</v>
      </c>
      <c r="I527" s="110"/>
      <c r="J527" s="110"/>
      <c r="K527" s="110"/>
      <c r="L527" s="110"/>
    </row>
    <row r="528" spans="1:12" ht="18" customHeight="1" x14ac:dyDescent="0.2">
      <c r="A528" s="91">
        <v>44000</v>
      </c>
      <c r="B528" s="93" t="s">
        <v>420</v>
      </c>
      <c r="C528" s="36">
        <f t="shared" si="21"/>
        <v>2.5013876933788683</v>
      </c>
      <c r="D528" s="93" t="s">
        <v>125</v>
      </c>
      <c r="E528" s="93" t="s">
        <v>421</v>
      </c>
      <c r="F528" s="93" t="s">
        <v>21</v>
      </c>
      <c r="G528" s="29" t="s">
        <v>422</v>
      </c>
      <c r="H528" s="110" t="s">
        <v>423</v>
      </c>
      <c r="I528" s="110"/>
      <c r="J528" s="110"/>
      <c r="K528" s="110"/>
      <c r="L528" s="110"/>
    </row>
    <row r="529" spans="1:12" ht="18" customHeight="1" x14ac:dyDescent="0.2">
      <c r="A529" s="91">
        <v>45000</v>
      </c>
      <c r="B529" s="93" t="s">
        <v>420</v>
      </c>
      <c r="C529" s="36">
        <f t="shared" si="21"/>
        <v>2.4990542485294784</v>
      </c>
      <c r="D529" s="93" t="s">
        <v>125</v>
      </c>
      <c r="E529" s="93" t="s">
        <v>421</v>
      </c>
      <c r="F529" s="93" t="s">
        <v>21</v>
      </c>
      <c r="G529" s="29" t="s">
        <v>422</v>
      </c>
      <c r="H529" s="110" t="s">
        <v>423</v>
      </c>
      <c r="I529" s="110"/>
      <c r="J529" s="110"/>
      <c r="K529" s="110"/>
      <c r="L529" s="110"/>
    </row>
    <row r="530" spans="1:12" ht="18" customHeight="1" x14ac:dyDescent="0.2">
      <c r="A530" s="91">
        <v>46000</v>
      </c>
      <c r="B530" s="93" t="s">
        <v>420</v>
      </c>
      <c r="C530" s="36">
        <f t="shared" si="21"/>
        <v>2.4968281186920716</v>
      </c>
      <c r="D530" s="93" t="s">
        <v>125</v>
      </c>
      <c r="E530" s="93" t="s">
        <v>421</v>
      </c>
      <c r="F530" s="93" t="s">
        <v>21</v>
      </c>
      <c r="G530" s="29" t="s">
        <v>422</v>
      </c>
      <c r="H530" s="110" t="s">
        <v>423</v>
      </c>
      <c r="I530" s="110"/>
      <c r="J530" s="110"/>
      <c r="K530" s="110"/>
      <c r="L530" s="110"/>
    </row>
    <row r="531" spans="1:12" ht="18" customHeight="1" x14ac:dyDescent="0.2">
      <c r="A531" s="91">
        <v>47000</v>
      </c>
      <c r="B531" s="93" t="s">
        <v>420</v>
      </c>
      <c r="C531" s="36">
        <f t="shared" si="21"/>
        <v>2.4947087421404839</v>
      </c>
      <c r="D531" s="93" t="s">
        <v>125</v>
      </c>
      <c r="E531" s="93" t="s">
        <v>421</v>
      </c>
      <c r="F531" s="93" t="s">
        <v>21</v>
      </c>
      <c r="G531" s="29" t="s">
        <v>422</v>
      </c>
      <c r="H531" s="110" t="s">
        <v>423</v>
      </c>
      <c r="I531" s="110"/>
      <c r="J531" s="110"/>
      <c r="K531" s="110"/>
      <c r="L531" s="110"/>
    </row>
    <row r="532" spans="1:12" ht="18" customHeight="1" x14ac:dyDescent="0.2">
      <c r="A532" s="91">
        <v>48000</v>
      </c>
      <c r="B532" s="93" t="s">
        <v>420</v>
      </c>
      <c r="C532" s="36">
        <f t="shared" si="21"/>
        <v>2.4926955854719646</v>
      </c>
      <c r="D532" s="93" t="s">
        <v>125</v>
      </c>
      <c r="E532" s="93" t="s">
        <v>421</v>
      </c>
      <c r="F532" s="93" t="s">
        <v>21</v>
      </c>
      <c r="G532" s="29" t="s">
        <v>422</v>
      </c>
      <c r="H532" s="110" t="s">
        <v>423</v>
      </c>
      <c r="I532" s="110"/>
      <c r="J532" s="110"/>
      <c r="K532" s="110"/>
      <c r="L532" s="110"/>
    </row>
    <row r="533" spans="1:12" ht="18" customHeight="1" x14ac:dyDescent="0.2">
      <c r="A533" s="91">
        <v>49000</v>
      </c>
      <c r="B533" s="93" t="s">
        <v>420</v>
      </c>
      <c r="C533" s="36">
        <f t="shared" si="21"/>
        <v>2.4907676489997148</v>
      </c>
      <c r="D533" s="93" t="s">
        <v>125</v>
      </c>
      <c r="E533" s="93" t="s">
        <v>421</v>
      </c>
      <c r="F533" s="93" t="s">
        <v>21</v>
      </c>
      <c r="G533" s="29" t="s">
        <v>422</v>
      </c>
      <c r="H533" s="110" t="s">
        <v>423</v>
      </c>
      <c r="I533" s="110"/>
      <c r="J533" s="110"/>
      <c r="K533" s="110"/>
      <c r="L533" s="110"/>
    </row>
    <row r="534" spans="1:12" ht="18" customHeight="1" x14ac:dyDescent="0.2">
      <c r="A534" s="93" t="s">
        <v>425</v>
      </c>
      <c r="B534" s="93" t="s">
        <v>426</v>
      </c>
      <c r="C534" s="36">
        <f>C525</f>
        <v>2.5091523502263064</v>
      </c>
      <c r="D534" s="93" t="s">
        <v>125</v>
      </c>
      <c r="E534" s="93" t="s">
        <v>421</v>
      </c>
      <c r="F534" s="93" t="s">
        <v>21</v>
      </c>
      <c r="G534" s="29" t="s">
        <v>427</v>
      </c>
      <c r="H534" s="110" t="s">
        <v>428</v>
      </c>
      <c r="I534" s="110"/>
      <c r="J534" s="110"/>
      <c r="K534" s="110"/>
      <c r="L534" s="110"/>
    </row>
    <row r="535" spans="1:12" ht="18" customHeight="1" x14ac:dyDescent="0.2">
      <c r="A535" s="91">
        <v>42000</v>
      </c>
      <c r="B535" s="93" t="s">
        <v>426</v>
      </c>
      <c r="C535" s="36">
        <f t="shared" ref="C535:C542" si="22">C526</f>
        <v>2.5064307993925352</v>
      </c>
      <c r="D535" s="93" t="s">
        <v>125</v>
      </c>
      <c r="E535" s="93" t="s">
        <v>421</v>
      </c>
      <c r="F535" s="93" t="s">
        <v>21</v>
      </c>
      <c r="G535" s="29" t="s">
        <v>427</v>
      </c>
      <c r="H535" s="110" t="s">
        <v>428</v>
      </c>
      <c r="I535" s="110"/>
      <c r="J535" s="110"/>
      <c r="K535" s="110"/>
      <c r="L535" s="110"/>
    </row>
    <row r="536" spans="1:12" ht="18" customHeight="1" x14ac:dyDescent="0.2">
      <c r="A536" s="91">
        <v>43000</v>
      </c>
      <c r="B536" s="93" t="s">
        <v>426</v>
      </c>
      <c r="C536" s="36">
        <f t="shared" si="22"/>
        <v>2.5038497534218127</v>
      </c>
      <c r="D536" s="93" t="s">
        <v>125</v>
      </c>
      <c r="E536" s="93" t="s">
        <v>421</v>
      </c>
      <c r="F536" s="93" t="s">
        <v>21</v>
      </c>
      <c r="G536" s="29" t="s">
        <v>427</v>
      </c>
      <c r="H536" s="110" t="s">
        <v>428</v>
      </c>
      <c r="I536" s="110"/>
      <c r="J536" s="110"/>
      <c r="K536" s="110"/>
      <c r="L536" s="110"/>
    </row>
    <row r="537" spans="1:12" ht="18" customHeight="1" x14ac:dyDescent="0.2">
      <c r="A537" s="91">
        <v>44000</v>
      </c>
      <c r="B537" s="93" t="s">
        <v>426</v>
      </c>
      <c r="C537" s="36">
        <f t="shared" si="22"/>
        <v>2.5013876933788683</v>
      </c>
      <c r="D537" s="93" t="s">
        <v>125</v>
      </c>
      <c r="E537" s="93" t="s">
        <v>421</v>
      </c>
      <c r="F537" s="93" t="s">
        <v>21</v>
      </c>
      <c r="G537" s="29" t="s">
        <v>427</v>
      </c>
      <c r="H537" s="110" t="s">
        <v>428</v>
      </c>
      <c r="I537" s="110"/>
      <c r="J537" s="110"/>
      <c r="K537" s="110"/>
      <c r="L537" s="110"/>
    </row>
    <row r="538" spans="1:12" ht="18" customHeight="1" x14ac:dyDescent="0.2">
      <c r="A538" s="91">
        <v>45000</v>
      </c>
      <c r="B538" s="93" t="s">
        <v>426</v>
      </c>
      <c r="C538" s="36">
        <f t="shared" si="22"/>
        <v>2.4990542485294784</v>
      </c>
      <c r="D538" s="93" t="s">
        <v>125</v>
      </c>
      <c r="E538" s="93" t="s">
        <v>421</v>
      </c>
      <c r="F538" s="93" t="s">
        <v>21</v>
      </c>
      <c r="G538" s="29" t="s">
        <v>427</v>
      </c>
      <c r="H538" s="110" t="s">
        <v>428</v>
      </c>
      <c r="I538" s="110"/>
      <c r="J538" s="110"/>
      <c r="K538" s="110"/>
      <c r="L538" s="110"/>
    </row>
    <row r="539" spans="1:12" ht="18" customHeight="1" x14ac:dyDescent="0.2">
      <c r="A539" s="91">
        <v>46000</v>
      </c>
      <c r="B539" s="93" t="s">
        <v>426</v>
      </c>
      <c r="C539" s="36">
        <f t="shared" si="22"/>
        <v>2.4968281186920716</v>
      </c>
      <c r="D539" s="93" t="s">
        <v>125</v>
      </c>
      <c r="E539" s="93" t="s">
        <v>421</v>
      </c>
      <c r="F539" s="93" t="s">
        <v>21</v>
      </c>
      <c r="G539" s="29" t="s">
        <v>427</v>
      </c>
      <c r="H539" s="110" t="s">
        <v>428</v>
      </c>
      <c r="I539" s="110"/>
      <c r="J539" s="110"/>
      <c r="K539" s="110"/>
      <c r="L539" s="110"/>
    </row>
    <row r="540" spans="1:12" ht="18" customHeight="1" x14ac:dyDescent="0.2">
      <c r="A540" s="91">
        <v>47000</v>
      </c>
      <c r="B540" s="93" t="s">
        <v>426</v>
      </c>
      <c r="C540" s="36">
        <f t="shared" si="22"/>
        <v>2.4947087421404839</v>
      </c>
      <c r="D540" s="93" t="s">
        <v>125</v>
      </c>
      <c r="E540" s="93" t="s">
        <v>421</v>
      </c>
      <c r="F540" s="93" t="s">
        <v>21</v>
      </c>
      <c r="G540" s="29" t="s">
        <v>427</v>
      </c>
      <c r="H540" s="110" t="s">
        <v>428</v>
      </c>
      <c r="I540" s="110"/>
      <c r="J540" s="110"/>
      <c r="K540" s="110"/>
      <c r="L540" s="110"/>
    </row>
    <row r="541" spans="1:12" ht="18" customHeight="1" x14ac:dyDescent="0.2">
      <c r="A541" s="91">
        <v>48000</v>
      </c>
      <c r="B541" s="93" t="s">
        <v>426</v>
      </c>
      <c r="C541" s="36">
        <f t="shared" si="22"/>
        <v>2.4926955854719646</v>
      </c>
      <c r="D541" s="93" t="s">
        <v>125</v>
      </c>
      <c r="E541" s="93" t="s">
        <v>421</v>
      </c>
      <c r="F541" s="93" t="s">
        <v>21</v>
      </c>
      <c r="G541" s="29" t="s">
        <v>427</v>
      </c>
      <c r="H541" s="110" t="s">
        <v>428</v>
      </c>
      <c r="I541" s="110"/>
      <c r="J541" s="110"/>
      <c r="K541" s="110"/>
      <c r="L541" s="110"/>
    </row>
    <row r="542" spans="1:12" ht="18" customHeight="1" x14ac:dyDescent="0.2">
      <c r="A542" s="91">
        <v>49000</v>
      </c>
      <c r="B542" s="93" t="s">
        <v>426</v>
      </c>
      <c r="C542" s="36">
        <f t="shared" si="22"/>
        <v>2.4907676489997148</v>
      </c>
      <c r="D542" s="93" t="s">
        <v>125</v>
      </c>
      <c r="E542" s="93" t="s">
        <v>421</v>
      </c>
      <c r="F542" s="93" t="s">
        <v>21</v>
      </c>
      <c r="G542" s="29" t="s">
        <v>427</v>
      </c>
      <c r="H542" s="110" t="s">
        <v>428</v>
      </c>
      <c r="I542" s="110"/>
      <c r="J542" s="110"/>
      <c r="K542" s="110"/>
      <c r="L542" s="110"/>
    </row>
    <row r="543" spans="1:12" ht="18" customHeight="1" x14ac:dyDescent="0.2">
      <c r="A543" s="96" t="s">
        <v>429</v>
      </c>
      <c r="B543" s="93" t="s">
        <v>430</v>
      </c>
      <c r="C543" s="36">
        <f>$C$7/C507</f>
        <v>0.65099252691414167</v>
      </c>
      <c r="D543" s="93" t="s">
        <v>125</v>
      </c>
      <c r="E543" s="93" t="s">
        <v>431</v>
      </c>
      <c r="F543" s="93" t="s">
        <v>21</v>
      </c>
      <c r="G543" s="29" t="s">
        <v>432</v>
      </c>
      <c r="H543" s="110" t="s">
        <v>433</v>
      </c>
      <c r="I543" s="110"/>
      <c r="J543" s="110"/>
      <c r="K543" s="110"/>
      <c r="L543" s="110"/>
    </row>
    <row r="544" spans="1:12" ht="18" customHeight="1" x14ac:dyDescent="0.2">
      <c r="A544" s="91">
        <v>42000</v>
      </c>
      <c r="B544" s="93" t="s">
        <v>430</v>
      </c>
      <c r="C544" s="36">
        <f t="shared" ref="C544:C551" si="23">$C$7/C508</f>
        <v>0.61985144352657318</v>
      </c>
      <c r="D544" s="93" t="s">
        <v>125</v>
      </c>
      <c r="E544" s="93" t="s">
        <v>431</v>
      </c>
      <c r="F544" s="93" t="s">
        <v>21</v>
      </c>
      <c r="G544" s="29" t="s">
        <v>432</v>
      </c>
      <c r="H544" s="110" t="s">
        <v>433</v>
      </c>
      <c r="I544" s="110"/>
      <c r="J544" s="110"/>
      <c r="K544" s="110"/>
      <c r="L544" s="110"/>
    </row>
    <row r="545" spans="1:12" ht="18" customHeight="1" x14ac:dyDescent="0.2">
      <c r="A545" s="91">
        <v>43000</v>
      </c>
      <c r="B545" s="93" t="s">
        <v>430</v>
      </c>
      <c r="C545" s="36">
        <f t="shared" si="23"/>
        <v>0.59031807350679255</v>
      </c>
      <c r="D545" s="93" t="s">
        <v>125</v>
      </c>
      <c r="E545" s="93" t="s">
        <v>431</v>
      </c>
      <c r="F545" s="93" t="s">
        <v>21</v>
      </c>
      <c r="G545" s="29" t="s">
        <v>432</v>
      </c>
      <c r="H545" s="110" t="s">
        <v>433</v>
      </c>
      <c r="I545" s="110"/>
      <c r="J545" s="110"/>
      <c r="K545" s="110"/>
      <c r="L545" s="110"/>
    </row>
    <row r="546" spans="1:12" ht="18" customHeight="1" x14ac:dyDescent="0.2">
      <c r="A546" s="91">
        <v>44000</v>
      </c>
      <c r="B546" s="93" t="s">
        <v>430</v>
      </c>
      <c r="C546" s="36">
        <f t="shared" si="23"/>
        <v>0.56214618850977638</v>
      </c>
      <c r="D546" s="93" t="s">
        <v>125</v>
      </c>
      <c r="E546" s="93" t="s">
        <v>431</v>
      </c>
      <c r="F546" s="93" t="s">
        <v>21</v>
      </c>
      <c r="G546" s="29" t="s">
        <v>432</v>
      </c>
      <c r="H546" s="110" t="s">
        <v>433</v>
      </c>
      <c r="I546" s="110"/>
      <c r="J546" s="110"/>
      <c r="K546" s="110"/>
      <c r="L546" s="110"/>
    </row>
    <row r="547" spans="1:12" ht="18" customHeight="1" x14ac:dyDescent="0.2">
      <c r="A547" s="91">
        <v>45000</v>
      </c>
      <c r="B547" s="93" t="s">
        <v>430</v>
      </c>
      <c r="C547" s="36">
        <f t="shared" si="23"/>
        <v>0.53544597048208209</v>
      </c>
      <c r="D547" s="93" t="s">
        <v>125</v>
      </c>
      <c r="E547" s="93" t="s">
        <v>431</v>
      </c>
      <c r="F547" s="93" t="s">
        <v>21</v>
      </c>
      <c r="G547" s="29" t="s">
        <v>432</v>
      </c>
      <c r="H547" s="110" t="s">
        <v>433</v>
      </c>
      <c r="I547" s="110"/>
      <c r="J547" s="110"/>
      <c r="K547" s="110"/>
      <c r="L547" s="110"/>
    </row>
    <row r="548" spans="1:12" ht="18" customHeight="1" x14ac:dyDescent="0.2">
      <c r="A548" s="91">
        <v>46000</v>
      </c>
      <c r="B548" s="93" t="s">
        <v>430</v>
      </c>
      <c r="C548" s="36">
        <f t="shared" si="23"/>
        <v>0.50997369414683158</v>
      </c>
      <c r="D548" s="93" t="s">
        <v>125</v>
      </c>
      <c r="E548" s="93" t="s">
        <v>431</v>
      </c>
      <c r="F548" s="93" t="s">
        <v>21</v>
      </c>
      <c r="G548" s="29" t="s">
        <v>432</v>
      </c>
      <c r="H548" s="110" t="s">
        <v>433</v>
      </c>
      <c r="I548" s="110"/>
      <c r="J548" s="110"/>
      <c r="K548" s="110"/>
      <c r="L548" s="110"/>
    </row>
    <row r="549" spans="1:12" ht="18" customHeight="1" x14ac:dyDescent="0.2">
      <c r="A549" s="91">
        <v>47000</v>
      </c>
      <c r="B549" s="93" t="s">
        <v>430</v>
      </c>
      <c r="C549" s="36">
        <f t="shared" si="23"/>
        <v>0.48572293200649325</v>
      </c>
      <c r="D549" s="93" t="s">
        <v>125</v>
      </c>
      <c r="E549" s="93" t="s">
        <v>431</v>
      </c>
      <c r="F549" s="93" t="s">
        <v>21</v>
      </c>
      <c r="G549" s="29" t="s">
        <v>432</v>
      </c>
      <c r="H549" s="110" t="s">
        <v>433</v>
      </c>
      <c r="I549" s="110"/>
      <c r="J549" s="110"/>
      <c r="K549" s="110"/>
      <c r="L549" s="110"/>
    </row>
    <row r="550" spans="1:12" ht="18" customHeight="1" x14ac:dyDescent="0.2">
      <c r="A550" s="91">
        <v>48000</v>
      </c>
      <c r="B550" s="93" t="s">
        <v>430</v>
      </c>
      <c r="C550" s="36">
        <f t="shared" si="23"/>
        <v>0.46268758065141879</v>
      </c>
      <c r="D550" s="93" t="s">
        <v>125</v>
      </c>
      <c r="E550" s="93" t="s">
        <v>431</v>
      </c>
      <c r="F550" s="93" t="s">
        <v>21</v>
      </c>
      <c r="G550" s="29" t="s">
        <v>432</v>
      </c>
      <c r="H550" s="110" t="s">
        <v>433</v>
      </c>
      <c r="I550" s="110"/>
      <c r="J550" s="110"/>
      <c r="K550" s="110"/>
      <c r="L550" s="110"/>
    </row>
    <row r="551" spans="1:12" ht="18" customHeight="1" x14ac:dyDescent="0.2">
      <c r="A551" s="91">
        <v>49000</v>
      </c>
      <c r="B551" s="93" t="s">
        <v>430</v>
      </c>
      <c r="C551" s="36">
        <f t="shared" si="23"/>
        <v>0.44062735318727131</v>
      </c>
      <c r="D551" s="93" t="s">
        <v>125</v>
      </c>
      <c r="E551" s="93" t="s">
        <v>431</v>
      </c>
      <c r="F551" s="93" t="s">
        <v>21</v>
      </c>
      <c r="G551" s="29" t="s">
        <v>432</v>
      </c>
      <c r="H551" s="110" t="s">
        <v>433</v>
      </c>
      <c r="I551" s="110"/>
      <c r="J551" s="110"/>
      <c r="K551" s="110"/>
      <c r="L551" s="110"/>
    </row>
    <row r="552" spans="1:12" ht="18" customHeight="1" x14ac:dyDescent="0.2">
      <c r="A552" s="93" t="s">
        <v>434</v>
      </c>
      <c r="B552" s="93" t="s">
        <v>435</v>
      </c>
      <c r="C552" s="36">
        <f>2*'Stability Constants Subsonic'!$C$13*('Stability Constants Subsonic'!$C$4-'Stability Constants Subsonic'!$C$3)*'Stability Constants Subsonic'!$C$14*'Supersonic Stability'!C507</f>
        <v>55079.136612900853</v>
      </c>
      <c r="D552" s="93" t="s">
        <v>125</v>
      </c>
      <c r="E552" s="93" t="s">
        <v>224</v>
      </c>
      <c r="F552" s="93" t="s">
        <v>21</v>
      </c>
      <c r="G552" s="29" t="s">
        <v>437</v>
      </c>
      <c r="H552" s="110" t="s">
        <v>438</v>
      </c>
      <c r="I552" s="110"/>
      <c r="J552" s="110"/>
      <c r="K552" s="110"/>
      <c r="L552" s="110"/>
    </row>
    <row r="553" spans="1:12" ht="18" customHeight="1" x14ac:dyDescent="0.2">
      <c r="A553" s="91">
        <v>42000</v>
      </c>
      <c r="B553" s="93" t="s">
        <v>435</v>
      </c>
      <c r="C553" s="36">
        <f>2*'Stability Constants Subsonic'!$C$13*('Stability Constants Subsonic'!$C$4-'Stability Constants Subsonic'!$C$3)*'Stability Constants Subsonic'!$C$14*'Supersonic Stability'!C508</f>
        <v>57846.289943090836</v>
      </c>
      <c r="D553" s="93" t="s">
        <v>125</v>
      </c>
      <c r="E553" s="93" t="s">
        <v>224</v>
      </c>
      <c r="F553" s="93" t="s">
        <v>21</v>
      </c>
      <c r="G553" s="29" t="s">
        <v>437</v>
      </c>
      <c r="H553" s="110" t="s">
        <v>438</v>
      </c>
      <c r="I553" s="110"/>
      <c r="J553" s="110"/>
      <c r="K553" s="110"/>
      <c r="L553" s="110"/>
    </row>
    <row r="554" spans="1:12" ht="18" customHeight="1" x14ac:dyDescent="0.2">
      <c r="A554" s="91">
        <v>43000</v>
      </c>
      <c r="B554" s="93" t="s">
        <v>435</v>
      </c>
      <c r="C554" s="36">
        <f>2*'Stability Constants Subsonic'!$C$13*('Stability Constants Subsonic'!$C$4-'Stability Constants Subsonic'!$C$3)*'Stability Constants Subsonic'!$C$14*'Supersonic Stability'!C509</f>
        <v>60740.315997573751</v>
      </c>
      <c r="D554" s="93" t="s">
        <v>125</v>
      </c>
      <c r="E554" s="93" t="s">
        <v>224</v>
      </c>
      <c r="F554" s="93" t="s">
        <v>21</v>
      </c>
      <c r="G554" s="29" t="s">
        <v>437</v>
      </c>
      <c r="H554" s="110" t="s">
        <v>438</v>
      </c>
      <c r="I554" s="110"/>
      <c r="J554" s="110"/>
      <c r="K554" s="110"/>
      <c r="L554" s="110"/>
    </row>
    <row r="555" spans="1:12" ht="18" customHeight="1" x14ac:dyDescent="0.2">
      <c r="A555" s="91">
        <v>44000</v>
      </c>
      <c r="B555" s="93" t="s">
        <v>435</v>
      </c>
      <c r="C555" s="36">
        <f>2*'Stability Constants Subsonic'!$C$13*('Stability Constants Subsonic'!$C$4-'Stability Constants Subsonic'!$C$3)*'Stability Constants Subsonic'!$C$14*'Supersonic Stability'!C510</f>
        <v>63784.309236240544</v>
      </c>
      <c r="D555" s="93" t="s">
        <v>125</v>
      </c>
      <c r="E555" s="93" t="s">
        <v>224</v>
      </c>
      <c r="F555" s="93" t="s">
        <v>21</v>
      </c>
      <c r="G555" s="29" t="s">
        <v>437</v>
      </c>
      <c r="H555" s="110" t="s">
        <v>438</v>
      </c>
      <c r="I555" s="110"/>
      <c r="J555" s="110"/>
      <c r="K555" s="110"/>
      <c r="L555" s="110"/>
    </row>
    <row r="556" spans="1:12" ht="18" customHeight="1" x14ac:dyDescent="0.2">
      <c r="A556" s="91">
        <v>45000</v>
      </c>
      <c r="B556" s="93" t="s">
        <v>435</v>
      </c>
      <c r="C556" s="36">
        <f>2*'Stability Constants Subsonic'!$C$13*('Stability Constants Subsonic'!$C$4-'Stability Constants Subsonic'!$C$3)*'Stability Constants Subsonic'!$C$14*'Supersonic Stability'!C511</f>
        <v>66964.938202072837</v>
      </c>
      <c r="D556" s="93" t="s">
        <v>125</v>
      </c>
      <c r="E556" s="93" t="s">
        <v>224</v>
      </c>
      <c r="F556" s="93" t="s">
        <v>21</v>
      </c>
      <c r="G556" s="29" t="s">
        <v>437</v>
      </c>
      <c r="H556" s="110" t="s">
        <v>438</v>
      </c>
      <c r="I556" s="110"/>
      <c r="J556" s="110"/>
      <c r="K556" s="110"/>
      <c r="L556" s="110"/>
    </row>
    <row r="557" spans="1:12" ht="18" customHeight="1" x14ac:dyDescent="0.2">
      <c r="A557" s="91">
        <v>46000</v>
      </c>
      <c r="B557" s="93" t="s">
        <v>435</v>
      </c>
      <c r="C557" s="36">
        <f>2*'Stability Constants Subsonic'!$C$13*('Stability Constants Subsonic'!$C$4-'Stability Constants Subsonic'!$C$3)*'Stability Constants Subsonic'!$C$14*'Supersonic Stability'!C512</f>
        <v>70309.717413694409</v>
      </c>
      <c r="D557" s="93" t="s">
        <v>125</v>
      </c>
      <c r="E557" s="93" t="s">
        <v>224</v>
      </c>
      <c r="F557" s="93" t="s">
        <v>21</v>
      </c>
      <c r="G557" s="29" t="s">
        <v>437</v>
      </c>
      <c r="H557" s="110" t="s">
        <v>438</v>
      </c>
      <c r="I557" s="110"/>
      <c r="J557" s="110"/>
      <c r="K557" s="110"/>
      <c r="L557" s="110"/>
    </row>
    <row r="558" spans="1:12" ht="18" customHeight="1" x14ac:dyDescent="0.2">
      <c r="A558" s="91">
        <v>47000</v>
      </c>
      <c r="B558" s="93" t="s">
        <v>435</v>
      </c>
      <c r="C558" s="36">
        <f>2*'Stability Constants Subsonic'!$C$13*('Stability Constants Subsonic'!$C$4-'Stability Constants Subsonic'!$C$3)*'Stability Constants Subsonic'!$C$14*'Supersonic Stability'!C513</f>
        <v>73820.081287416368</v>
      </c>
      <c r="D558" s="93" t="s">
        <v>125</v>
      </c>
      <c r="E558" s="93" t="s">
        <v>224</v>
      </c>
      <c r="F558" s="93" t="s">
        <v>21</v>
      </c>
      <c r="G558" s="29" t="s">
        <v>437</v>
      </c>
      <c r="H558" s="110" t="s">
        <v>438</v>
      </c>
      <c r="I558" s="110"/>
      <c r="J558" s="110"/>
      <c r="K558" s="110"/>
      <c r="L558" s="110"/>
    </row>
    <row r="559" spans="1:12" ht="18" customHeight="1" x14ac:dyDescent="0.2">
      <c r="A559" s="91">
        <v>48000</v>
      </c>
      <c r="B559" s="93" t="s">
        <v>435</v>
      </c>
      <c r="C559" s="36">
        <f>2*'Stability Constants Subsonic'!$C$13*('Stability Constants Subsonic'!$C$4-'Stability Constants Subsonic'!$C$3)*'Stability Constants Subsonic'!$C$14*'Supersonic Stability'!C514</f>
        <v>77495.285854441259</v>
      </c>
      <c r="D559" s="93" t="s">
        <v>125</v>
      </c>
      <c r="E559" s="93" t="s">
        <v>224</v>
      </c>
      <c r="F559" s="93" t="s">
        <v>21</v>
      </c>
      <c r="G559" s="29" t="s">
        <v>437</v>
      </c>
      <c r="H559" s="110" t="s">
        <v>438</v>
      </c>
      <c r="I559" s="110"/>
      <c r="J559" s="110"/>
      <c r="K559" s="110"/>
      <c r="L559" s="110"/>
    </row>
    <row r="560" spans="1:12" ht="18" customHeight="1" x14ac:dyDescent="0.2">
      <c r="A560" s="91">
        <v>49000</v>
      </c>
      <c r="B560" s="93" t="s">
        <v>435</v>
      </c>
      <c r="C560" s="36">
        <f>2*'Stability Constants Subsonic'!$C$13*('Stability Constants Subsonic'!$C$4-'Stability Constants Subsonic'!$C$3)*'Stability Constants Subsonic'!$C$14*'Supersonic Stability'!C515</f>
        <v>81375.125862062225</v>
      </c>
      <c r="D560" s="93" t="s">
        <v>125</v>
      </c>
      <c r="E560" s="93" t="s">
        <v>224</v>
      </c>
      <c r="F560" s="93" t="s">
        <v>21</v>
      </c>
      <c r="G560" s="29" t="s">
        <v>437</v>
      </c>
      <c r="H560" s="110" t="s">
        <v>438</v>
      </c>
      <c r="I560" s="110"/>
      <c r="J560" s="110"/>
      <c r="K560" s="110"/>
      <c r="L560" s="110"/>
    </row>
    <row r="561" spans="1:12" ht="18" customHeight="1" x14ac:dyDescent="0.2">
      <c r="A561" s="93" t="s">
        <v>439</v>
      </c>
      <c r="B561" s="93" t="s">
        <v>440</v>
      </c>
      <c r="C561" s="36">
        <f>2*'Stability Constants Subsonic'!$C$13*('Stability Constants Subsonic'!$C$6-'Stability Constants Subsonic'!$C$5)*'Stability Constants Subsonic'!$C$15*'Supersonic Stability'!C507</f>
        <v>34456.628625184618</v>
      </c>
      <c r="D561" s="93" t="s">
        <v>125</v>
      </c>
      <c r="E561" s="93" t="s">
        <v>224</v>
      </c>
      <c r="F561" s="93" t="s">
        <v>21</v>
      </c>
      <c r="G561" s="29" t="s">
        <v>442</v>
      </c>
      <c r="H561" s="110" t="s">
        <v>438</v>
      </c>
      <c r="I561" s="110"/>
      <c r="J561" s="110"/>
      <c r="K561" s="110"/>
      <c r="L561" s="110"/>
    </row>
    <row r="562" spans="1:12" ht="18" customHeight="1" x14ac:dyDescent="0.2">
      <c r="A562" s="91">
        <v>42000</v>
      </c>
      <c r="B562" s="93" t="s">
        <v>440</v>
      </c>
      <c r="C562" s="36">
        <f>2*'Stability Constants Subsonic'!$C$13*('Stability Constants Subsonic'!$C$6-'Stability Constants Subsonic'!$C$5)*'Stability Constants Subsonic'!$C$15*'Supersonic Stability'!C508</f>
        <v>36187.715575900671</v>
      </c>
      <c r="D562" s="93" t="s">
        <v>125</v>
      </c>
      <c r="E562" s="93" t="s">
        <v>224</v>
      </c>
      <c r="F562" s="93" t="s">
        <v>21</v>
      </c>
      <c r="G562" s="29" t="s">
        <v>442</v>
      </c>
      <c r="H562" s="110" t="s">
        <v>438</v>
      </c>
      <c r="I562" s="110"/>
      <c r="J562" s="110"/>
      <c r="K562" s="110"/>
      <c r="L562" s="110"/>
    </row>
    <row r="563" spans="1:12" ht="18" customHeight="1" x14ac:dyDescent="0.2">
      <c r="A563" s="91">
        <v>43000</v>
      </c>
      <c r="B563" s="93" t="s">
        <v>440</v>
      </c>
      <c r="C563" s="36">
        <f>2*'Stability Constants Subsonic'!$C$13*('Stability Constants Subsonic'!$C$6-'Stability Constants Subsonic'!$C$5)*'Stability Constants Subsonic'!$C$15*'Supersonic Stability'!C509</f>
        <v>37998.172077638381</v>
      </c>
      <c r="D563" s="93" t="s">
        <v>125</v>
      </c>
      <c r="E563" s="93" t="s">
        <v>224</v>
      </c>
      <c r="F563" s="93" t="s">
        <v>21</v>
      </c>
      <c r="G563" s="29" t="s">
        <v>442</v>
      </c>
      <c r="H563" s="110" t="s">
        <v>438</v>
      </c>
      <c r="I563" s="110"/>
      <c r="J563" s="110"/>
      <c r="K563" s="110"/>
      <c r="L563" s="110"/>
    </row>
    <row r="564" spans="1:12" ht="18" customHeight="1" x14ac:dyDescent="0.2">
      <c r="A564" s="91">
        <v>44000</v>
      </c>
      <c r="B564" s="93" t="s">
        <v>440</v>
      </c>
      <c r="C564" s="36">
        <f>2*'Stability Constants Subsonic'!$C$13*('Stability Constants Subsonic'!$C$6-'Stability Constants Subsonic'!$C$5)*'Stability Constants Subsonic'!$C$15*'Supersonic Stability'!C510</f>
        <v>39902.445655843818</v>
      </c>
      <c r="D564" s="93" t="s">
        <v>125</v>
      </c>
      <c r="E564" s="93" t="s">
        <v>224</v>
      </c>
      <c r="F564" s="93" t="s">
        <v>21</v>
      </c>
      <c r="G564" s="29" t="s">
        <v>442</v>
      </c>
      <c r="H564" s="110" t="s">
        <v>438</v>
      </c>
      <c r="I564" s="110"/>
      <c r="J564" s="110"/>
      <c r="K564" s="110"/>
      <c r="L564" s="110"/>
    </row>
    <row r="565" spans="1:12" ht="18" customHeight="1" x14ac:dyDescent="0.2">
      <c r="A565" s="91">
        <v>45000</v>
      </c>
      <c r="B565" s="93" t="s">
        <v>440</v>
      </c>
      <c r="C565" s="36">
        <f>2*'Stability Constants Subsonic'!$C$13*('Stability Constants Subsonic'!$C$6-'Stability Constants Subsonic'!$C$5)*'Stability Constants Subsonic'!$C$15*'Supersonic Stability'!C511</f>
        <v>41892.196363819123</v>
      </c>
      <c r="D565" s="93" t="s">
        <v>125</v>
      </c>
      <c r="E565" s="93" t="s">
        <v>224</v>
      </c>
      <c r="F565" s="93" t="s">
        <v>21</v>
      </c>
      <c r="G565" s="29" t="s">
        <v>442</v>
      </c>
      <c r="H565" s="110" t="s">
        <v>438</v>
      </c>
      <c r="I565" s="110"/>
      <c r="J565" s="110"/>
      <c r="K565" s="110"/>
      <c r="L565" s="110"/>
    </row>
    <row r="566" spans="1:12" ht="18" customHeight="1" x14ac:dyDescent="0.2">
      <c r="A566" s="91">
        <v>46000</v>
      </c>
      <c r="B566" s="93" t="s">
        <v>440</v>
      </c>
      <c r="C566" s="36">
        <f>2*'Stability Constants Subsonic'!$C$13*('Stability Constants Subsonic'!$C$6-'Stability Constants Subsonic'!$C$5)*'Stability Constants Subsonic'!$C$15*'Supersonic Stability'!C512</f>
        <v>43984.636845195295</v>
      </c>
      <c r="D566" s="93" t="s">
        <v>125</v>
      </c>
      <c r="E566" s="93" t="s">
        <v>224</v>
      </c>
      <c r="F566" s="93" t="s">
        <v>21</v>
      </c>
      <c r="G566" s="29" t="s">
        <v>442</v>
      </c>
      <c r="H566" s="110" t="s">
        <v>438</v>
      </c>
      <c r="I566" s="110"/>
      <c r="J566" s="110"/>
      <c r="K566" s="110"/>
      <c r="L566" s="110"/>
    </row>
    <row r="567" spans="1:12" ht="18" customHeight="1" x14ac:dyDescent="0.2">
      <c r="A567" s="91">
        <v>47000</v>
      </c>
      <c r="B567" s="93" t="s">
        <v>440</v>
      </c>
      <c r="C567" s="36">
        <f>2*'Stability Constants Subsonic'!$C$13*('Stability Constants Subsonic'!$C$6-'Stability Constants Subsonic'!$C$5)*'Stability Constants Subsonic'!$C$15*'Supersonic Stability'!C513</f>
        <v>46180.66444791868</v>
      </c>
      <c r="D567" s="93" t="s">
        <v>125</v>
      </c>
      <c r="E567" s="93" t="s">
        <v>224</v>
      </c>
      <c r="F567" s="93" t="s">
        <v>21</v>
      </c>
      <c r="G567" s="29" t="s">
        <v>442</v>
      </c>
      <c r="H567" s="110" t="s">
        <v>438</v>
      </c>
      <c r="I567" s="110"/>
      <c r="J567" s="110"/>
      <c r="K567" s="110"/>
      <c r="L567" s="110"/>
    </row>
    <row r="568" spans="1:12" ht="18" customHeight="1" x14ac:dyDescent="0.2">
      <c r="A568" s="91">
        <v>48000</v>
      </c>
      <c r="B568" s="93" t="s">
        <v>440</v>
      </c>
      <c r="C568" s="36">
        <f>2*'Stability Constants Subsonic'!$C$13*('Stability Constants Subsonic'!$C$6-'Stability Constants Subsonic'!$C$5)*'Stability Constants Subsonic'!$C$15*'Supersonic Stability'!C514</f>
        <v>48479.813756985699</v>
      </c>
      <c r="D568" s="93" t="s">
        <v>125</v>
      </c>
      <c r="E568" s="93" t="s">
        <v>224</v>
      </c>
      <c r="F568" s="93" t="s">
        <v>21</v>
      </c>
      <c r="G568" s="29" t="s">
        <v>442</v>
      </c>
      <c r="H568" s="110" t="s">
        <v>438</v>
      </c>
      <c r="I568" s="110"/>
      <c r="J568" s="110"/>
      <c r="K568" s="110"/>
      <c r="L568" s="110"/>
    </row>
    <row r="569" spans="1:12" ht="18" customHeight="1" x14ac:dyDescent="0.2">
      <c r="A569" s="91">
        <v>49000</v>
      </c>
      <c r="B569" s="93" t="s">
        <v>440</v>
      </c>
      <c r="C569" s="36">
        <f>2*'Stability Constants Subsonic'!$C$13*('Stability Constants Subsonic'!$C$6-'Stability Constants Subsonic'!$C$5)*'Stability Constants Subsonic'!$C$15*'Supersonic Stability'!C515</f>
        <v>50906.979731051033</v>
      </c>
      <c r="D569" s="93" t="s">
        <v>125</v>
      </c>
      <c r="E569" s="93" t="s">
        <v>224</v>
      </c>
      <c r="F569" s="93" t="s">
        <v>21</v>
      </c>
      <c r="G569" s="29" t="s">
        <v>442</v>
      </c>
      <c r="H569" s="110" t="s">
        <v>438</v>
      </c>
      <c r="I569" s="110"/>
      <c r="J569" s="110"/>
      <c r="K569" s="110"/>
      <c r="L569" s="110"/>
    </row>
    <row r="570" spans="1:12" ht="18" customHeight="1" x14ac:dyDescent="0.2">
      <c r="A570" s="131" t="s">
        <v>509</v>
      </c>
      <c r="B570" s="121"/>
      <c r="C570" s="121"/>
      <c r="D570" s="121"/>
      <c r="E570" s="121"/>
      <c r="F570" s="121"/>
      <c r="G570" s="121"/>
      <c r="H570" s="121"/>
      <c r="I570" s="121"/>
      <c r="J570" s="121"/>
      <c r="K570" s="121"/>
      <c r="L570" s="125"/>
    </row>
    <row r="571" spans="1:12" ht="18" customHeight="1" x14ac:dyDescent="0.2">
      <c r="A571" s="23" t="s">
        <v>5</v>
      </c>
      <c r="B571" s="23" t="s">
        <v>96</v>
      </c>
      <c r="C571" s="94" t="s">
        <v>7</v>
      </c>
      <c r="D571" s="94" t="s">
        <v>125</v>
      </c>
      <c r="E571" s="94" t="s">
        <v>8</v>
      </c>
      <c r="F571" s="94" t="s">
        <v>9</v>
      </c>
      <c r="G571" s="31" t="s">
        <v>459</v>
      </c>
      <c r="H571" s="122" t="s">
        <v>11</v>
      </c>
      <c r="I571" s="123"/>
      <c r="J571" s="123"/>
      <c r="K571" s="123"/>
      <c r="L571" s="124"/>
    </row>
    <row r="572" spans="1:12" ht="18" customHeight="1" x14ac:dyDescent="0.2">
      <c r="A572" s="93" t="s">
        <v>563</v>
      </c>
      <c r="B572" s="47" t="s">
        <v>446</v>
      </c>
      <c r="C572" s="48">
        <f>('Supersonic Stability'!C321 + 'Supersonic Stability'!C330* 'Stability Constants Supersonic'!$C$16*'Supersonic Stability'!$C$4/'Initial Estimates'!$C$5)*'Stability Constants Supersonic'!$C$19/'Initial Estimates'!$C$10 - 'Supersonic Stability'!C330*'Stability Constants Supersonic'!$C$16*'Supersonic Stability'!$C$4/'Initial Estimates'!$C$5*'Stability Constants Supersonic'!$C$21/'Initial Estimates'!$C$10+'Supersonic Stability'!$C$5+('Supersonic Stability'!C384+'Stability Constants Supersonic'!$C$11*'Supersonic Stability'!C393)/(CFD!D3*'Initial Estimates'!$C$5*'Initial Estimates'!$C$10)</f>
        <v>3.3398913031069677E-2</v>
      </c>
      <c r="D572" s="93" t="s">
        <v>125</v>
      </c>
      <c r="E572" s="93" t="s">
        <v>137</v>
      </c>
      <c r="F572" s="93" t="s">
        <v>21</v>
      </c>
      <c r="G572" s="29" t="s">
        <v>460</v>
      </c>
      <c r="H572" s="126" t="s">
        <v>438</v>
      </c>
      <c r="I572" s="126"/>
      <c r="J572" s="126"/>
      <c r="K572" s="126"/>
      <c r="L572" s="126"/>
    </row>
    <row r="573" spans="1:12" ht="18" customHeight="1" x14ac:dyDescent="0.2">
      <c r="A573" s="91">
        <v>42000</v>
      </c>
      <c r="B573" s="47" t="s">
        <v>446</v>
      </c>
      <c r="C573" s="48">
        <f>('Supersonic Stability'!C322 + 'Supersonic Stability'!C331* 'Stability Constants Supersonic'!$C$16*'Supersonic Stability'!$C$4/'Initial Estimates'!$C$5)*'Stability Constants Supersonic'!$C$19/'Initial Estimates'!$C$10 - 'Supersonic Stability'!C331*'Stability Constants Supersonic'!$C$16*'Supersonic Stability'!$C$4/'Initial Estimates'!$C$5*'Stability Constants Supersonic'!$C$21/'Initial Estimates'!$C$10+'Supersonic Stability'!$C$5+('Supersonic Stability'!C385+'Stability Constants Supersonic'!$C$11*'Supersonic Stability'!C394)/(CFD!D4*'Initial Estimates'!$C$5*'Initial Estimates'!$C$10)</f>
        <v>3.6487524948762E-2</v>
      </c>
      <c r="D573" s="93"/>
      <c r="E573" s="93"/>
      <c r="F573" s="93"/>
      <c r="H573" s="93"/>
      <c r="I573" s="93"/>
      <c r="J573" s="93"/>
      <c r="K573" s="93"/>
      <c r="L573" s="93"/>
    </row>
    <row r="574" spans="1:12" ht="18" customHeight="1" x14ac:dyDescent="0.2">
      <c r="A574" s="91">
        <v>43000</v>
      </c>
      <c r="B574" s="47" t="s">
        <v>446</v>
      </c>
      <c r="C574" s="48">
        <f>('Supersonic Stability'!C323 + 'Supersonic Stability'!C332* 'Stability Constants Supersonic'!$C$16*'Supersonic Stability'!$C$4/'Initial Estimates'!$C$5)*'Stability Constants Supersonic'!$C$19/'Initial Estimates'!$C$10 - 'Supersonic Stability'!C332*'Stability Constants Supersonic'!$C$16*'Supersonic Stability'!$C$4/'Initial Estimates'!$C$5*'Stability Constants Supersonic'!$C$21/'Initial Estimates'!$C$10+'Supersonic Stability'!$C$5+('Supersonic Stability'!C386+'Stability Constants Supersonic'!$C$11*'Supersonic Stability'!C395)/(CFD!D5*'Initial Estimates'!$C$5*'Initial Estimates'!$C$10)</f>
        <v>3.9781040512325429E-2</v>
      </c>
      <c r="D574" s="93"/>
      <c r="E574" s="93"/>
      <c r="F574" s="93"/>
      <c r="H574" s="93"/>
      <c r="I574" s="93"/>
      <c r="J574" s="93"/>
      <c r="K574" s="93"/>
      <c r="L574" s="93"/>
    </row>
    <row r="575" spans="1:12" ht="18" customHeight="1" x14ac:dyDescent="0.2">
      <c r="A575" s="91">
        <v>44000</v>
      </c>
      <c r="B575" s="47" t="s">
        <v>446</v>
      </c>
      <c r="C575" s="48">
        <f>('Supersonic Stability'!C324 + 'Supersonic Stability'!C333* 'Stability Constants Supersonic'!$C$16*'Supersonic Stability'!$C$4/'Initial Estimates'!$C$5)*'Stability Constants Supersonic'!$C$19/'Initial Estimates'!$C$10 - 'Supersonic Stability'!C333*'Stability Constants Supersonic'!$C$16*'Supersonic Stability'!$C$4/'Initial Estimates'!$C$5*'Stability Constants Supersonic'!$C$21/'Initial Estimates'!$C$10+'Supersonic Stability'!$C$5+('Supersonic Stability'!C387+'Stability Constants Supersonic'!$C$11*'Supersonic Stability'!C396)/(CFD!D6*'Initial Estimates'!$C$5*'Initial Estimates'!$C$10)</f>
        <v>4.3315052065742668E-2</v>
      </c>
      <c r="D575" s="93"/>
      <c r="E575" s="93"/>
      <c r="F575" s="93"/>
      <c r="H575" s="93"/>
      <c r="I575" s="93"/>
      <c r="J575" s="93"/>
      <c r="K575" s="93"/>
      <c r="L575" s="93"/>
    </row>
    <row r="576" spans="1:12" ht="18" customHeight="1" x14ac:dyDescent="0.2">
      <c r="A576" s="91">
        <v>45000</v>
      </c>
      <c r="B576" s="47" t="s">
        <v>446</v>
      </c>
      <c r="C576" s="48">
        <f>('Supersonic Stability'!C325 + 'Supersonic Stability'!C334* 'Stability Constants Supersonic'!$C$16*'Supersonic Stability'!$C$4/'Initial Estimates'!$C$5)*'Stability Constants Supersonic'!$C$19/'Initial Estimates'!$C$10 - 'Supersonic Stability'!C334*'Stability Constants Supersonic'!$C$16*'Supersonic Stability'!$C$4/'Initial Estimates'!$C$5*'Stability Constants Supersonic'!$C$21/'Initial Estimates'!$C$10+'Supersonic Stability'!$C$5+('Supersonic Stability'!C388+'Stability Constants Supersonic'!$C$11*'Supersonic Stability'!C397)/(CFD!D7*'Initial Estimates'!$C$5*'Initial Estimates'!$C$10)</f>
        <v>4.7084178128390872E-2</v>
      </c>
      <c r="D576" s="93"/>
      <c r="E576" s="93"/>
      <c r="F576" s="93"/>
      <c r="H576" s="93"/>
      <c r="I576" s="93"/>
      <c r="J576" s="93"/>
      <c r="K576" s="93"/>
      <c r="L576" s="93"/>
    </row>
    <row r="577" spans="1:12" ht="18" customHeight="1" x14ac:dyDescent="0.2">
      <c r="A577" s="91">
        <v>46000</v>
      </c>
      <c r="B577" s="47" t="s">
        <v>446</v>
      </c>
      <c r="C577" s="48">
        <f>('Supersonic Stability'!C326 + 'Supersonic Stability'!C335* 'Stability Constants Supersonic'!$C$16*'Supersonic Stability'!$C$4/'Initial Estimates'!$C$5)*'Stability Constants Supersonic'!$C$19/'Initial Estimates'!$C$10 - 'Supersonic Stability'!C335*'Stability Constants Supersonic'!$C$16*'Supersonic Stability'!$C$4/'Initial Estimates'!$C$5*'Stability Constants Supersonic'!$C$21/'Initial Estimates'!$C$10+'Supersonic Stability'!$C$5+('Supersonic Stability'!C389+'Stability Constants Supersonic'!$C$11*'Supersonic Stability'!C398)/(CFD!D8*'Initial Estimates'!$C$5*'Initial Estimates'!$C$10)</f>
        <v>5.1132143548771714E-2</v>
      </c>
      <c r="D577" s="93"/>
      <c r="E577" s="93"/>
      <c r="F577" s="93"/>
      <c r="H577" s="93"/>
      <c r="I577" s="93"/>
      <c r="J577" s="93"/>
      <c r="K577" s="93"/>
      <c r="L577" s="93"/>
    </row>
    <row r="578" spans="1:12" ht="18" customHeight="1" x14ac:dyDescent="0.2">
      <c r="A578" s="91">
        <v>47000</v>
      </c>
      <c r="B578" s="47" t="s">
        <v>446</v>
      </c>
      <c r="C578" s="48">
        <f>('Supersonic Stability'!C327 + 'Supersonic Stability'!C336* 'Stability Constants Supersonic'!$C$16*'Supersonic Stability'!$C$4/'Initial Estimates'!$C$5)*'Stability Constants Supersonic'!$C$19/'Initial Estimates'!$C$10 - 'Supersonic Stability'!C336*'Stability Constants Supersonic'!$C$16*'Supersonic Stability'!$C$4/'Initial Estimates'!$C$5*'Stability Constants Supersonic'!$C$21/'Initial Estimates'!$C$10+'Supersonic Stability'!$C$5+('Supersonic Stability'!C390+'Stability Constants Supersonic'!$C$11*'Supersonic Stability'!C399)/(CFD!D9*'Initial Estimates'!$C$5*'Initial Estimates'!$C$10)</f>
        <v>5.5473468003972237E-2</v>
      </c>
      <c r="D578" s="93"/>
      <c r="E578" s="93"/>
      <c r="F578" s="93"/>
      <c r="H578" s="93"/>
      <c r="I578" s="93"/>
      <c r="J578" s="93"/>
      <c r="K578" s="93"/>
      <c r="L578" s="93"/>
    </row>
    <row r="579" spans="1:12" ht="18" customHeight="1" x14ac:dyDescent="0.2">
      <c r="A579" s="91">
        <v>48000</v>
      </c>
      <c r="B579" s="47" t="s">
        <v>446</v>
      </c>
      <c r="C579" s="48">
        <f>('Supersonic Stability'!C328 + 'Supersonic Stability'!C337* 'Stability Constants Supersonic'!$C$16*'Supersonic Stability'!$C$4/'Initial Estimates'!$C$5)*'Stability Constants Supersonic'!$C$19/'Initial Estimates'!$C$10 - 'Supersonic Stability'!C337*'Stability Constants Supersonic'!$C$16*'Supersonic Stability'!$C$4/'Initial Estimates'!$C$5*'Stability Constants Supersonic'!$C$21/'Initial Estimates'!$C$10+'Supersonic Stability'!$C$5+('Supersonic Stability'!C391+'Stability Constants Supersonic'!$C$11*'Supersonic Stability'!C400)/(CFD!D10*'Initial Estimates'!$C$5*'Initial Estimates'!$C$10)</f>
        <v>6.0120673197787279E-2</v>
      </c>
      <c r="D579" s="93"/>
      <c r="E579" s="93"/>
      <c r="F579" s="93"/>
      <c r="H579" s="93"/>
      <c r="I579" s="93"/>
      <c r="J579" s="93"/>
      <c r="K579" s="93"/>
      <c r="L579" s="93"/>
    </row>
    <row r="580" spans="1:12" ht="18" customHeight="1" x14ac:dyDescent="0.2">
      <c r="A580" s="91">
        <v>49000</v>
      </c>
      <c r="B580" s="47" t="s">
        <v>446</v>
      </c>
      <c r="C580" s="48">
        <f>('Supersonic Stability'!C329 + 'Supersonic Stability'!C338* 'Stability Constants Supersonic'!$C$16*'Supersonic Stability'!$C$4/'Initial Estimates'!$C$5)*'Stability Constants Supersonic'!$C$19/'Initial Estimates'!$C$10 - 'Supersonic Stability'!C338*'Stability Constants Supersonic'!$C$16*'Supersonic Stability'!$C$4/'Initial Estimates'!$C$5*'Stability Constants Supersonic'!$C$21/'Initial Estimates'!$C$10+'Supersonic Stability'!$C$5+('Supersonic Stability'!C392+'Stability Constants Supersonic'!$C$11*'Supersonic Stability'!C401)/(CFD!D11*'Initial Estimates'!$C$5*'Initial Estimates'!$C$10)</f>
        <v>6.5139872693395537E-2</v>
      </c>
      <c r="D580" s="93"/>
      <c r="E580" s="93"/>
      <c r="F580" s="93"/>
      <c r="H580" s="93"/>
      <c r="I580" s="93"/>
      <c r="J580" s="93"/>
      <c r="K580" s="93"/>
      <c r="L580" s="93"/>
    </row>
    <row r="581" spans="1:12" ht="18" customHeight="1" x14ac:dyDescent="0.2">
      <c r="A581" s="93" t="s">
        <v>506</v>
      </c>
      <c r="B581" s="47" t="s">
        <v>453</v>
      </c>
      <c r="C581" s="48">
        <f xml:space="preserve"> ( C357 + C366*(1 - C375)*'Stability Constants Supersonic'!$C$16*('Supersonic Stability'!$C$4/'Initial Estimates'!$C$5))*('Stability Constants Supersonic'!$C$19/'Initial Estimates'!$C$10) - C366*(1 -C375)*'Stability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1.5530671882402953</v>
      </c>
      <c r="D581" s="93" t="s">
        <v>125</v>
      </c>
      <c r="E581" s="93" t="s">
        <v>421</v>
      </c>
      <c r="F581" s="93" t="s">
        <v>21</v>
      </c>
      <c r="G581" s="29" t="s">
        <v>458</v>
      </c>
      <c r="H581" s="110" t="s">
        <v>438</v>
      </c>
      <c r="I581" s="110"/>
      <c r="J581" s="110"/>
      <c r="K581" s="110"/>
      <c r="L581" s="110"/>
    </row>
    <row r="582" spans="1:12" ht="18" customHeight="1" x14ac:dyDescent="0.2">
      <c r="A582" s="91">
        <v>42000</v>
      </c>
      <c r="B582" s="47" t="s">
        <v>453</v>
      </c>
      <c r="C582" s="48">
        <f xml:space="preserve"> ( C358 + C367*(1 - C376)*'Stability Constants Supersonic'!$C$16*('Supersonic Stability'!$C$4/'Initial Estimates'!$C$5))*('Stability Constants Supersonic'!$C$19/'Initial Estimates'!$C$10) - C367*(1 -C376)*'Stability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1.5406377262709086</v>
      </c>
      <c r="D582" s="93"/>
      <c r="E582" s="93"/>
      <c r="F582" s="93"/>
      <c r="H582" s="93"/>
      <c r="I582" s="93"/>
      <c r="J582" s="93"/>
      <c r="K582" s="93"/>
      <c r="L582" s="93"/>
    </row>
    <row r="583" spans="1:12" ht="18" customHeight="1" x14ac:dyDescent="0.2">
      <c r="A583" s="91">
        <v>43000</v>
      </c>
      <c r="B583" s="47" t="s">
        <v>453</v>
      </c>
      <c r="C583" s="48">
        <f xml:space="preserve"> ( C359 + C368*(1 - C377)*'Stability Constants Supersonic'!$C$16*('Supersonic Stability'!$C$4/'Initial Estimates'!$C$5))*('Stability Constants Supersonic'!$C$19/'Initial Estimates'!$C$10) - C368*(1 -C377)*'Stability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1.528810407371731</v>
      </c>
      <c r="D583" s="93"/>
      <c r="E583" s="93"/>
      <c r="F583" s="93"/>
      <c r="H583" s="93"/>
      <c r="I583" s="93"/>
      <c r="J583" s="93"/>
      <c r="K583" s="93"/>
      <c r="L583" s="93"/>
    </row>
    <row r="584" spans="1:12" ht="18" customHeight="1" x14ac:dyDescent="0.2">
      <c r="A584" s="91">
        <v>44000</v>
      </c>
      <c r="B584" s="47" t="s">
        <v>453</v>
      </c>
      <c r="C584" s="48">
        <f xml:space="preserve"> ( C360 + C369*(1 - C378)*'Stability Constants Supersonic'!$C$16*('Supersonic Stability'!$C$4/'Initial Estimates'!$C$5))*('Stability Constants Supersonic'!$C$19/'Initial Estimates'!$C$10) - C369*(1 -C378)*'Stability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1.5174922757757332</v>
      </c>
      <c r="D584" s="93"/>
      <c r="E584" s="93"/>
      <c r="F584" s="93"/>
      <c r="H584" s="93"/>
      <c r="I584" s="93"/>
      <c r="J584" s="93"/>
      <c r="K584" s="93"/>
      <c r="L584" s="93"/>
    </row>
    <row r="585" spans="1:12" ht="18" customHeight="1" x14ac:dyDescent="0.2">
      <c r="A585" s="91">
        <v>45000</v>
      </c>
      <c r="B585" s="47" t="s">
        <v>453</v>
      </c>
      <c r="C585" s="48">
        <f xml:space="preserve"> ( C361 + C370*(1 - C379)*'Stability Constants Supersonic'!$C$16*('Supersonic Stability'!$C$4/'Initial Estimates'!$C$5))*('Stability Constants Supersonic'!$C$19/'Initial Estimates'!$C$10) - C370*(1 -C379)*'Stability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1.5067327536467623</v>
      </c>
      <c r="D585" s="93"/>
      <c r="E585" s="93"/>
      <c r="F585" s="93"/>
      <c r="H585" s="93"/>
      <c r="I585" s="93"/>
      <c r="J585" s="93"/>
      <c r="K585" s="93"/>
      <c r="L585" s="93"/>
    </row>
    <row r="586" spans="1:12" ht="18" customHeight="1" x14ac:dyDescent="0.2">
      <c r="A586" s="91">
        <v>46000</v>
      </c>
      <c r="B586" s="47" t="s">
        <v>453</v>
      </c>
      <c r="C586" s="48">
        <f xml:space="preserve"> ( C362 + C371*(1 - C380)*'Stability Constants Supersonic'!$C$16*('Supersonic Stability'!$C$4/'Initial Estimates'!$C$5))*('Stability Constants Supersonic'!$C$19/'Initial Estimates'!$C$10) - C371*(1 -C380)*'Stability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1.4964383299966766</v>
      </c>
      <c r="D586" s="93"/>
      <c r="E586" s="93"/>
      <c r="F586" s="93"/>
      <c r="H586" s="93"/>
      <c r="I586" s="93"/>
      <c r="J586" s="93"/>
      <c r="K586" s="93"/>
      <c r="L586" s="93"/>
    </row>
    <row r="587" spans="1:12" ht="18" customHeight="1" x14ac:dyDescent="0.2">
      <c r="A587" s="91">
        <v>47000</v>
      </c>
      <c r="B587" s="47" t="s">
        <v>453</v>
      </c>
      <c r="C587" s="48">
        <f xml:space="preserve"> ( C363 + C372*(1 - C381)*'Stability Constants Supersonic'!$C$16*('Supersonic Stability'!$C$4/'Initial Estimates'!$C$5))*('Stability Constants Supersonic'!$C$19/'Initial Estimates'!$C$10) - C372*(1 -C381)*'Stability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1.4866104845558832</v>
      </c>
      <c r="D587" s="93"/>
      <c r="E587" s="93"/>
      <c r="F587" s="93"/>
      <c r="H587" s="93"/>
      <c r="I587" s="93"/>
      <c r="J587" s="93"/>
      <c r="K587" s="93"/>
      <c r="L587" s="93"/>
    </row>
    <row r="588" spans="1:12" ht="18" customHeight="1" x14ac:dyDescent="0.2">
      <c r="A588" s="91">
        <v>48000</v>
      </c>
      <c r="B588" s="47" t="s">
        <v>453</v>
      </c>
      <c r="C588" s="48">
        <f xml:space="preserve"> ( C364 + C373*(1 - C382)*'Stability Constants Supersonic'!$C$16*('Supersonic Stability'!$C$4/'Initial Estimates'!$C$5))*('Stability Constants Supersonic'!$C$19/'Initial Estimates'!$C$10) - C373*(1 -C382)*'Stability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1.4772506312340958</v>
      </c>
      <c r="D588" s="93"/>
      <c r="E588" s="93"/>
      <c r="F588" s="93"/>
      <c r="H588" s="93"/>
      <c r="I588" s="93"/>
      <c r="J588" s="93"/>
      <c r="K588" s="93"/>
      <c r="L588" s="93"/>
    </row>
    <row r="589" spans="1:12" ht="18" customHeight="1" x14ac:dyDescent="0.2">
      <c r="A589" s="91">
        <v>49000</v>
      </c>
      <c r="B589" s="47" t="s">
        <v>453</v>
      </c>
      <c r="C589" s="48">
        <f xml:space="preserve"> ( C365 + C374*(1 - C383)*'Stability Constants Supersonic'!$C$16*('Supersonic Stability'!$C$4/'Initial Estimates'!$C$5))*('Stability Constants Supersonic'!$C$19/'Initial Estimates'!$C$10) - C374*(1 -C383)*'Stability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1.4682644773805875</v>
      </c>
      <c r="D589" s="93"/>
      <c r="E589" s="93"/>
      <c r="F589" s="93"/>
      <c r="H589" s="93"/>
      <c r="I589" s="93"/>
      <c r="J589" s="93"/>
      <c r="K589" s="93"/>
      <c r="L589" s="93"/>
    </row>
    <row r="590" spans="1:12" ht="18" customHeight="1" x14ac:dyDescent="0.2">
      <c r="A590" s="93" t="s">
        <v>562</v>
      </c>
      <c r="B590" s="47" t="s">
        <v>446</v>
      </c>
      <c r="C590" s="48">
        <f>(C405 + C414* 'Stability Constants Supersonic'!$C$16*'Supersonic Stability'!$C$4/'Initial Estimates'!$C$5)*'Stability Constants Supersonic'!$C$8/'Initial Estimates'!$C$19 - 'Supersonic Stability'!C414*'Stability Constants Supersonic'!$C$16*'Supersonic Stability'!$C$4/'Initial Estimates'!$C$5*'Stability Constants Supersonic'!$C$21/'Initial Estimates'!$C$10+'Supersonic Stability'!$C$5+('Supersonic Stability'!C468+'Stability Constants Supersonic'!$C$11*'Supersonic Stability'!C477)/(CFD!E3*'Initial Estimates'!$C$5*'Initial Estimates'!$C$10)</f>
        <v>-1.371081553741807E-2</v>
      </c>
      <c r="D590" s="93" t="s">
        <v>125</v>
      </c>
      <c r="E590" s="93" t="s">
        <v>421</v>
      </c>
      <c r="F590" s="93" t="s">
        <v>21</v>
      </c>
      <c r="G590" s="29" t="s">
        <v>458</v>
      </c>
      <c r="H590" s="110" t="s">
        <v>438</v>
      </c>
      <c r="I590" s="110"/>
      <c r="J590" s="110"/>
      <c r="K590" s="110"/>
      <c r="L590" s="110"/>
    </row>
    <row r="591" spans="1:12" ht="18" customHeight="1" x14ac:dyDescent="0.2">
      <c r="A591" s="91">
        <v>42000</v>
      </c>
      <c r="B591" s="47" t="s">
        <v>446</v>
      </c>
      <c r="C591" s="48">
        <f>(C406 + C415* 'Stability Constants Supersonic'!$C$16*'Supersonic Stability'!$C$4/'Initial Estimates'!$C$5)*'Stability Constants Supersonic'!$C$8/'Initial Estimates'!$C$19 - 'Supersonic Stability'!C415*'Stability Constants Supersonic'!$C$16*'Supersonic Stability'!$C$4/'Initial Estimates'!$C$5*'Stability Constants Supersonic'!$C$21/'Initial Estimates'!$C$10+'Supersonic Stability'!$C$5+('Supersonic Stability'!C469+'Stability Constants Supersonic'!$C$11*'Supersonic Stability'!C478)/(CFD!E4*'Initial Estimates'!$C$5*'Initial Estimates'!$C$10)</f>
        <v>-1.2637354221380938E-2</v>
      </c>
      <c r="D591" s="93"/>
      <c r="E591" s="93"/>
      <c r="F591" s="93"/>
      <c r="H591" s="93"/>
      <c r="I591" s="93"/>
      <c r="J591" s="93"/>
      <c r="K591" s="93"/>
      <c r="L591" s="93"/>
    </row>
    <row r="592" spans="1:12" ht="18" customHeight="1" x14ac:dyDescent="0.2">
      <c r="A592" s="91">
        <v>43000</v>
      </c>
      <c r="B592" s="47" t="s">
        <v>446</v>
      </c>
      <c r="C592" s="48">
        <f>(C407 + C416* 'Stability Constants Supersonic'!$C$16*'Supersonic Stability'!$C$4/'Initial Estimates'!$C$5)*'Stability Constants Supersonic'!$C$8/'Initial Estimates'!$C$19 - 'Supersonic Stability'!C416*'Stability Constants Supersonic'!$C$16*'Supersonic Stability'!$C$4/'Initial Estimates'!$C$5*'Stability Constants Supersonic'!$C$21/'Initial Estimates'!$C$10+'Supersonic Stability'!$C$5+('Supersonic Stability'!C470+'Stability Constants Supersonic'!$C$11*'Supersonic Stability'!C479)/(CFD!E5*'Initial Estimates'!$C$5*'Initial Estimates'!$C$10)</f>
        <v>-1.1461289949502148E-2</v>
      </c>
      <c r="D592" s="93"/>
      <c r="E592" s="93"/>
      <c r="F592" s="93"/>
      <c r="H592" s="93"/>
      <c r="I592" s="93"/>
      <c r="J592" s="93"/>
      <c r="K592" s="93"/>
      <c r="L592" s="93"/>
    </row>
    <row r="593" spans="1:12" ht="18" customHeight="1" x14ac:dyDescent="0.2">
      <c r="A593" s="91">
        <v>44000</v>
      </c>
      <c r="B593" s="47" t="s">
        <v>446</v>
      </c>
      <c r="C593" s="48">
        <f>(C408 + C417* 'Stability Constants Supersonic'!$C$16*'Supersonic Stability'!$C$4/'Initial Estimates'!$C$5)*'Stability Constants Supersonic'!$C$8/'Initial Estimates'!$C$19 - 'Supersonic Stability'!C417*'Stability Constants Supersonic'!$C$16*'Supersonic Stability'!$C$4/'Initial Estimates'!$C$5*'Stability Constants Supersonic'!$C$21/'Initial Estimates'!$C$10+'Supersonic Stability'!$C$5+('Supersonic Stability'!C471+'Stability Constants Supersonic'!$C$11*'Supersonic Stability'!C480)/(CFD!E6*'Initial Estimates'!$C$5*'Initial Estimates'!$C$10)</f>
        <v>-1.0165384994454022E-2</v>
      </c>
      <c r="D593" s="93"/>
      <c r="E593" s="93"/>
      <c r="F593" s="93"/>
      <c r="H593" s="93"/>
      <c r="I593" s="93"/>
      <c r="J593" s="93"/>
      <c r="K593" s="93"/>
      <c r="L593" s="93"/>
    </row>
    <row r="594" spans="1:12" ht="18" customHeight="1" x14ac:dyDescent="0.2">
      <c r="A594" s="91">
        <v>45000</v>
      </c>
      <c r="B594" s="47" t="s">
        <v>446</v>
      </c>
      <c r="C594" s="48">
        <f>(C409 + C418* 'Stability Constants Supersonic'!$C$16*'Supersonic Stability'!$C$4/'Initial Estimates'!$C$5)*'Stability Constants Supersonic'!$C$8/'Initial Estimates'!$C$19 - 'Supersonic Stability'!C418*'Stability Constants Supersonic'!$C$16*'Supersonic Stability'!$C$4/'Initial Estimates'!$C$5*'Stability Constants Supersonic'!$C$21/'Initial Estimates'!$C$10+'Supersonic Stability'!$C$5+('Supersonic Stability'!C472+'Stability Constants Supersonic'!$C$11*'Supersonic Stability'!C481)/(CFD!E7*'Initial Estimates'!$C$5*'Initial Estimates'!$C$10)</f>
        <v>-8.7467991445060542E-3</v>
      </c>
      <c r="D594" s="93"/>
      <c r="E594" s="93"/>
      <c r="F594" s="93"/>
      <c r="H594" s="93"/>
      <c r="I594" s="93"/>
      <c r="J594" s="93"/>
      <c r="K594" s="93"/>
      <c r="L594" s="93"/>
    </row>
    <row r="595" spans="1:12" ht="18" customHeight="1" x14ac:dyDescent="0.2">
      <c r="A595" s="91">
        <v>46000</v>
      </c>
      <c r="B595" s="47" t="s">
        <v>446</v>
      </c>
      <c r="C595" s="48">
        <f>(C410 + C419* 'Stability Constants Supersonic'!$C$16*'Supersonic Stability'!$C$4/'Initial Estimates'!$C$5)*'Stability Constants Supersonic'!$C$8/'Initial Estimates'!$C$19 - 'Supersonic Stability'!C419*'Stability Constants Supersonic'!$C$16*'Supersonic Stability'!$C$4/'Initial Estimates'!$C$5*'Stability Constants Supersonic'!$C$21/'Initial Estimates'!$C$10+'Supersonic Stability'!$C$5+('Supersonic Stability'!C473+'Stability Constants Supersonic'!$C$11*'Supersonic Stability'!C482)/(CFD!E8*'Initial Estimates'!$C$5*'Initial Estimates'!$C$10)</f>
        <v>-7.1838817554053316E-3</v>
      </c>
      <c r="D595" s="93"/>
      <c r="E595" s="93"/>
      <c r="F595" s="93"/>
      <c r="H595" s="93"/>
      <c r="I595" s="93"/>
      <c r="J595" s="93"/>
      <c r="K595" s="93"/>
      <c r="L595" s="93"/>
    </row>
    <row r="596" spans="1:12" ht="18" customHeight="1" x14ac:dyDescent="0.2">
      <c r="A596" s="91">
        <v>47000</v>
      </c>
      <c r="B596" s="47" t="s">
        <v>446</v>
      </c>
      <c r="C596" s="48">
        <f>(C411 + C420* 'Stability Constants Supersonic'!$C$16*'Supersonic Stability'!$C$4/'Initial Estimates'!$C$5)*'Stability Constants Supersonic'!$C$8/'Initial Estimates'!$C$19 - 'Supersonic Stability'!C420*'Stability Constants Supersonic'!$C$16*'Supersonic Stability'!$C$4/'Initial Estimates'!$C$5*'Stability Constants Supersonic'!$C$21/'Initial Estimates'!$C$10+'Supersonic Stability'!$C$5+('Supersonic Stability'!C474+'Stability Constants Supersonic'!$C$11*'Supersonic Stability'!C483)/(CFD!E9*'Initial Estimates'!$C$5*'Initial Estimates'!$C$10)</f>
        <v>-5.4651798650935841E-3</v>
      </c>
      <c r="D596" s="93"/>
      <c r="E596" s="93"/>
      <c r="F596" s="93"/>
      <c r="H596" s="93"/>
      <c r="I596" s="93"/>
      <c r="J596" s="93"/>
      <c r="K596" s="93"/>
      <c r="L596" s="93"/>
    </row>
    <row r="597" spans="1:12" ht="18" customHeight="1" x14ac:dyDescent="0.2">
      <c r="A597" s="91">
        <v>48000</v>
      </c>
      <c r="B597" s="47" t="s">
        <v>446</v>
      </c>
      <c r="C597" s="48">
        <f>(C412 + C421* 'Stability Constants Supersonic'!$C$16*'Supersonic Stability'!$C$4/'Initial Estimates'!$C$5)*'Stability Constants Supersonic'!$C$8/'Initial Estimates'!$C$19 - 'Supersonic Stability'!C421*'Stability Constants Supersonic'!$C$16*'Supersonic Stability'!$C$4/'Initial Estimates'!$C$5*'Stability Constants Supersonic'!$C$21/'Initial Estimates'!$C$10+'Supersonic Stability'!$C$5+('Supersonic Stability'!C475+'Stability Constants Supersonic'!$C$11*'Supersonic Stability'!C484)/(CFD!E10*'Initial Estimates'!$C$5*'Initial Estimates'!$C$10)</f>
        <v>-3.5797199489307902E-3</v>
      </c>
      <c r="D597" s="93"/>
      <c r="E597" s="93"/>
      <c r="F597" s="93"/>
      <c r="H597" s="93"/>
      <c r="I597" s="93"/>
      <c r="J597" s="93"/>
      <c r="K597" s="93"/>
      <c r="L597" s="93"/>
    </row>
    <row r="598" spans="1:12" ht="18" customHeight="1" x14ac:dyDescent="0.2">
      <c r="A598" s="91">
        <v>49000</v>
      </c>
      <c r="B598" s="47" t="s">
        <v>446</v>
      </c>
      <c r="C598" s="48">
        <f>(C413 + C422* 'Stability Constants Supersonic'!$C$16*'Supersonic Stability'!$C$4/'Initial Estimates'!$C$5)*'Stability Constants Supersonic'!$C$8/'Initial Estimates'!$C$19 - 'Supersonic Stability'!C422*'Stability Constants Supersonic'!$C$16*'Supersonic Stability'!$C$4/'Initial Estimates'!$C$5*'Stability Constants Supersonic'!$C$21/'Initial Estimates'!$C$10+'Supersonic Stability'!$C$5+('Supersonic Stability'!C476+'Stability Constants Supersonic'!$C$11*'Supersonic Stability'!C485)/(CFD!E11*'Initial Estimates'!$C$5*'Initial Estimates'!$C$10)</f>
        <v>-1.4937645500071109E-3</v>
      </c>
      <c r="D598" s="93"/>
      <c r="E598" s="93"/>
      <c r="F598" s="93"/>
      <c r="H598" s="93"/>
      <c r="I598" s="93"/>
      <c r="J598" s="93"/>
      <c r="K598" s="93"/>
      <c r="L598" s="93"/>
    </row>
    <row r="599" spans="1:12" ht="18" customHeight="1" x14ac:dyDescent="0.2">
      <c r="A599" s="93" t="s">
        <v>507</v>
      </c>
      <c r="B599" s="47" t="s">
        <v>453</v>
      </c>
      <c r="C599" s="48">
        <f xml:space="preserve"> ( C441 + C450*(1 - C459)*'Stability Constants Supersonic'!$C$16*('Supersonic Stability'!$C$4/'Initial Estimates'!$C$5))*('Stability Constants Supersonic'!$C$19/'Initial Estimates'!$C$10) - C450*(1 -C459)*'Stability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1.5019952049126668</v>
      </c>
      <c r="D599" s="93"/>
      <c r="E599" s="93"/>
      <c r="F599" s="93"/>
      <c r="H599" s="93"/>
      <c r="I599" s="93"/>
      <c r="J599" s="93"/>
      <c r="K599" s="93"/>
      <c r="L599" s="93"/>
    </row>
    <row r="600" spans="1:12" ht="18" customHeight="1" x14ac:dyDescent="0.2">
      <c r="A600" s="91">
        <v>42000</v>
      </c>
      <c r="B600" s="47" t="s">
        <v>453</v>
      </c>
      <c r="C600" s="48">
        <f xml:space="preserve"> ( C442 + C451*(1 - C460)*'Stability Constants Supersonic'!$C$16*('Supersonic Stability'!$C$4/'Initial Estimates'!$C$5))*('Stability Constants Supersonic'!$C$19/'Initial Estimates'!$C$10) - C451*(1 -C460)*'Stability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1.4894017015720573</v>
      </c>
      <c r="D600" s="93"/>
      <c r="E600" s="93"/>
      <c r="F600" s="93"/>
      <c r="H600" s="93"/>
      <c r="I600" s="93"/>
      <c r="J600" s="93"/>
      <c r="K600" s="93"/>
      <c r="L600" s="93"/>
    </row>
    <row r="601" spans="1:12" ht="18" customHeight="1" x14ac:dyDescent="0.2">
      <c r="A601" s="91">
        <v>43000</v>
      </c>
      <c r="B601" s="47" t="s">
        <v>453</v>
      </c>
      <c r="C601" s="48">
        <f xml:space="preserve"> ( C443 + C452*(1 - C461)*'Stability Constants Supersonic'!$C$16*('Supersonic Stability'!$C$4/'Initial Estimates'!$C$5))*('Stability Constants Supersonic'!$C$19/'Initial Estimates'!$C$10) - C452*(1 -C461)*'Stability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1.4774303015699983</v>
      </c>
      <c r="D601" s="93"/>
      <c r="E601" s="93"/>
      <c r="F601" s="93"/>
      <c r="H601" s="93"/>
      <c r="I601" s="93"/>
      <c r="J601" s="93"/>
      <c r="K601" s="93"/>
      <c r="L601" s="93"/>
    </row>
    <row r="602" spans="1:12" ht="18" customHeight="1" x14ac:dyDescent="0.2">
      <c r="A602" s="91">
        <v>44000</v>
      </c>
      <c r="B602" s="47" t="s">
        <v>453</v>
      </c>
      <c r="C602" s="48">
        <f xml:space="preserve"> ( C444 + C453*(1 - C462)*'Stability Constants Supersonic'!$C$16*('Supersonic Stability'!$C$4/'Initial Estimates'!$C$5))*('Stability Constants Supersonic'!$C$19/'Initial Estimates'!$C$10) - C453*(1 -C462)*'Stability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1.4659852390973711</v>
      </c>
      <c r="D602" s="93"/>
      <c r="E602" s="93"/>
      <c r="F602" s="93"/>
      <c r="H602" s="93"/>
      <c r="I602" s="93"/>
      <c r="J602" s="93"/>
      <c r="K602" s="93"/>
      <c r="L602" s="93"/>
    </row>
    <row r="603" spans="1:12" ht="18" customHeight="1" x14ac:dyDescent="0.2">
      <c r="A603" s="91">
        <v>45000</v>
      </c>
      <c r="B603" s="47" t="s">
        <v>453</v>
      </c>
      <c r="C603" s="48">
        <f xml:space="preserve"> ( C445 + C454*(1 - C463)*'Stability Constants Supersonic'!$C$16*('Supersonic Stability'!$C$4/'Initial Estimates'!$C$5))*('Stability Constants Supersonic'!$C$19/'Initial Estimates'!$C$10) - C454*(1 -C463)*'Stability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1.455114958573771</v>
      </c>
      <c r="D603" s="93"/>
      <c r="E603" s="93"/>
      <c r="F603" s="93"/>
      <c r="H603" s="93"/>
      <c r="I603" s="93"/>
      <c r="J603" s="93"/>
      <c r="K603" s="93"/>
      <c r="L603" s="93"/>
    </row>
    <row r="604" spans="1:12" ht="18" customHeight="1" x14ac:dyDescent="0.2">
      <c r="A604" s="91">
        <v>46000</v>
      </c>
      <c r="B604" s="47" t="s">
        <v>453</v>
      </c>
      <c r="C604" s="48">
        <f xml:space="preserve"> ( C446 + C455*(1 - C464)*'Stability Constants Supersonic'!$C$16*('Supersonic Stability'!$C$4/'Initial Estimates'!$C$5))*('Stability Constants Supersonic'!$C$19/'Initial Estimates'!$C$10) - C455*(1 -C464)*'Stability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1.4447235876189266</v>
      </c>
      <c r="D604" s="93"/>
      <c r="E604" s="93"/>
      <c r="F604" s="93"/>
      <c r="H604" s="93"/>
      <c r="I604" s="93"/>
      <c r="J604" s="93"/>
      <c r="K604" s="93"/>
      <c r="L604" s="93"/>
    </row>
    <row r="605" spans="1:12" ht="18" customHeight="1" x14ac:dyDescent="0.2">
      <c r="A605" s="91">
        <v>47000</v>
      </c>
      <c r="B605" s="47" t="s">
        <v>453</v>
      </c>
      <c r="C605" s="48">
        <f xml:space="preserve"> ( C447 + C456*(1 - C465)*'Stability Constants Supersonic'!$C$16*('Supersonic Stability'!$C$4/'Initial Estimates'!$C$5))*('Stability Constants Supersonic'!$C$19/'Initial Estimates'!$C$10) - C456*(1 -C465)*'Stability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1.4348114076679925</v>
      </c>
      <c r="D605" s="93"/>
      <c r="E605" s="93"/>
      <c r="F605" s="93"/>
      <c r="H605" s="93"/>
      <c r="I605" s="93"/>
      <c r="J605" s="93"/>
      <c r="K605" s="93"/>
      <c r="L605" s="93"/>
    </row>
    <row r="606" spans="1:12" ht="18" customHeight="1" x14ac:dyDescent="0.2">
      <c r="A606" s="91">
        <v>48000</v>
      </c>
      <c r="B606" s="47" t="s">
        <v>453</v>
      </c>
      <c r="C606" s="48">
        <f xml:space="preserve"> ( C448 + C457*(1 - C466)*'Stability Constants Supersonic'!$C$16*('Supersonic Stability'!$C$4/'Initial Estimates'!$C$5))*('Stability Constants Supersonic'!$C$19/'Initial Estimates'!$C$10) - C457*(1 -C466)*'Stability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1.4253786872226613</v>
      </c>
      <c r="D606" s="93"/>
      <c r="E606" s="93"/>
      <c r="F606" s="93"/>
      <c r="H606" s="93"/>
      <c r="I606" s="93"/>
      <c r="J606" s="93"/>
      <c r="K606" s="93"/>
      <c r="L606" s="93"/>
    </row>
    <row r="607" spans="1:12" ht="18" customHeight="1" x14ac:dyDescent="0.2">
      <c r="A607" s="91">
        <v>49000</v>
      </c>
      <c r="B607" s="47" t="s">
        <v>453</v>
      </c>
      <c r="C607" s="48">
        <f xml:space="preserve"> ( C449 + C458*(1 - C467)*'Stability Constants Supersonic'!$C$16*('Supersonic Stability'!$C$4/'Initial Estimates'!$C$5))*('Stability Constants Supersonic'!$C$19/'Initial Estimates'!$C$10) - C458*(1 -C467)*'Stability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1.4163294047791122</v>
      </c>
      <c r="D607" s="93"/>
      <c r="E607" s="93"/>
      <c r="F607" s="93"/>
      <c r="H607" s="93"/>
      <c r="I607" s="93"/>
      <c r="J607" s="93"/>
      <c r="K607" s="93"/>
      <c r="L607" s="93"/>
    </row>
    <row r="608" spans="1:12" ht="18" customHeight="1" x14ac:dyDescent="0.2">
      <c r="A608" s="93" t="s">
        <v>565</v>
      </c>
      <c r="B608" s="47" t="s">
        <v>446</v>
      </c>
      <c r="C608" s="48">
        <f>(C489 + C498* 'Stability Constants Supersonic'!$C$16*'Supersonic Stability'!$C$4/'Initial Estimates'!$C$5)*'Stability Constants Supersonic'!$C$8/'Initial Estimates'!$C$19 - 'Supersonic Stability'!C498*'Stability Constants Supersonic'!$C$16*'Supersonic Stability'!$C$4/'Initial Estimates'!$C$5*'Stability Constants Supersonic'!$C$21/'Initial Estimates'!$C$10+'Supersonic Stability'!$C$5+('Supersonic Stability'!C552+'Stability Constants Supersonic'!$C$11*'Supersonic Stability'!C561)/(CFD!F3*'Initial Estimates'!$C$5*'Initial Estimates'!$C$10)</f>
        <v>-1.5361933267479587E-2</v>
      </c>
      <c r="D608" s="93" t="s">
        <v>125</v>
      </c>
      <c r="E608" s="93" t="s">
        <v>421</v>
      </c>
      <c r="F608" s="93" t="s">
        <v>21</v>
      </c>
      <c r="G608" s="29" t="s">
        <v>458</v>
      </c>
      <c r="H608" s="110" t="s">
        <v>438</v>
      </c>
      <c r="I608" s="110"/>
      <c r="J608" s="110"/>
      <c r="K608" s="110"/>
      <c r="L608" s="110"/>
    </row>
    <row r="609" spans="1:12" ht="18" customHeight="1" x14ac:dyDescent="0.2">
      <c r="A609" s="91">
        <v>42000</v>
      </c>
      <c r="B609" s="47" t="s">
        <v>446</v>
      </c>
      <c r="C609" s="48">
        <f>(C490 + C499* 'Stability Constants Supersonic'!$C$16*'Supersonic Stability'!$C$4/'Initial Estimates'!$C$5)*'Stability Constants Supersonic'!$C$8/'Initial Estimates'!$C$19 - 'Supersonic Stability'!C499*'Stability Constants Supersonic'!$C$16*'Supersonic Stability'!$C$4/'Initial Estimates'!$C$5*'Stability Constants Supersonic'!$C$21/'Initial Estimates'!$C$10+'Supersonic Stability'!$C$5+('Supersonic Stability'!C553+'Stability Constants Supersonic'!$C$11*'Supersonic Stability'!C562)/(CFD!F4*'Initial Estimates'!$C$5*'Initial Estimates'!$C$10)</f>
        <v>-1.443984905134821E-2</v>
      </c>
      <c r="D609" s="93"/>
      <c r="E609" s="93"/>
      <c r="F609" s="93"/>
      <c r="H609" s="93"/>
      <c r="I609" s="93"/>
      <c r="J609" s="93"/>
      <c r="K609" s="93"/>
      <c r="L609" s="93"/>
    </row>
    <row r="610" spans="1:12" ht="18" customHeight="1" x14ac:dyDescent="0.2">
      <c r="A610" s="91">
        <v>43000</v>
      </c>
      <c r="B610" s="47" t="s">
        <v>446</v>
      </c>
      <c r="C610" s="48">
        <f>(C491 + C500* 'Stability Constants Supersonic'!$C$16*'Supersonic Stability'!$C$4/'Initial Estimates'!$C$5)*'Stability Constants Supersonic'!$C$8/'Initial Estimates'!$C$19 - 'Supersonic Stability'!C500*'Stability Constants Supersonic'!$C$16*'Supersonic Stability'!$C$4/'Initial Estimates'!$C$5*'Stability Constants Supersonic'!$C$21/'Initial Estimates'!$C$10+'Supersonic Stability'!$C$5+('Supersonic Stability'!C554+'Stability Constants Supersonic'!$C$11*'Supersonic Stability'!C563)/(CFD!F5*'Initial Estimates'!$C$5*'Initial Estimates'!$C$10)</f>
        <v>-1.3429143001498731E-2</v>
      </c>
      <c r="D610" s="93"/>
      <c r="E610" s="93"/>
      <c r="F610" s="93"/>
      <c r="H610" s="93"/>
      <c r="I610" s="93"/>
      <c r="J610" s="93"/>
      <c r="K610" s="93"/>
      <c r="L610" s="93"/>
    </row>
    <row r="611" spans="1:12" ht="18" customHeight="1" x14ac:dyDescent="0.2">
      <c r="A611" s="91">
        <v>44000</v>
      </c>
      <c r="B611" s="47" t="s">
        <v>446</v>
      </c>
      <c r="C611" s="48">
        <f>(C492 + C501* 'Stability Constants Supersonic'!$C$16*'Supersonic Stability'!$C$4/'Initial Estimates'!$C$5)*'Stability Constants Supersonic'!$C$8/'Initial Estimates'!$C$19 - 'Supersonic Stability'!C501*'Stability Constants Supersonic'!$C$16*'Supersonic Stability'!$C$4/'Initial Estimates'!$C$5*'Stability Constants Supersonic'!$C$21/'Initial Estimates'!$C$10+'Supersonic Stability'!$C$5+('Supersonic Stability'!C555+'Stability Constants Supersonic'!$C$11*'Supersonic Stability'!C564)/(CFD!F6*'Initial Estimates'!$C$5*'Initial Estimates'!$C$10)</f>
        <v>-1.2314932583763564E-2</v>
      </c>
      <c r="D611" s="93"/>
      <c r="E611" s="93"/>
      <c r="F611" s="93"/>
      <c r="H611" s="93"/>
      <c r="I611" s="93"/>
      <c r="J611" s="93"/>
      <c r="K611" s="93"/>
      <c r="L611" s="93"/>
    </row>
    <row r="612" spans="1:12" ht="18" customHeight="1" x14ac:dyDescent="0.2">
      <c r="A612" s="91">
        <v>45000</v>
      </c>
      <c r="B612" s="47" t="s">
        <v>446</v>
      </c>
      <c r="C612" s="48">
        <f>(C493 + C502* 'Stability Constants Supersonic'!$C$16*'Supersonic Stability'!$C$4/'Initial Estimates'!$C$5)*'Stability Constants Supersonic'!$C$8/'Initial Estimates'!$C$19 - 'Supersonic Stability'!C502*'Stability Constants Supersonic'!$C$16*'Supersonic Stability'!$C$4/'Initial Estimates'!$C$5*'Stability Constants Supersonic'!$C$21/'Initial Estimates'!$C$10+'Supersonic Stability'!$C$5+('Supersonic Stability'!C556+'Stability Constants Supersonic'!$C$11*'Supersonic Stability'!C565)/(CFD!F7*'Initial Estimates'!$C$5*'Initial Estimates'!$C$10)</f>
        <v>-1.1094704911883498E-2</v>
      </c>
      <c r="D612" s="93"/>
      <c r="E612" s="93"/>
      <c r="F612" s="93"/>
      <c r="H612" s="93"/>
      <c r="I612" s="93"/>
      <c r="J612" s="93"/>
      <c r="K612" s="93"/>
      <c r="L612" s="93"/>
    </row>
    <row r="613" spans="1:12" ht="18" customHeight="1" x14ac:dyDescent="0.2">
      <c r="A613" s="91">
        <v>46000</v>
      </c>
      <c r="B613" s="47" t="s">
        <v>446</v>
      </c>
      <c r="C613" s="48">
        <f>(C494 + C503* 'Stability Constants Supersonic'!$C$16*'Supersonic Stability'!$C$4/'Initial Estimates'!$C$5)*'Stability Constants Supersonic'!$C$8/'Initial Estimates'!$C$19 - 'Supersonic Stability'!C503*'Stability Constants Supersonic'!$C$16*'Supersonic Stability'!$C$4/'Initial Estimates'!$C$5*'Stability Constants Supersonic'!$C$21/'Initial Estimates'!$C$10+'Supersonic Stability'!$C$5+('Supersonic Stability'!C557+'Stability Constants Supersonic'!$C$11*'Supersonic Stability'!C566)/(CFD!F8*'Initial Estimates'!$C$5*'Initial Estimates'!$C$10)</f>
        <v>-9.7497621838133555E-3</v>
      </c>
      <c r="D613" s="93"/>
      <c r="E613" s="93"/>
      <c r="F613" s="93"/>
      <c r="H613" s="93"/>
      <c r="I613" s="93"/>
      <c r="J613" s="93"/>
      <c r="K613" s="93"/>
      <c r="L613" s="93"/>
    </row>
    <row r="614" spans="1:12" ht="18" customHeight="1" x14ac:dyDescent="0.2">
      <c r="A614" s="91">
        <v>47000</v>
      </c>
      <c r="B614" s="47" t="s">
        <v>446</v>
      </c>
      <c r="C614" s="48">
        <f>(C495 + C504* 'Stability Constants Supersonic'!$C$16*'Supersonic Stability'!$C$4/'Initial Estimates'!$C$5)*'Stability Constants Supersonic'!$C$8/'Initial Estimates'!$C$19 - 'Supersonic Stability'!C504*'Stability Constants Supersonic'!$C$16*'Supersonic Stability'!$C$4/'Initial Estimates'!$C$5*'Stability Constants Supersonic'!$C$21/'Initial Estimates'!$C$10+'Supersonic Stability'!$C$5+('Supersonic Stability'!C558+'Stability Constants Supersonic'!$C$11*'Supersonic Stability'!C567)/(CFD!F9*'Initial Estimates'!$C$5*'Initial Estimates'!$C$10)</f>
        <v>-8.2701669603149237E-3</v>
      </c>
      <c r="D614" s="93"/>
      <c r="E614" s="93"/>
      <c r="F614" s="93"/>
      <c r="H614" s="93"/>
      <c r="I614" s="93"/>
      <c r="J614" s="93"/>
      <c r="K614" s="93"/>
      <c r="L614" s="93"/>
    </row>
    <row r="615" spans="1:12" ht="18" customHeight="1" x14ac:dyDescent="0.2">
      <c r="A615" s="91">
        <v>48000</v>
      </c>
      <c r="B615" s="47" t="s">
        <v>446</v>
      </c>
      <c r="C615" s="48">
        <f>(C496 + C505* 'Stability Constants Supersonic'!$C$16*'Supersonic Stability'!$C$4/'Initial Estimates'!$C$5)*'Stability Constants Supersonic'!$C$8/'Initial Estimates'!$C$19 - 'Supersonic Stability'!C505*'Stability Constants Supersonic'!$C$16*'Supersonic Stability'!$C$4/'Initial Estimates'!$C$5*'Stability Constants Supersonic'!$C$21/'Initial Estimates'!$C$10+'Supersonic Stability'!$C$5+('Supersonic Stability'!C559+'Stability Constants Supersonic'!$C$11*'Supersonic Stability'!C568)/(CFD!F10*'Initial Estimates'!$C$5*'Initial Estimates'!$C$10)</f>
        <v>-6.6463902901290443E-3</v>
      </c>
      <c r="D615" s="93"/>
      <c r="E615" s="93"/>
      <c r="F615" s="93"/>
      <c r="H615" s="93"/>
      <c r="I615" s="93"/>
      <c r="J615" s="93"/>
      <c r="K615" s="93"/>
      <c r="L615" s="93"/>
    </row>
    <row r="616" spans="1:12" ht="18" customHeight="1" x14ac:dyDescent="0.2">
      <c r="A616" s="91">
        <v>49000</v>
      </c>
      <c r="B616" s="47" t="s">
        <v>446</v>
      </c>
      <c r="C616" s="48">
        <f>(C497 + C506* 'Stability Constants Supersonic'!$C$16*'Supersonic Stability'!$C$4/'Initial Estimates'!$C$5)*'Stability Constants Supersonic'!$C$8/'Initial Estimates'!$C$19 - 'Supersonic Stability'!C506*'Stability Constants Supersonic'!$C$16*'Supersonic Stability'!$C$4/'Initial Estimates'!$C$5*'Stability Constants Supersonic'!$C$21/'Initial Estimates'!$C$10+'Supersonic Stability'!$C$5+('Supersonic Stability'!C560+'Stability Constants Supersonic'!$C$11*'Supersonic Stability'!C569)/(CFD!F11*'Initial Estimates'!$C$5*'Initial Estimates'!$C$10)</f>
        <v>-4.8492851128538843E-3</v>
      </c>
      <c r="D616" s="93"/>
      <c r="E616" s="93"/>
      <c r="F616" s="93"/>
      <c r="H616" s="93"/>
      <c r="I616" s="93"/>
      <c r="J616" s="93"/>
      <c r="K616" s="93"/>
      <c r="L616" s="93"/>
    </row>
    <row r="617" spans="1:12" ht="18" customHeight="1" x14ac:dyDescent="0.2">
      <c r="A617" s="93" t="s">
        <v>505</v>
      </c>
      <c r="B617" s="47" t="s">
        <v>453</v>
      </c>
      <c r="C617" s="48">
        <f xml:space="preserve"> ( C525 + C534*(1 - C543)*'Stability Constants Supersonic'!$C$16*('Supersonic Stability'!$C$4/'Initial Estimates'!$C$5))*('Stability Constants Supersonic'!$C$19/'Initial Estimates'!$C$10) - C534*(1 -C543)*'Stability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1.4567198117229667</v>
      </c>
      <c r="D617" s="93"/>
      <c r="E617" s="93"/>
      <c r="F617" s="93"/>
      <c r="H617" s="93"/>
      <c r="I617" s="92"/>
      <c r="J617" s="92"/>
      <c r="K617" s="92"/>
      <c r="L617" s="92"/>
    </row>
    <row r="618" spans="1:12" ht="18" customHeight="1" x14ac:dyDescent="0.2">
      <c r="A618" s="91">
        <v>42000</v>
      </c>
      <c r="B618" s="47" t="s">
        <v>453</v>
      </c>
      <c r="C618" s="48">
        <f xml:space="preserve"> ( C526 + C535*(1 - C544)*'Stability Constants Supersonic'!$C$16*('Supersonic Stability'!$C$4/'Initial Estimates'!$C$5))*('Stability Constants Supersonic'!$C$19/'Initial Estimates'!$C$10) - C535*(1 -C544)*'Stability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1.4429470080922671</v>
      </c>
      <c r="D618" s="93"/>
      <c r="E618" s="93"/>
      <c r="F618" s="93"/>
      <c r="H618" s="93"/>
      <c r="I618" s="92"/>
      <c r="J618" s="92"/>
      <c r="K618" s="92"/>
      <c r="L618" s="92"/>
    </row>
    <row r="619" spans="1:12" ht="18" customHeight="1" x14ac:dyDescent="0.2">
      <c r="A619" s="91">
        <v>43000</v>
      </c>
      <c r="B619" s="47" t="s">
        <v>453</v>
      </c>
      <c r="C619" s="48">
        <f xml:space="preserve"> ( C527 + C536*(1 - C545)*'Stability Constants Supersonic'!$C$16*('Supersonic Stability'!$C$4/'Initial Estimates'!$C$5))*('Stability Constants Supersonic'!$C$19/'Initial Estimates'!$C$10) - C536*(1 -C545)*'Stability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1.4299108914194232</v>
      </c>
      <c r="D619" s="93"/>
      <c r="E619" s="93"/>
      <c r="F619" s="93"/>
      <c r="H619" s="93"/>
      <c r="I619" s="92"/>
      <c r="J619" s="92"/>
      <c r="K619" s="92"/>
      <c r="L619" s="92"/>
    </row>
    <row r="620" spans="1:12" ht="18" customHeight="1" x14ac:dyDescent="0.2">
      <c r="A620" s="91">
        <v>44000</v>
      </c>
      <c r="B620" s="47" t="s">
        <v>453</v>
      </c>
      <c r="C620" s="48">
        <f xml:space="preserve"> ( C528 + C537*(1 - C546)*'Stability Constants Supersonic'!$C$16*('Supersonic Stability'!$C$4/'Initial Estimates'!$C$5))*('Stability Constants Supersonic'!$C$19/'Initial Estimates'!$C$10) - C537*(1 -C546)*'Stability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1.4174990008796278</v>
      </c>
      <c r="D620" s="93"/>
      <c r="E620" s="93"/>
      <c r="F620" s="93"/>
      <c r="H620" s="93"/>
      <c r="I620" s="92"/>
      <c r="J620" s="92"/>
      <c r="K620" s="92"/>
      <c r="L620" s="92"/>
    </row>
    <row r="621" spans="1:12" ht="18" customHeight="1" x14ac:dyDescent="0.2">
      <c r="A621" s="91">
        <v>45000</v>
      </c>
      <c r="B621" s="47" t="s">
        <v>453</v>
      </c>
      <c r="C621" s="48">
        <f xml:space="preserve"> ( C529 + C538*(1 - C547)*'Stability Constants Supersonic'!$C$16*('Supersonic Stability'!$C$4/'Initial Estimates'!$C$5))*('Stability Constants Supersonic'!$C$19/'Initial Estimates'!$C$10) - C538*(1 -C547)*'Stability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1.4057564582225801</v>
      </c>
      <c r="D621" s="93"/>
      <c r="E621" s="93"/>
      <c r="F621" s="93"/>
      <c r="H621" s="93"/>
      <c r="I621" s="92"/>
      <c r="J621" s="92"/>
      <c r="K621" s="92"/>
      <c r="L621" s="92"/>
    </row>
    <row r="622" spans="1:12" ht="18" customHeight="1" x14ac:dyDescent="0.2">
      <c r="A622" s="91">
        <v>46000</v>
      </c>
      <c r="B622" s="47" t="s">
        <v>453</v>
      </c>
      <c r="C622" s="48">
        <f xml:space="preserve"> ( C530 + C539*(1 - C548)*'Stability Constants Supersonic'!$C$16*('Supersonic Stability'!$C$4/'Initial Estimates'!$C$5))*('Stability Constants Supersonic'!$C$19/'Initial Estimates'!$C$10) - C539*(1 -C548)*'Stability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1.3945729712889565</v>
      </c>
      <c r="D622" s="93"/>
      <c r="E622" s="93"/>
      <c r="F622" s="93"/>
      <c r="H622" s="93"/>
      <c r="I622" s="92"/>
      <c r="J622" s="92"/>
      <c r="K622" s="92"/>
      <c r="L622" s="92"/>
    </row>
    <row r="623" spans="1:12" ht="18" customHeight="1" x14ac:dyDescent="0.2">
      <c r="A623" s="91">
        <v>47000</v>
      </c>
      <c r="B623" s="47" t="s">
        <v>453</v>
      </c>
      <c r="C623" s="48">
        <f xml:space="preserve"> ( C531 + C540*(1 - C549)*'Stability Constants Supersonic'!$C$16*('Supersonic Stability'!$C$4/'Initial Estimates'!$C$5))*('Stability Constants Supersonic'!$C$19/'Initial Estimates'!$C$10) - C540*(1 -C549)*'Stability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1.3839430394241012</v>
      </c>
      <c r="D623" s="93"/>
      <c r="E623" s="93"/>
      <c r="F623" s="93"/>
      <c r="H623" s="93"/>
      <c r="I623" s="92"/>
      <c r="J623" s="92"/>
      <c r="K623" s="92"/>
      <c r="L623" s="92"/>
    </row>
    <row r="624" spans="1:12" ht="18" customHeight="1" x14ac:dyDescent="0.2">
      <c r="A624" s="91">
        <v>48000</v>
      </c>
      <c r="B624" s="47" t="s">
        <v>453</v>
      </c>
      <c r="C624" s="48">
        <f xml:space="preserve"> ( C532 + C541*(1 - C550)*'Stability Constants Supersonic'!$C$16*('Supersonic Stability'!$C$4/'Initial Estimates'!$C$5))*('Stability Constants Supersonic'!$C$19/'Initial Estimates'!$C$10) - C541*(1 -C550)*'Stability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1.3738614501080817</v>
      </c>
      <c r="D624" s="93"/>
      <c r="E624" s="93"/>
      <c r="F624" s="93"/>
      <c r="H624" s="93"/>
      <c r="I624" s="92"/>
      <c r="J624" s="92"/>
      <c r="K624" s="92"/>
      <c r="L624" s="92"/>
    </row>
    <row r="625" spans="1:12" ht="18" customHeight="1" x14ac:dyDescent="0.2">
      <c r="A625" s="91">
        <v>49000</v>
      </c>
      <c r="B625" s="47" t="s">
        <v>453</v>
      </c>
      <c r="C625" s="48">
        <f xml:space="preserve"> ( C533 + C542*(1 - C551)*'Stability Constants Supersonic'!$C$16*('Supersonic Stability'!$C$4/'Initial Estimates'!$C$5))*('Stability Constants Supersonic'!$C$19/'Initial Estimates'!$C$10) - C542*(1 -C551)*'Stability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1.3642208663234934</v>
      </c>
      <c r="D625" s="93"/>
      <c r="E625" s="93"/>
      <c r="F625" s="93"/>
      <c r="H625" s="93"/>
      <c r="I625" s="92"/>
      <c r="J625" s="92"/>
      <c r="K625" s="92"/>
      <c r="L625" s="92"/>
    </row>
    <row r="626" spans="1:12" ht="18" customHeight="1" x14ac:dyDescent="0.2">
      <c r="A626" s="129"/>
      <c r="B626" s="129"/>
      <c r="C626" s="129"/>
      <c r="D626" s="129"/>
      <c r="E626" s="129"/>
      <c r="F626" s="129"/>
      <c r="G626" s="129"/>
      <c r="H626" s="129"/>
      <c r="I626" s="129"/>
      <c r="J626" s="129"/>
      <c r="K626" s="129"/>
      <c r="L626" s="129"/>
    </row>
    <row r="627" spans="1:12" ht="18" customHeight="1" x14ac:dyDescent="0.2">
      <c r="A627" s="129"/>
      <c r="B627" s="129"/>
      <c r="C627" s="129"/>
      <c r="D627" s="129"/>
      <c r="E627" s="129"/>
      <c r="F627" s="129"/>
      <c r="G627" s="129"/>
      <c r="H627" s="129"/>
      <c r="I627" s="129"/>
      <c r="J627" s="129"/>
      <c r="K627" s="129"/>
      <c r="L627" s="129"/>
    </row>
    <row r="628" spans="1:12" ht="18" customHeight="1" x14ac:dyDescent="0.2">
      <c r="A628" s="130"/>
      <c r="B628" s="130"/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</row>
    <row r="629" spans="1:12" ht="18" customHeight="1" x14ac:dyDescent="0.2">
      <c r="A629" s="118" t="s">
        <v>580</v>
      </c>
      <c r="B629" s="119"/>
      <c r="C629" s="119"/>
      <c r="D629" s="119"/>
      <c r="E629" s="119"/>
      <c r="F629" s="119"/>
      <c r="G629" s="119"/>
      <c r="H629" s="121"/>
      <c r="I629" s="121"/>
      <c r="J629" s="121"/>
      <c r="K629" s="121"/>
      <c r="L629" s="125"/>
    </row>
    <row r="630" spans="1:12" ht="18" customHeight="1" x14ac:dyDescent="0.2">
      <c r="A630" s="23" t="s">
        <v>5</v>
      </c>
      <c r="B630" s="23" t="s">
        <v>96</v>
      </c>
      <c r="C630" s="94" t="s">
        <v>7</v>
      </c>
      <c r="D630" s="94" t="s">
        <v>125</v>
      </c>
      <c r="E630" s="94" t="s">
        <v>8</v>
      </c>
      <c r="F630" s="94" t="s">
        <v>9</v>
      </c>
      <c r="G630" s="31" t="s">
        <v>10</v>
      </c>
      <c r="H630" s="122" t="s">
        <v>11</v>
      </c>
      <c r="I630" s="123"/>
      <c r="J630" s="123"/>
      <c r="K630" s="123"/>
      <c r="L630" s="124"/>
    </row>
    <row r="631" spans="1:12" ht="18" customHeight="1" x14ac:dyDescent="0.2">
      <c r="A631" s="93" t="s">
        <v>379</v>
      </c>
      <c r="B631" s="93" t="s">
        <v>380</v>
      </c>
      <c r="C631" s="36">
        <v>1.6</v>
      </c>
      <c r="D631" s="93" t="s">
        <v>125</v>
      </c>
      <c r="E631" s="93" t="s">
        <v>137</v>
      </c>
      <c r="F631" s="93" t="s">
        <v>484</v>
      </c>
      <c r="G631" s="29" t="s">
        <v>137</v>
      </c>
      <c r="H631" s="126" t="s">
        <v>309</v>
      </c>
      <c r="I631" s="126"/>
      <c r="J631" s="126"/>
      <c r="K631" s="126"/>
      <c r="L631" s="126"/>
    </row>
    <row r="632" spans="1:12" ht="18" customHeight="1" x14ac:dyDescent="0.2">
      <c r="A632" s="93" t="s">
        <v>557</v>
      </c>
      <c r="B632" s="93" t="s">
        <v>406</v>
      </c>
      <c r="C632" s="36">
        <f>'Final Aircraft Checkouts'!C188</f>
        <v>0.10002496405735427</v>
      </c>
      <c r="D632" s="93" t="s">
        <v>125</v>
      </c>
      <c r="E632" s="93" t="s">
        <v>137</v>
      </c>
      <c r="F632" s="93" t="s">
        <v>21</v>
      </c>
      <c r="G632" s="29" t="s">
        <v>550</v>
      </c>
      <c r="H632" s="127" t="s">
        <v>526</v>
      </c>
      <c r="I632" s="127"/>
      <c r="J632" s="127"/>
      <c r="K632" s="127"/>
      <c r="L632" s="127"/>
    </row>
    <row r="633" spans="1:12" ht="18" customHeight="1" x14ac:dyDescent="0.2">
      <c r="A633" s="91">
        <v>42000</v>
      </c>
      <c r="B633" s="93" t="s">
        <v>406</v>
      </c>
      <c r="C633" s="36">
        <f>'Final Aircraft Checkouts'!C189</f>
        <v>0.10493623478130983</v>
      </c>
      <c r="D633" s="93" t="s">
        <v>125</v>
      </c>
      <c r="E633" s="93" t="s">
        <v>137</v>
      </c>
      <c r="F633" s="93" t="s">
        <v>21</v>
      </c>
      <c r="G633" s="29" t="s">
        <v>550</v>
      </c>
      <c r="H633" s="127" t="s">
        <v>526</v>
      </c>
      <c r="I633" s="127"/>
      <c r="J633" s="127"/>
      <c r="K633" s="127"/>
      <c r="L633" s="127"/>
    </row>
    <row r="634" spans="1:12" ht="18" customHeight="1" x14ac:dyDescent="0.2">
      <c r="A634" s="91">
        <v>43000</v>
      </c>
      <c r="B634" s="93" t="s">
        <v>406</v>
      </c>
      <c r="C634" s="36">
        <f>'Final Aircraft Checkouts'!C190</f>
        <v>0.11007268503893636</v>
      </c>
      <c r="D634" s="93" t="s">
        <v>125</v>
      </c>
      <c r="E634" s="93" t="s">
        <v>137</v>
      </c>
      <c r="F634" s="93" t="s">
        <v>21</v>
      </c>
      <c r="G634" s="29" t="s">
        <v>550</v>
      </c>
      <c r="H634" s="127" t="s">
        <v>526</v>
      </c>
      <c r="I634" s="127"/>
      <c r="J634" s="127"/>
      <c r="K634" s="127"/>
      <c r="L634" s="127"/>
    </row>
    <row r="635" spans="1:12" ht="18" customHeight="1" x14ac:dyDescent="0.2">
      <c r="A635" s="91">
        <v>44000</v>
      </c>
      <c r="B635" s="93" t="s">
        <v>406</v>
      </c>
      <c r="C635" s="36">
        <f>'Final Aircraft Checkouts'!C191</f>
        <v>0.11547530393752714</v>
      </c>
      <c r="D635" s="93" t="s">
        <v>125</v>
      </c>
      <c r="E635" s="93" t="s">
        <v>137</v>
      </c>
      <c r="F635" s="93" t="s">
        <v>21</v>
      </c>
      <c r="G635" s="29" t="s">
        <v>550</v>
      </c>
      <c r="H635" s="127" t="s">
        <v>526</v>
      </c>
      <c r="I635" s="127"/>
      <c r="J635" s="127"/>
      <c r="K635" s="127"/>
      <c r="L635" s="127"/>
    </row>
    <row r="636" spans="1:12" ht="18" customHeight="1" x14ac:dyDescent="0.2">
      <c r="A636" s="91">
        <v>45000</v>
      </c>
      <c r="B636" s="93" t="s">
        <v>406</v>
      </c>
      <c r="C636" s="36">
        <f>'Final Aircraft Checkouts'!C192</f>
        <v>0.12112043019534267</v>
      </c>
      <c r="D636" s="93" t="s">
        <v>125</v>
      </c>
      <c r="E636" s="93" t="s">
        <v>137</v>
      </c>
      <c r="F636" s="93" t="s">
        <v>21</v>
      </c>
      <c r="G636" s="29" t="s">
        <v>550</v>
      </c>
      <c r="H636" s="127" t="s">
        <v>526</v>
      </c>
      <c r="I636" s="127"/>
      <c r="J636" s="127"/>
      <c r="K636" s="127"/>
      <c r="L636" s="127"/>
    </row>
    <row r="637" spans="1:12" ht="18" customHeight="1" x14ac:dyDescent="0.2">
      <c r="A637" s="91">
        <v>46000</v>
      </c>
      <c r="B637" s="93" t="s">
        <v>406</v>
      </c>
      <c r="C637" s="36">
        <f>'Final Aircraft Checkouts'!C193</f>
        <v>0.12705689784276589</v>
      </c>
      <c r="D637" s="93" t="s">
        <v>125</v>
      </c>
      <c r="E637" s="93" t="s">
        <v>137</v>
      </c>
      <c r="F637" s="93" t="s">
        <v>21</v>
      </c>
      <c r="G637" s="29" t="s">
        <v>550</v>
      </c>
      <c r="H637" s="127" t="s">
        <v>526</v>
      </c>
      <c r="I637" s="127"/>
      <c r="J637" s="127"/>
      <c r="K637" s="127"/>
      <c r="L637" s="127"/>
    </row>
    <row r="638" spans="1:12" ht="18" customHeight="1" x14ac:dyDescent="0.2">
      <c r="A638" s="91">
        <v>47000</v>
      </c>
      <c r="B638" s="93" t="s">
        <v>406</v>
      </c>
      <c r="C638" s="36">
        <f>'Final Aircraft Checkouts'!C194</f>
        <v>0.13328725274769557</v>
      </c>
      <c r="D638" s="93" t="s">
        <v>125</v>
      </c>
      <c r="E638" s="93" t="s">
        <v>137</v>
      </c>
      <c r="F638" s="93" t="s">
        <v>21</v>
      </c>
      <c r="G638" s="29" t="s">
        <v>550</v>
      </c>
      <c r="H638" s="127" t="s">
        <v>526</v>
      </c>
      <c r="I638" s="127"/>
      <c r="J638" s="127"/>
      <c r="K638" s="127"/>
      <c r="L638" s="127"/>
    </row>
    <row r="639" spans="1:12" ht="18" customHeight="1" x14ac:dyDescent="0.2">
      <c r="A639" s="91">
        <v>48000</v>
      </c>
      <c r="B639" s="93" t="s">
        <v>406</v>
      </c>
      <c r="C639" s="36">
        <f>'Final Aircraft Checkouts'!C195</f>
        <v>0.13981017448016708</v>
      </c>
      <c r="D639" s="93" t="s">
        <v>125</v>
      </c>
      <c r="E639" s="93" t="s">
        <v>137</v>
      </c>
      <c r="F639" s="93" t="s">
        <v>21</v>
      </c>
      <c r="G639" s="29" t="s">
        <v>550</v>
      </c>
      <c r="H639" s="127" t="s">
        <v>526</v>
      </c>
      <c r="I639" s="127"/>
      <c r="J639" s="127"/>
      <c r="K639" s="127"/>
      <c r="L639" s="127"/>
    </row>
    <row r="640" spans="1:12" ht="18" customHeight="1" x14ac:dyDescent="0.2">
      <c r="A640" s="91">
        <v>49000</v>
      </c>
      <c r="B640" s="93" t="s">
        <v>406</v>
      </c>
      <c r="C640" s="36">
        <f>'Final Aircraft Checkouts'!C196</f>
        <v>0.14669629258398459</v>
      </c>
      <c r="D640" s="93" t="s">
        <v>125</v>
      </c>
      <c r="E640" s="93" t="s">
        <v>137</v>
      </c>
      <c r="F640" s="93" t="s">
        <v>21</v>
      </c>
      <c r="G640" s="29" t="s">
        <v>550</v>
      </c>
      <c r="H640" s="127" t="s">
        <v>526</v>
      </c>
      <c r="I640" s="127"/>
      <c r="J640" s="127"/>
      <c r="K640" s="127"/>
      <c r="L640" s="127"/>
    </row>
    <row r="641" spans="1:12" ht="18" customHeight="1" x14ac:dyDescent="0.2">
      <c r="A641" s="93" t="s">
        <v>447</v>
      </c>
      <c r="B641" s="47" t="s">
        <v>448</v>
      </c>
      <c r="C641" s="48">
        <v>0.10158298411673315</v>
      </c>
      <c r="D641" s="93" t="s">
        <v>125</v>
      </c>
      <c r="E641" s="93" t="s">
        <v>137</v>
      </c>
      <c r="F641" s="93" t="s">
        <v>399</v>
      </c>
      <c r="G641" s="29" t="s">
        <v>137</v>
      </c>
      <c r="H641" s="127" t="s">
        <v>449</v>
      </c>
      <c r="I641" s="127"/>
      <c r="J641" s="127"/>
      <c r="K641" s="127"/>
      <c r="L641" s="127"/>
    </row>
    <row r="642" spans="1:12" ht="18" customHeight="1" x14ac:dyDescent="0.2">
      <c r="A642" s="93" t="s">
        <v>447</v>
      </c>
      <c r="B642" s="47" t="s">
        <v>448</v>
      </c>
      <c r="C642" s="48">
        <v>0.10158298411673315</v>
      </c>
      <c r="D642" s="93" t="s">
        <v>125</v>
      </c>
      <c r="E642" s="93" t="s">
        <v>137</v>
      </c>
      <c r="F642" s="93" t="s">
        <v>399</v>
      </c>
      <c r="G642" s="29" t="s">
        <v>137</v>
      </c>
      <c r="H642" s="127" t="s">
        <v>449</v>
      </c>
      <c r="I642" s="127"/>
      <c r="J642" s="127"/>
      <c r="K642" s="127"/>
      <c r="L642" s="127"/>
    </row>
    <row r="643" spans="1:12" ht="18" customHeight="1" x14ac:dyDescent="0.2">
      <c r="A643" s="93" t="s">
        <v>447</v>
      </c>
      <c r="B643" s="47" t="s">
        <v>448</v>
      </c>
      <c r="C643" s="48">
        <v>0.10158298411673315</v>
      </c>
      <c r="D643" s="93" t="s">
        <v>125</v>
      </c>
      <c r="E643" s="93" t="s">
        <v>137</v>
      </c>
      <c r="F643" s="93" t="s">
        <v>399</v>
      </c>
      <c r="G643" s="29" t="s">
        <v>137</v>
      </c>
      <c r="H643" s="127" t="s">
        <v>449</v>
      </c>
      <c r="I643" s="127"/>
      <c r="J643" s="127"/>
      <c r="K643" s="127"/>
      <c r="L643" s="127"/>
    </row>
    <row r="644" spans="1:12" ht="18" customHeight="1" x14ac:dyDescent="0.2">
      <c r="A644" s="93" t="s">
        <v>447</v>
      </c>
      <c r="B644" s="47" t="s">
        <v>448</v>
      </c>
      <c r="C644" s="48">
        <v>0.10158298411673315</v>
      </c>
      <c r="D644" s="93" t="s">
        <v>125</v>
      </c>
      <c r="E644" s="93" t="s">
        <v>137</v>
      </c>
      <c r="F644" s="93" t="s">
        <v>399</v>
      </c>
      <c r="G644" s="29" t="s">
        <v>137</v>
      </c>
      <c r="H644" s="127" t="s">
        <v>449</v>
      </c>
      <c r="I644" s="127"/>
      <c r="J644" s="127"/>
      <c r="K644" s="127"/>
      <c r="L644" s="127"/>
    </row>
    <row r="645" spans="1:12" ht="18" customHeight="1" x14ac:dyDescent="0.2">
      <c r="A645" s="93" t="s">
        <v>447</v>
      </c>
      <c r="B645" s="47" t="s">
        <v>448</v>
      </c>
      <c r="C645" s="48">
        <v>0.10158298411673315</v>
      </c>
      <c r="D645" s="93" t="s">
        <v>125</v>
      </c>
      <c r="E645" s="93" t="s">
        <v>137</v>
      </c>
      <c r="F645" s="93" t="s">
        <v>399</v>
      </c>
      <c r="G645" s="29" t="s">
        <v>137</v>
      </c>
      <c r="H645" s="127" t="s">
        <v>449</v>
      </c>
      <c r="I645" s="127"/>
      <c r="J645" s="127"/>
      <c r="K645" s="127"/>
      <c r="L645" s="127"/>
    </row>
    <row r="646" spans="1:12" ht="18" customHeight="1" x14ac:dyDescent="0.2">
      <c r="A646" s="93" t="s">
        <v>447</v>
      </c>
      <c r="B646" s="47" t="s">
        <v>448</v>
      </c>
      <c r="C646" s="48">
        <v>0.10158298411673315</v>
      </c>
      <c r="D646" s="93" t="s">
        <v>125</v>
      </c>
      <c r="E646" s="93" t="s">
        <v>137</v>
      </c>
      <c r="F646" s="93" t="s">
        <v>399</v>
      </c>
      <c r="G646" s="29" t="s">
        <v>137</v>
      </c>
      <c r="H646" s="127" t="s">
        <v>449</v>
      </c>
      <c r="I646" s="127"/>
      <c r="J646" s="127"/>
      <c r="K646" s="127"/>
      <c r="L646" s="127"/>
    </row>
    <row r="647" spans="1:12" ht="18" customHeight="1" x14ac:dyDescent="0.2">
      <c r="A647" s="93" t="s">
        <v>447</v>
      </c>
      <c r="B647" s="47" t="s">
        <v>448</v>
      </c>
      <c r="C647" s="48">
        <v>0.10158298411673315</v>
      </c>
      <c r="D647" s="93" t="s">
        <v>125</v>
      </c>
      <c r="E647" s="93" t="s">
        <v>137</v>
      </c>
      <c r="F647" s="93" t="s">
        <v>399</v>
      </c>
      <c r="G647" s="29" t="s">
        <v>137</v>
      </c>
      <c r="H647" s="127" t="s">
        <v>449</v>
      </c>
      <c r="I647" s="127"/>
      <c r="J647" s="127"/>
      <c r="K647" s="127"/>
      <c r="L647" s="127"/>
    </row>
    <row r="648" spans="1:12" ht="18" customHeight="1" x14ac:dyDescent="0.2">
      <c r="A648" s="93" t="s">
        <v>447</v>
      </c>
      <c r="B648" s="47" t="s">
        <v>448</v>
      </c>
      <c r="C648" s="48">
        <v>0.10158298411673315</v>
      </c>
      <c r="D648" s="93" t="s">
        <v>125</v>
      </c>
      <c r="E648" s="93" t="s">
        <v>137</v>
      </c>
      <c r="F648" s="93" t="s">
        <v>399</v>
      </c>
      <c r="G648" s="29" t="s">
        <v>137</v>
      </c>
      <c r="H648" s="127" t="s">
        <v>449</v>
      </c>
      <c r="I648" s="127"/>
      <c r="J648" s="127"/>
      <c r="K648" s="127"/>
      <c r="L648" s="127"/>
    </row>
    <row r="649" spans="1:12" ht="18" customHeight="1" x14ac:dyDescent="0.2">
      <c r="A649" s="93" t="s">
        <v>447</v>
      </c>
      <c r="B649" s="47" t="s">
        <v>448</v>
      </c>
      <c r="C649" s="48">
        <v>0.10158298411673315</v>
      </c>
      <c r="D649" s="93" t="s">
        <v>125</v>
      </c>
      <c r="E649" s="93" t="s">
        <v>137</v>
      </c>
      <c r="F649" s="93" t="s">
        <v>399</v>
      </c>
      <c r="G649" s="29" t="s">
        <v>137</v>
      </c>
      <c r="H649" s="127" t="s">
        <v>449</v>
      </c>
      <c r="I649" s="127"/>
      <c r="J649" s="127"/>
      <c r="K649" s="127"/>
      <c r="L649" s="127"/>
    </row>
    <row r="650" spans="1:12" ht="18" customHeight="1" x14ac:dyDescent="0.2">
      <c r="A650" s="93" t="s">
        <v>558</v>
      </c>
      <c r="B650" s="93" t="s">
        <v>436</v>
      </c>
      <c r="C650" s="36">
        <f xml:space="preserve"> ABS((C632-CFD!$B$19)/(CFD!$B$20-CFD!$B$19)*(CFD!$A$20-CFD!$A$19) + CFD!$A$19)*PI()/180</f>
        <v>3.4984799452226774E-2</v>
      </c>
      <c r="D650" s="93" t="s">
        <v>125</v>
      </c>
      <c r="E650" s="93" t="s">
        <v>407</v>
      </c>
      <c r="F650" s="93" t="s">
        <v>21</v>
      </c>
      <c r="G650" s="29" t="s">
        <v>550</v>
      </c>
      <c r="H650" s="127" t="s">
        <v>526</v>
      </c>
      <c r="I650" s="127"/>
      <c r="J650" s="127"/>
      <c r="K650" s="127"/>
      <c r="L650" s="127"/>
    </row>
    <row r="651" spans="1:12" ht="18" customHeight="1" x14ac:dyDescent="0.2">
      <c r="A651" s="91">
        <v>42000</v>
      </c>
      <c r="B651" s="93" t="s">
        <v>436</v>
      </c>
      <c r="C651" s="36">
        <f xml:space="preserve"> ABS((C633-CFD!$B$19)/(CFD!$B$20-CFD!$B$19)*(CFD!$A$20-CFD!$A$19) + CFD!$A$19)*PI()/180</f>
        <v>3.6692326236884745E-2</v>
      </c>
      <c r="D651" s="93"/>
      <c r="E651" s="93" t="s">
        <v>407</v>
      </c>
      <c r="F651" s="93" t="s">
        <v>21</v>
      </c>
      <c r="G651" s="29" t="s">
        <v>550</v>
      </c>
      <c r="H651" s="127" t="s">
        <v>526</v>
      </c>
      <c r="I651" s="127"/>
      <c r="J651" s="127"/>
      <c r="K651" s="127"/>
      <c r="L651" s="127"/>
    </row>
    <row r="652" spans="1:12" ht="18" customHeight="1" x14ac:dyDescent="0.2">
      <c r="A652" s="91">
        <v>43000</v>
      </c>
      <c r="B652" s="93" t="s">
        <v>436</v>
      </c>
      <c r="C652" s="36">
        <f xml:space="preserve"> ABS((C634-CFD!$B$19)/(CFD!$B$20-CFD!$B$19)*(CFD!$A$20-CFD!$A$19) + CFD!$A$19)*PI()/180</f>
        <v>3.8478142349643585E-2</v>
      </c>
      <c r="D652" s="93"/>
      <c r="E652" s="93" t="s">
        <v>407</v>
      </c>
      <c r="F652" s="93" t="s">
        <v>21</v>
      </c>
      <c r="G652" s="29" t="s">
        <v>550</v>
      </c>
      <c r="H652" s="127" t="s">
        <v>526</v>
      </c>
      <c r="I652" s="127"/>
      <c r="J652" s="127"/>
      <c r="K652" s="127"/>
      <c r="L652" s="127"/>
    </row>
    <row r="653" spans="1:12" ht="18" customHeight="1" x14ac:dyDescent="0.2">
      <c r="A653" s="91">
        <v>44000</v>
      </c>
      <c r="B653" s="93" t="s">
        <v>436</v>
      </c>
      <c r="C653" s="36">
        <f xml:space="preserve"> ABS((C635-CFD!$B$19)/(CFD!$B$20-CFD!$B$19)*(CFD!$A$20-CFD!$A$19) + CFD!$A$19)*PI()/180</f>
        <v>4.0356498684521652E-2</v>
      </c>
      <c r="D653" s="93"/>
      <c r="E653" s="93" t="s">
        <v>407</v>
      </c>
      <c r="F653" s="93" t="s">
        <v>21</v>
      </c>
      <c r="G653" s="29" t="s">
        <v>550</v>
      </c>
      <c r="H653" s="127" t="s">
        <v>526</v>
      </c>
      <c r="I653" s="127"/>
      <c r="J653" s="127"/>
      <c r="K653" s="127"/>
      <c r="L653" s="127"/>
    </row>
    <row r="654" spans="1:12" ht="18" customHeight="1" x14ac:dyDescent="0.2">
      <c r="A654" s="91">
        <v>45000</v>
      </c>
      <c r="B654" s="93" t="s">
        <v>436</v>
      </c>
      <c r="C654" s="36">
        <f xml:space="preserve"> ABS((C636-CFD!$B$19)/(CFD!$B$20-CFD!$B$19)*(CFD!$A$20-CFD!$A$19) + CFD!$A$19)*PI()/180</f>
        <v>4.2319168801845705E-2</v>
      </c>
      <c r="D654" s="93"/>
      <c r="E654" s="93" t="s">
        <v>407</v>
      </c>
      <c r="F654" s="93" t="s">
        <v>21</v>
      </c>
      <c r="G654" s="29" t="s">
        <v>550</v>
      </c>
      <c r="H654" s="127" t="s">
        <v>526</v>
      </c>
      <c r="I654" s="127"/>
      <c r="J654" s="127"/>
      <c r="K654" s="127"/>
      <c r="L654" s="127"/>
    </row>
    <row r="655" spans="1:12" ht="18" customHeight="1" x14ac:dyDescent="0.2">
      <c r="A655" s="91">
        <v>46000</v>
      </c>
      <c r="B655" s="93" t="s">
        <v>436</v>
      </c>
      <c r="C655" s="36">
        <f xml:space="preserve"> ABS((C637-CFD!$B$19)/(CFD!$B$20-CFD!$B$19)*(CFD!$A$20-CFD!$A$19) + CFD!$A$19)*PI()/180</f>
        <v>4.4383131080444449E-2</v>
      </c>
      <c r="D655" s="93"/>
      <c r="E655" s="93" t="s">
        <v>407</v>
      </c>
      <c r="F655" s="93" t="s">
        <v>21</v>
      </c>
      <c r="G655" s="29" t="s">
        <v>550</v>
      </c>
      <c r="H655" s="127" t="s">
        <v>526</v>
      </c>
      <c r="I655" s="127"/>
      <c r="J655" s="127"/>
      <c r="K655" s="127"/>
      <c r="L655" s="127"/>
    </row>
    <row r="656" spans="1:12" ht="18" customHeight="1" x14ac:dyDescent="0.2">
      <c r="A656" s="91">
        <v>47000</v>
      </c>
      <c r="B656" s="93" t="s">
        <v>436</v>
      </c>
      <c r="C656" s="36">
        <f xml:space="preserve"> ABS((C638-CFD!$B$19)/(CFD!$B$20-CFD!$B$19)*(CFD!$A$20-CFD!$A$19) + CFD!$A$19)*PI()/180</f>
        <v>4.6549270655320968E-2</v>
      </c>
      <c r="D656" s="93"/>
      <c r="E656" s="93" t="s">
        <v>407</v>
      </c>
      <c r="F656" s="93" t="s">
        <v>21</v>
      </c>
      <c r="G656" s="29" t="s">
        <v>550</v>
      </c>
      <c r="H656" s="127" t="s">
        <v>526</v>
      </c>
      <c r="I656" s="127"/>
      <c r="J656" s="127"/>
      <c r="K656" s="127"/>
      <c r="L656" s="127"/>
    </row>
    <row r="657" spans="1:12" ht="18" customHeight="1" x14ac:dyDescent="0.2">
      <c r="A657" s="91">
        <v>48000</v>
      </c>
      <c r="B657" s="93" t="s">
        <v>436</v>
      </c>
      <c r="C657" s="36">
        <f xml:space="preserve"> ABS((C639-CFD!$B$19)/(CFD!$B$20-CFD!$B$19)*(CFD!$A$20-CFD!$A$19) + CFD!$A$19)*PI()/180</f>
        <v>4.8817128445789504E-2</v>
      </c>
      <c r="D657" s="93"/>
      <c r="E657" s="93" t="s">
        <v>407</v>
      </c>
      <c r="F657" s="93" t="s">
        <v>21</v>
      </c>
      <c r="G657" s="29" t="s">
        <v>550</v>
      </c>
      <c r="H657" s="127" t="s">
        <v>526</v>
      </c>
      <c r="I657" s="127"/>
      <c r="J657" s="127"/>
      <c r="K657" s="127"/>
      <c r="L657" s="127"/>
    </row>
    <row r="658" spans="1:12" ht="18" customHeight="1" x14ac:dyDescent="0.2">
      <c r="A658" s="91">
        <v>49000</v>
      </c>
      <c r="B658" s="93" t="s">
        <v>436</v>
      </c>
      <c r="C658" s="36">
        <f xml:space="preserve"> ABS((C640-CFD!$B$19)/(CFD!$B$20-CFD!$B$19)*(CFD!$A$20-CFD!$A$19) + CFD!$A$19)*PI()/180</f>
        <v>5.1211260589072459E-2</v>
      </c>
      <c r="D658" s="93"/>
      <c r="E658" s="93" t="s">
        <v>407</v>
      </c>
      <c r="F658" s="93" t="s">
        <v>21</v>
      </c>
      <c r="G658" s="29" t="s">
        <v>550</v>
      </c>
      <c r="H658" s="127" t="s">
        <v>526</v>
      </c>
      <c r="I658" s="127"/>
      <c r="J658" s="127"/>
      <c r="K658" s="127"/>
      <c r="L658" s="127"/>
    </row>
    <row r="659" spans="1:12" ht="18" customHeight="1" x14ac:dyDescent="0.2">
      <c r="A659" s="93" t="s">
        <v>560</v>
      </c>
      <c r="B659" s="47" t="s">
        <v>481</v>
      </c>
      <c r="C659" s="48">
        <f>C641/C677</f>
        <v>3.5529733607750816E-2</v>
      </c>
      <c r="D659" s="93" t="s">
        <v>125</v>
      </c>
      <c r="E659" s="93" t="s">
        <v>407</v>
      </c>
      <c r="F659" s="93" t="s">
        <v>21</v>
      </c>
      <c r="G659" s="29" t="s">
        <v>482</v>
      </c>
      <c r="H659" s="127" t="s">
        <v>483</v>
      </c>
      <c r="I659" s="127"/>
      <c r="J659" s="127"/>
      <c r="K659" s="127"/>
      <c r="L659" s="127"/>
    </row>
    <row r="660" spans="1:12" ht="18" customHeight="1" x14ac:dyDescent="0.2">
      <c r="A660" s="91">
        <v>42000</v>
      </c>
      <c r="B660" s="47" t="s">
        <v>481</v>
      </c>
      <c r="C660" s="48">
        <f>C642/C678</f>
        <v>3.5519818307711247E-2</v>
      </c>
      <c r="D660" s="93" t="s">
        <v>125</v>
      </c>
      <c r="E660" s="93" t="s">
        <v>407</v>
      </c>
      <c r="F660" s="93" t="s">
        <v>21</v>
      </c>
      <c r="G660" s="29" t="s">
        <v>482</v>
      </c>
      <c r="H660" s="127" t="s">
        <v>483</v>
      </c>
      <c r="I660" s="127"/>
      <c r="J660" s="127"/>
      <c r="K660" s="127"/>
      <c r="L660" s="127"/>
    </row>
    <row r="661" spans="1:12" ht="18" customHeight="1" x14ac:dyDescent="0.2">
      <c r="A661" s="91">
        <v>43000</v>
      </c>
      <c r="B661" s="47" t="s">
        <v>481</v>
      </c>
      <c r="C661" s="48">
        <f t="shared" ref="C661:C667" si="24">C643/C679</f>
        <v>3.5510394988207988E-2</v>
      </c>
      <c r="D661" s="93" t="s">
        <v>125</v>
      </c>
      <c r="E661" s="93" t="s">
        <v>407</v>
      </c>
      <c r="F661" s="93" t="s">
        <v>21</v>
      </c>
      <c r="G661" s="29" t="s">
        <v>482</v>
      </c>
      <c r="H661" s="127" t="s">
        <v>483</v>
      </c>
      <c r="I661" s="127"/>
      <c r="J661" s="127"/>
      <c r="K661" s="127"/>
      <c r="L661" s="127"/>
    </row>
    <row r="662" spans="1:12" ht="18" customHeight="1" x14ac:dyDescent="0.2">
      <c r="A662" s="91">
        <v>44000</v>
      </c>
      <c r="B662" s="47" t="s">
        <v>481</v>
      </c>
      <c r="C662" s="48">
        <f t="shared" si="24"/>
        <v>3.5501387959927765E-2</v>
      </c>
      <c r="D662" s="93" t="s">
        <v>125</v>
      </c>
      <c r="E662" s="93" t="s">
        <v>407</v>
      </c>
      <c r="F662" s="93" t="s">
        <v>21</v>
      </c>
      <c r="G662" s="29" t="s">
        <v>482</v>
      </c>
      <c r="H662" s="127" t="s">
        <v>483</v>
      </c>
      <c r="I662" s="127"/>
      <c r="J662" s="127"/>
      <c r="K662" s="127"/>
      <c r="L662" s="127"/>
    </row>
    <row r="663" spans="1:12" ht="18" customHeight="1" x14ac:dyDescent="0.2">
      <c r="A663" s="91">
        <v>45000</v>
      </c>
      <c r="B663" s="47" t="s">
        <v>481</v>
      </c>
      <c r="C663" s="48">
        <f t="shared" si="24"/>
        <v>3.549283506752722E-2</v>
      </c>
      <c r="D663" s="93" t="s">
        <v>125</v>
      </c>
      <c r="E663" s="93" t="s">
        <v>407</v>
      </c>
      <c r="F663" s="93" t="s">
        <v>21</v>
      </c>
      <c r="G663" s="29" t="s">
        <v>482</v>
      </c>
      <c r="H663" s="127" t="s">
        <v>483</v>
      </c>
      <c r="I663" s="127"/>
      <c r="J663" s="127"/>
      <c r="K663" s="127"/>
      <c r="L663" s="127"/>
    </row>
    <row r="664" spans="1:12" ht="18" customHeight="1" x14ac:dyDescent="0.2">
      <c r="A664" s="91">
        <v>46000</v>
      </c>
      <c r="B664" s="47" t="s">
        <v>481</v>
      </c>
      <c r="C664" s="48">
        <f t="shared" si="24"/>
        <v>3.5484660621693073E-2</v>
      </c>
      <c r="D664" s="93" t="s">
        <v>125</v>
      </c>
      <c r="E664" s="93" t="s">
        <v>407</v>
      </c>
      <c r="F664" s="93" t="s">
        <v>21</v>
      </c>
      <c r="G664" s="29" t="s">
        <v>482</v>
      </c>
      <c r="H664" s="127" t="s">
        <v>483</v>
      </c>
      <c r="I664" s="127"/>
      <c r="J664" s="127"/>
      <c r="K664" s="127"/>
      <c r="L664" s="127"/>
    </row>
    <row r="665" spans="1:12" ht="18" customHeight="1" x14ac:dyDescent="0.2">
      <c r="A665" s="91">
        <v>47000</v>
      </c>
      <c r="B665" s="47" t="s">
        <v>481</v>
      </c>
      <c r="C665" s="48">
        <f t="shared" si="24"/>
        <v>3.5476864622425316E-2</v>
      </c>
      <c r="D665" s="93" t="s">
        <v>125</v>
      </c>
      <c r="E665" s="93" t="s">
        <v>407</v>
      </c>
      <c r="F665" s="93" t="s">
        <v>21</v>
      </c>
      <c r="G665" s="29" t="s">
        <v>482</v>
      </c>
      <c r="H665" s="127" t="s">
        <v>483</v>
      </c>
      <c r="I665" s="127"/>
      <c r="J665" s="127"/>
      <c r="K665" s="127"/>
      <c r="L665" s="127"/>
    </row>
    <row r="666" spans="1:12" ht="18" customHeight="1" x14ac:dyDescent="0.2">
      <c r="A666" s="91">
        <v>48000</v>
      </c>
      <c r="B666" s="47" t="s">
        <v>481</v>
      </c>
      <c r="C666" s="48">
        <f t="shared" si="24"/>
        <v>3.5469447069723957E-2</v>
      </c>
      <c r="D666" s="93" t="s">
        <v>125</v>
      </c>
      <c r="E666" s="93" t="s">
        <v>407</v>
      </c>
      <c r="F666" s="93" t="s">
        <v>21</v>
      </c>
      <c r="G666" s="29" t="s">
        <v>482</v>
      </c>
      <c r="H666" s="127" t="s">
        <v>483</v>
      </c>
      <c r="I666" s="127"/>
      <c r="J666" s="127"/>
      <c r="K666" s="127"/>
      <c r="L666" s="127"/>
    </row>
    <row r="667" spans="1:12" ht="18" customHeight="1" x14ac:dyDescent="0.2">
      <c r="A667" s="91">
        <v>49000</v>
      </c>
      <c r="B667" s="47" t="s">
        <v>481</v>
      </c>
      <c r="C667" s="48">
        <f t="shared" si="24"/>
        <v>3.5462332274275719E-2</v>
      </c>
      <c r="D667" s="93" t="s">
        <v>125</v>
      </c>
      <c r="E667" s="93" t="s">
        <v>407</v>
      </c>
      <c r="F667" s="93" t="s">
        <v>21</v>
      </c>
      <c r="G667" s="29" t="s">
        <v>482</v>
      </c>
      <c r="H667" s="127" t="s">
        <v>483</v>
      </c>
      <c r="I667" s="127"/>
      <c r="J667" s="127"/>
      <c r="K667" s="127"/>
      <c r="L667" s="127"/>
    </row>
    <row r="668" spans="1:12" ht="18" customHeight="1" x14ac:dyDescent="0.2">
      <c r="A668" s="93" t="s">
        <v>559</v>
      </c>
      <c r="B668" s="93" t="s">
        <v>420</v>
      </c>
      <c r="C668" s="36">
        <f t="shared" ref="C668:C676" si="25">C632/C650</f>
        <v>2.8590978260127686</v>
      </c>
      <c r="D668" s="93" t="s">
        <v>125</v>
      </c>
      <c r="E668" s="93" t="s">
        <v>421</v>
      </c>
      <c r="F668" s="93" t="s">
        <v>21</v>
      </c>
      <c r="G668" s="29" t="s">
        <v>422</v>
      </c>
      <c r="H668" s="110" t="s">
        <v>423</v>
      </c>
      <c r="I668" s="110"/>
      <c r="J668" s="110"/>
      <c r="K668" s="110"/>
      <c r="L668" s="110"/>
    </row>
    <row r="669" spans="1:12" ht="18" customHeight="1" x14ac:dyDescent="0.2">
      <c r="A669" s="91">
        <v>42000</v>
      </c>
      <c r="B669" s="93" t="s">
        <v>420</v>
      </c>
      <c r="C669" s="36">
        <f t="shared" si="25"/>
        <v>2.8598959385633962</v>
      </c>
      <c r="D669" s="93" t="s">
        <v>125</v>
      </c>
      <c r="E669" s="93" t="s">
        <v>421</v>
      </c>
      <c r="F669" s="93" t="s">
        <v>21</v>
      </c>
      <c r="G669" s="29" t="s">
        <v>422</v>
      </c>
      <c r="H669" s="110" t="s">
        <v>423</v>
      </c>
      <c r="I669" s="110"/>
      <c r="J669" s="110"/>
      <c r="K669" s="110"/>
      <c r="L669" s="110"/>
    </row>
    <row r="670" spans="1:12" ht="18" customHeight="1" x14ac:dyDescent="0.2">
      <c r="A670" s="91">
        <v>43000</v>
      </c>
      <c r="B670" s="93" t="s">
        <v>420</v>
      </c>
      <c r="C670" s="36">
        <f t="shared" si="25"/>
        <v>2.8606548631876958</v>
      </c>
      <c r="D670" s="93" t="s">
        <v>125</v>
      </c>
      <c r="E670" s="93" t="s">
        <v>421</v>
      </c>
      <c r="F670" s="93" t="s">
        <v>21</v>
      </c>
      <c r="G670" s="29" t="s">
        <v>422</v>
      </c>
      <c r="H670" s="110" t="s">
        <v>423</v>
      </c>
      <c r="I670" s="110"/>
      <c r="J670" s="110"/>
      <c r="K670" s="110"/>
      <c r="L670" s="110"/>
    </row>
    <row r="671" spans="1:12" ht="18" customHeight="1" x14ac:dyDescent="0.2">
      <c r="A671" s="91">
        <v>44000</v>
      </c>
      <c r="B671" s="93" t="s">
        <v>420</v>
      </c>
      <c r="C671" s="36">
        <f t="shared" si="25"/>
        <v>2.8613806376076076</v>
      </c>
      <c r="D671" s="93" t="s">
        <v>125</v>
      </c>
      <c r="E671" s="93" t="s">
        <v>421</v>
      </c>
      <c r="F671" s="93" t="s">
        <v>21</v>
      </c>
      <c r="G671" s="29" t="s">
        <v>422</v>
      </c>
      <c r="H671" s="110" t="s">
        <v>423</v>
      </c>
      <c r="I671" s="110"/>
      <c r="J671" s="110"/>
      <c r="K671" s="110"/>
      <c r="L671" s="110"/>
    </row>
    <row r="672" spans="1:12" ht="18" customHeight="1" x14ac:dyDescent="0.2">
      <c r="A672" s="91">
        <v>45000</v>
      </c>
      <c r="B672" s="93" t="s">
        <v>420</v>
      </c>
      <c r="C672" s="36">
        <f t="shared" si="25"/>
        <v>2.8620701593283688</v>
      </c>
      <c r="D672" s="93" t="s">
        <v>125</v>
      </c>
      <c r="E672" s="93" t="s">
        <v>421</v>
      </c>
      <c r="F672" s="93" t="s">
        <v>21</v>
      </c>
      <c r="G672" s="29" t="s">
        <v>422</v>
      </c>
      <c r="H672" s="110" t="s">
        <v>423</v>
      </c>
      <c r="I672" s="110"/>
      <c r="J672" s="110"/>
      <c r="K672" s="110"/>
      <c r="L672" s="110"/>
    </row>
    <row r="673" spans="1:12" ht="18" customHeight="1" x14ac:dyDescent="0.2">
      <c r="A673" s="91">
        <v>46000</v>
      </c>
      <c r="B673" s="93" t="s">
        <v>420</v>
      </c>
      <c r="C673" s="36">
        <f t="shared" si="25"/>
        <v>2.8627294818942626</v>
      </c>
      <c r="D673" s="93" t="s">
        <v>125</v>
      </c>
      <c r="E673" s="93" t="s">
        <v>421</v>
      </c>
      <c r="F673" s="93" t="s">
        <v>21</v>
      </c>
      <c r="G673" s="29" t="s">
        <v>422</v>
      </c>
      <c r="H673" s="110" t="s">
        <v>423</v>
      </c>
      <c r="I673" s="110"/>
      <c r="J673" s="110"/>
      <c r="K673" s="110"/>
      <c r="L673" s="110"/>
    </row>
    <row r="674" spans="1:12" ht="18" customHeight="1" x14ac:dyDescent="0.2">
      <c r="A674" s="91">
        <v>47000</v>
      </c>
      <c r="B674" s="93" t="s">
        <v>420</v>
      </c>
      <c r="C674" s="36">
        <f t="shared" si="25"/>
        <v>2.863358563330352</v>
      </c>
      <c r="D674" s="93" t="s">
        <v>125</v>
      </c>
      <c r="E674" s="93" t="s">
        <v>421</v>
      </c>
      <c r="F674" s="93" t="s">
        <v>21</v>
      </c>
      <c r="G674" s="29" t="s">
        <v>422</v>
      </c>
      <c r="H674" s="110" t="s">
        <v>423</v>
      </c>
      <c r="I674" s="110"/>
      <c r="J674" s="110"/>
      <c r="K674" s="110"/>
      <c r="L674" s="110"/>
    </row>
    <row r="675" spans="1:12" ht="18" customHeight="1" x14ac:dyDescent="0.2">
      <c r="A675" s="91">
        <v>48000</v>
      </c>
      <c r="B675" s="93" t="s">
        <v>420</v>
      </c>
      <c r="C675" s="36">
        <f t="shared" si="25"/>
        <v>2.8639573635598747</v>
      </c>
      <c r="D675" s="93" t="s">
        <v>125</v>
      </c>
      <c r="E675" s="93" t="s">
        <v>421</v>
      </c>
      <c r="F675" s="93" t="s">
        <v>21</v>
      </c>
      <c r="G675" s="29" t="s">
        <v>422</v>
      </c>
      <c r="H675" s="110" t="s">
        <v>423</v>
      </c>
      <c r="I675" s="110"/>
      <c r="J675" s="110"/>
      <c r="K675" s="110"/>
      <c r="L675" s="110"/>
    </row>
    <row r="676" spans="1:12" ht="18" customHeight="1" x14ac:dyDescent="0.2">
      <c r="A676" s="91">
        <v>49000</v>
      </c>
      <c r="B676" s="93" t="s">
        <v>420</v>
      </c>
      <c r="C676" s="36">
        <f t="shared" si="25"/>
        <v>2.8645319583343136</v>
      </c>
      <c r="D676" s="93" t="s">
        <v>125</v>
      </c>
      <c r="E676" s="93" t="s">
        <v>421</v>
      </c>
      <c r="F676" s="93" t="s">
        <v>21</v>
      </c>
      <c r="G676" s="29" t="s">
        <v>422</v>
      </c>
      <c r="H676" s="110" t="s">
        <v>423</v>
      </c>
      <c r="I676" s="110"/>
      <c r="J676" s="110"/>
      <c r="K676" s="110"/>
      <c r="L676" s="110"/>
    </row>
    <row r="677" spans="1:12" ht="18" customHeight="1" x14ac:dyDescent="0.2">
      <c r="A677" s="93" t="s">
        <v>425</v>
      </c>
      <c r="B677" s="93" t="s">
        <v>426</v>
      </c>
      <c r="C677" s="36">
        <f>C668</f>
        <v>2.8590978260127686</v>
      </c>
      <c r="D677" s="93" t="s">
        <v>125</v>
      </c>
      <c r="E677" s="93" t="s">
        <v>421</v>
      </c>
      <c r="F677" s="93" t="s">
        <v>21</v>
      </c>
      <c r="G677" s="29" t="s">
        <v>427</v>
      </c>
      <c r="H677" s="110" t="s">
        <v>428</v>
      </c>
      <c r="I677" s="110"/>
      <c r="J677" s="110"/>
      <c r="K677" s="110"/>
      <c r="L677" s="110"/>
    </row>
    <row r="678" spans="1:12" ht="18" customHeight="1" x14ac:dyDescent="0.2">
      <c r="A678" s="91">
        <v>42000</v>
      </c>
      <c r="B678" s="93" t="s">
        <v>426</v>
      </c>
      <c r="C678" s="36">
        <f t="shared" ref="C678:C685" si="26">C669</f>
        <v>2.8598959385633962</v>
      </c>
      <c r="D678" s="93" t="s">
        <v>125</v>
      </c>
      <c r="E678" s="93" t="s">
        <v>421</v>
      </c>
      <c r="F678" s="93" t="s">
        <v>21</v>
      </c>
      <c r="G678" s="29" t="s">
        <v>427</v>
      </c>
      <c r="H678" s="110" t="s">
        <v>428</v>
      </c>
      <c r="I678" s="110"/>
      <c r="J678" s="110"/>
      <c r="K678" s="110"/>
      <c r="L678" s="110"/>
    </row>
    <row r="679" spans="1:12" ht="18" customHeight="1" x14ac:dyDescent="0.2">
      <c r="A679" s="91">
        <v>43000</v>
      </c>
      <c r="B679" s="93" t="s">
        <v>426</v>
      </c>
      <c r="C679" s="36">
        <f t="shared" si="26"/>
        <v>2.8606548631876958</v>
      </c>
      <c r="D679" s="93" t="s">
        <v>125</v>
      </c>
      <c r="E679" s="93" t="s">
        <v>421</v>
      </c>
      <c r="F679" s="93" t="s">
        <v>21</v>
      </c>
      <c r="G679" s="29" t="s">
        <v>427</v>
      </c>
      <c r="H679" s="110" t="s">
        <v>428</v>
      </c>
      <c r="I679" s="110"/>
      <c r="J679" s="110"/>
      <c r="K679" s="110"/>
      <c r="L679" s="110"/>
    </row>
    <row r="680" spans="1:12" ht="18" customHeight="1" x14ac:dyDescent="0.2">
      <c r="A680" s="91">
        <v>44000</v>
      </c>
      <c r="B680" s="93" t="s">
        <v>426</v>
      </c>
      <c r="C680" s="36">
        <f t="shared" si="26"/>
        <v>2.8613806376076076</v>
      </c>
      <c r="D680" s="93" t="s">
        <v>125</v>
      </c>
      <c r="E680" s="93" t="s">
        <v>421</v>
      </c>
      <c r="F680" s="93" t="s">
        <v>21</v>
      </c>
      <c r="G680" s="29" t="s">
        <v>427</v>
      </c>
      <c r="H680" s="110" t="s">
        <v>428</v>
      </c>
      <c r="I680" s="110"/>
      <c r="J680" s="110"/>
      <c r="K680" s="110"/>
      <c r="L680" s="110"/>
    </row>
    <row r="681" spans="1:12" ht="18" customHeight="1" x14ac:dyDescent="0.2">
      <c r="A681" s="91">
        <v>45000</v>
      </c>
      <c r="B681" s="93" t="s">
        <v>426</v>
      </c>
      <c r="C681" s="36">
        <f t="shared" si="26"/>
        <v>2.8620701593283688</v>
      </c>
      <c r="D681" s="93" t="s">
        <v>125</v>
      </c>
      <c r="E681" s="93" t="s">
        <v>421</v>
      </c>
      <c r="F681" s="93" t="s">
        <v>21</v>
      </c>
      <c r="G681" s="29" t="s">
        <v>427</v>
      </c>
      <c r="H681" s="110" t="s">
        <v>428</v>
      </c>
      <c r="I681" s="110"/>
      <c r="J681" s="110"/>
      <c r="K681" s="110"/>
      <c r="L681" s="110"/>
    </row>
    <row r="682" spans="1:12" ht="18" customHeight="1" x14ac:dyDescent="0.2">
      <c r="A682" s="91">
        <v>46000</v>
      </c>
      <c r="B682" s="93" t="s">
        <v>426</v>
      </c>
      <c r="C682" s="36">
        <f t="shared" si="26"/>
        <v>2.8627294818942626</v>
      </c>
      <c r="D682" s="93" t="s">
        <v>125</v>
      </c>
      <c r="E682" s="93" t="s">
        <v>421</v>
      </c>
      <c r="F682" s="93" t="s">
        <v>21</v>
      </c>
      <c r="G682" s="29" t="s">
        <v>427</v>
      </c>
      <c r="H682" s="110" t="s">
        <v>428</v>
      </c>
      <c r="I682" s="110"/>
      <c r="J682" s="110"/>
      <c r="K682" s="110"/>
      <c r="L682" s="110"/>
    </row>
    <row r="683" spans="1:12" ht="18" customHeight="1" x14ac:dyDescent="0.2">
      <c r="A683" s="91">
        <v>47000</v>
      </c>
      <c r="B683" s="93" t="s">
        <v>426</v>
      </c>
      <c r="C683" s="36">
        <f t="shared" si="26"/>
        <v>2.863358563330352</v>
      </c>
      <c r="D683" s="93" t="s">
        <v>125</v>
      </c>
      <c r="E683" s="93" t="s">
        <v>421</v>
      </c>
      <c r="F683" s="93" t="s">
        <v>21</v>
      </c>
      <c r="G683" s="29" t="s">
        <v>427</v>
      </c>
      <c r="H683" s="110" t="s">
        <v>428</v>
      </c>
      <c r="I683" s="110"/>
      <c r="J683" s="110"/>
      <c r="K683" s="110"/>
      <c r="L683" s="110"/>
    </row>
    <row r="684" spans="1:12" ht="18" customHeight="1" x14ac:dyDescent="0.2">
      <c r="A684" s="91">
        <v>48000</v>
      </c>
      <c r="B684" s="93" t="s">
        <v>426</v>
      </c>
      <c r="C684" s="36">
        <f t="shared" si="26"/>
        <v>2.8639573635598747</v>
      </c>
      <c r="D684" s="93" t="s">
        <v>125</v>
      </c>
      <c r="E684" s="93" t="s">
        <v>421</v>
      </c>
      <c r="F684" s="93" t="s">
        <v>21</v>
      </c>
      <c r="G684" s="29" t="s">
        <v>427</v>
      </c>
      <c r="H684" s="110" t="s">
        <v>428</v>
      </c>
      <c r="I684" s="110"/>
      <c r="J684" s="110"/>
      <c r="K684" s="110"/>
      <c r="L684" s="110"/>
    </row>
    <row r="685" spans="1:12" ht="18" customHeight="1" x14ac:dyDescent="0.2">
      <c r="A685" s="91">
        <v>49000</v>
      </c>
      <c r="B685" s="93" t="s">
        <v>426</v>
      </c>
      <c r="C685" s="36">
        <f t="shared" si="26"/>
        <v>2.8645319583343136</v>
      </c>
      <c r="D685" s="93" t="s">
        <v>125</v>
      </c>
      <c r="E685" s="93" t="s">
        <v>421</v>
      </c>
      <c r="F685" s="93" t="s">
        <v>21</v>
      </c>
      <c r="G685" s="29" t="s">
        <v>427</v>
      </c>
      <c r="H685" s="110" t="s">
        <v>428</v>
      </c>
      <c r="I685" s="110"/>
      <c r="J685" s="110"/>
      <c r="K685" s="110"/>
      <c r="L685" s="110"/>
    </row>
    <row r="686" spans="1:12" ht="18" customHeight="1" x14ac:dyDescent="0.2">
      <c r="A686" s="96" t="s">
        <v>429</v>
      </c>
      <c r="B686" s="93" t="s">
        <v>430</v>
      </c>
      <c r="C686" s="36">
        <f>$C$7/C650</f>
        <v>0.52330858659903567</v>
      </c>
      <c r="D686" s="93" t="s">
        <v>125</v>
      </c>
      <c r="E686" s="93" t="s">
        <v>431</v>
      </c>
      <c r="F686" s="93" t="s">
        <v>21</v>
      </c>
      <c r="G686" s="29" t="s">
        <v>432</v>
      </c>
      <c r="H686" s="110" t="s">
        <v>433</v>
      </c>
      <c r="I686" s="110"/>
      <c r="J686" s="110"/>
      <c r="K686" s="110"/>
      <c r="L686" s="110"/>
    </row>
    <row r="687" spans="1:12" ht="18" customHeight="1" x14ac:dyDescent="0.2">
      <c r="A687" s="91">
        <v>42000</v>
      </c>
      <c r="B687" s="93" t="s">
        <v>430</v>
      </c>
      <c r="C687" s="36">
        <f t="shared" ref="C687:C694" si="27">$C$7/C651</f>
        <v>0.49895571721456178</v>
      </c>
      <c r="D687" s="93" t="s">
        <v>125</v>
      </c>
      <c r="E687" s="93" t="s">
        <v>431</v>
      </c>
      <c r="F687" s="93" t="s">
        <v>21</v>
      </c>
      <c r="G687" s="29" t="s">
        <v>432</v>
      </c>
      <c r="H687" s="110" t="s">
        <v>433</v>
      </c>
      <c r="I687" s="110"/>
      <c r="J687" s="110"/>
      <c r="K687" s="110"/>
      <c r="L687" s="110"/>
    </row>
    <row r="688" spans="1:12" ht="18" customHeight="1" x14ac:dyDescent="0.2">
      <c r="A688" s="91">
        <v>43000</v>
      </c>
      <c r="B688" s="93" t="s">
        <v>430</v>
      </c>
      <c r="C688" s="36">
        <f t="shared" si="27"/>
        <v>0.47579859202753566</v>
      </c>
      <c r="D688" s="93" t="s">
        <v>125</v>
      </c>
      <c r="E688" s="93" t="s">
        <v>431</v>
      </c>
      <c r="F688" s="93" t="s">
        <v>21</v>
      </c>
      <c r="G688" s="29" t="s">
        <v>432</v>
      </c>
      <c r="H688" s="110" t="s">
        <v>433</v>
      </c>
      <c r="I688" s="110"/>
      <c r="J688" s="110"/>
      <c r="K688" s="110"/>
      <c r="L688" s="110"/>
    </row>
    <row r="689" spans="1:12" ht="18" customHeight="1" x14ac:dyDescent="0.2">
      <c r="A689" s="91">
        <v>44000</v>
      </c>
      <c r="B689" s="93" t="s">
        <v>430</v>
      </c>
      <c r="C689" s="36">
        <f t="shared" si="27"/>
        <v>0.45365298156594813</v>
      </c>
      <c r="D689" s="93" t="s">
        <v>125</v>
      </c>
      <c r="E689" s="93" t="s">
        <v>431</v>
      </c>
      <c r="F689" s="93" t="s">
        <v>21</v>
      </c>
      <c r="G689" s="29" t="s">
        <v>432</v>
      </c>
      <c r="H689" s="110" t="s">
        <v>433</v>
      </c>
      <c r="I689" s="110"/>
      <c r="J689" s="110"/>
      <c r="K689" s="110"/>
      <c r="L689" s="110"/>
    </row>
    <row r="690" spans="1:12" ht="18" customHeight="1" x14ac:dyDescent="0.2">
      <c r="A690" s="91">
        <v>45000</v>
      </c>
      <c r="B690" s="93" t="s">
        <v>430</v>
      </c>
      <c r="C690" s="36">
        <f t="shared" si="27"/>
        <v>0.43261355249011968</v>
      </c>
      <c r="D690" s="93" t="s">
        <v>125</v>
      </c>
      <c r="E690" s="93" t="s">
        <v>431</v>
      </c>
      <c r="F690" s="93" t="s">
        <v>21</v>
      </c>
      <c r="G690" s="29" t="s">
        <v>432</v>
      </c>
      <c r="H690" s="110" t="s">
        <v>433</v>
      </c>
      <c r="I690" s="110"/>
      <c r="J690" s="110"/>
      <c r="K690" s="110"/>
      <c r="L690" s="110"/>
    </row>
    <row r="691" spans="1:12" ht="18" customHeight="1" x14ac:dyDescent="0.2">
      <c r="A691" s="91">
        <v>46000</v>
      </c>
      <c r="B691" s="93" t="s">
        <v>430</v>
      </c>
      <c r="C691" s="36">
        <f t="shared" si="27"/>
        <v>0.41249559253970908</v>
      </c>
      <c r="D691" s="93" t="s">
        <v>125</v>
      </c>
      <c r="E691" s="93" t="s">
        <v>431</v>
      </c>
      <c r="F691" s="93" t="s">
        <v>21</v>
      </c>
      <c r="G691" s="29" t="s">
        <v>432</v>
      </c>
      <c r="H691" s="110" t="s">
        <v>433</v>
      </c>
      <c r="I691" s="110"/>
      <c r="J691" s="110"/>
      <c r="K691" s="110"/>
      <c r="L691" s="110"/>
    </row>
    <row r="692" spans="1:12" ht="18" customHeight="1" x14ac:dyDescent="0.2">
      <c r="A692" s="91">
        <v>47000</v>
      </c>
      <c r="B692" s="93" t="s">
        <v>430</v>
      </c>
      <c r="C692" s="36">
        <f t="shared" si="27"/>
        <v>0.39330038249917826</v>
      </c>
      <c r="D692" s="93" t="s">
        <v>125</v>
      </c>
      <c r="E692" s="93" t="s">
        <v>431</v>
      </c>
      <c r="F692" s="93" t="s">
        <v>21</v>
      </c>
      <c r="G692" s="29" t="s">
        <v>432</v>
      </c>
      <c r="H692" s="110" t="s">
        <v>433</v>
      </c>
      <c r="I692" s="110"/>
      <c r="J692" s="110"/>
      <c r="K692" s="110"/>
      <c r="L692" s="110"/>
    </row>
    <row r="693" spans="1:12" ht="18" customHeight="1" x14ac:dyDescent="0.2">
      <c r="A693" s="91">
        <v>48000</v>
      </c>
      <c r="B693" s="93" t="s">
        <v>430</v>
      </c>
      <c r="C693" s="36">
        <f t="shared" si="27"/>
        <v>0.37502914523385017</v>
      </c>
      <c r="D693" s="93" t="s">
        <v>125</v>
      </c>
      <c r="E693" s="93" t="s">
        <v>431</v>
      </c>
      <c r="F693" s="93" t="s">
        <v>21</v>
      </c>
      <c r="G693" s="29" t="s">
        <v>432</v>
      </c>
      <c r="H693" s="110" t="s">
        <v>433</v>
      </c>
      <c r="I693" s="110"/>
      <c r="J693" s="110"/>
      <c r="K693" s="110"/>
      <c r="L693" s="110"/>
    </row>
    <row r="694" spans="1:12" ht="18" customHeight="1" x14ac:dyDescent="0.2">
      <c r="A694" s="91">
        <v>49000</v>
      </c>
      <c r="B694" s="93" t="s">
        <v>430</v>
      </c>
      <c r="C694" s="36">
        <f t="shared" si="27"/>
        <v>0.3574964908733777</v>
      </c>
      <c r="D694" s="93" t="s">
        <v>125</v>
      </c>
      <c r="E694" s="93" t="s">
        <v>431</v>
      </c>
      <c r="F694" s="93" t="s">
        <v>21</v>
      </c>
      <c r="G694" s="29" t="s">
        <v>432</v>
      </c>
      <c r="H694" s="110" t="s">
        <v>433</v>
      </c>
      <c r="I694" s="110"/>
      <c r="J694" s="110"/>
      <c r="K694" s="110"/>
      <c r="L694" s="110"/>
    </row>
    <row r="695" spans="1:12" ht="18" customHeight="1" x14ac:dyDescent="0.2">
      <c r="A695" s="93" t="s">
        <v>434</v>
      </c>
      <c r="B695" s="93" t="s">
        <v>435</v>
      </c>
      <c r="C695" s="36">
        <f>2*'Stability Constants Subsonic'!$C$13*('Stability Constants Subsonic'!$C$4-'Stability Constants Subsonic'!$C$3)*'Stability Constants Subsonic'!$C$14*'Supersonic Stability'!C650</f>
        <v>68518.092846343556</v>
      </c>
      <c r="D695" s="93" t="s">
        <v>125</v>
      </c>
      <c r="E695" s="93" t="s">
        <v>224</v>
      </c>
      <c r="F695" s="93" t="s">
        <v>21</v>
      </c>
      <c r="G695" s="29" t="s">
        <v>437</v>
      </c>
      <c r="H695" s="110" t="s">
        <v>438</v>
      </c>
      <c r="I695" s="110"/>
      <c r="J695" s="110"/>
      <c r="K695" s="110"/>
      <c r="L695" s="110"/>
    </row>
    <row r="696" spans="1:12" ht="18" customHeight="1" x14ac:dyDescent="0.2">
      <c r="A696" s="91">
        <v>42000</v>
      </c>
      <c r="B696" s="93" t="s">
        <v>435</v>
      </c>
      <c r="C696" s="36">
        <f>2*'Stability Constants Subsonic'!$C$13*('Stability Constants Subsonic'!$C$4-'Stability Constants Subsonic'!$C$3)*'Stability Constants Subsonic'!$C$14*'Supersonic Stability'!C651</f>
        <v>71862.301777098677</v>
      </c>
      <c r="D696" s="93" t="s">
        <v>125</v>
      </c>
      <c r="E696" s="93" t="s">
        <v>224</v>
      </c>
      <c r="F696" s="93" t="s">
        <v>21</v>
      </c>
      <c r="G696" s="29" t="s">
        <v>437</v>
      </c>
      <c r="H696" s="110" t="s">
        <v>438</v>
      </c>
      <c r="I696" s="110"/>
      <c r="J696" s="110"/>
      <c r="K696" s="110"/>
      <c r="L696" s="110"/>
    </row>
    <row r="697" spans="1:12" ht="18" customHeight="1" x14ac:dyDescent="0.2">
      <c r="A697" s="91">
        <v>43000</v>
      </c>
      <c r="B697" s="93" t="s">
        <v>435</v>
      </c>
      <c r="C697" s="36">
        <f>2*'Stability Constants Subsonic'!$C$13*('Stability Constants Subsonic'!$C$4-'Stability Constants Subsonic'!$C$3)*'Stability Constants Subsonic'!$C$14*'Supersonic Stability'!C652</f>
        <v>75359.841169530962</v>
      </c>
      <c r="D697" s="93" t="s">
        <v>125</v>
      </c>
      <c r="E697" s="93" t="s">
        <v>224</v>
      </c>
      <c r="F697" s="93" t="s">
        <v>21</v>
      </c>
      <c r="G697" s="29" t="s">
        <v>437</v>
      </c>
      <c r="H697" s="110" t="s">
        <v>438</v>
      </c>
      <c r="I697" s="110"/>
      <c r="J697" s="110"/>
      <c r="K697" s="110"/>
      <c r="L697" s="110"/>
    </row>
    <row r="698" spans="1:12" ht="18" customHeight="1" x14ac:dyDescent="0.2">
      <c r="A698" s="91">
        <v>44000</v>
      </c>
      <c r="B698" s="93" t="s">
        <v>435</v>
      </c>
      <c r="C698" s="36">
        <f>2*'Stability Constants Subsonic'!$C$13*('Stability Constants Subsonic'!$C$4-'Stability Constants Subsonic'!$C$3)*'Stability Constants Subsonic'!$C$14*'Supersonic Stability'!C653</f>
        <v>79038.621547490256</v>
      </c>
      <c r="D698" s="93" t="s">
        <v>125</v>
      </c>
      <c r="E698" s="93" t="s">
        <v>224</v>
      </c>
      <c r="F698" s="93" t="s">
        <v>21</v>
      </c>
      <c r="G698" s="29" t="s">
        <v>437</v>
      </c>
      <c r="H698" s="110" t="s">
        <v>438</v>
      </c>
      <c r="I698" s="110"/>
      <c r="J698" s="110"/>
      <c r="K698" s="110"/>
      <c r="L698" s="110"/>
    </row>
    <row r="699" spans="1:12" ht="18" customHeight="1" x14ac:dyDescent="0.2">
      <c r="A699" s="91">
        <v>45000</v>
      </c>
      <c r="B699" s="93" t="s">
        <v>435</v>
      </c>
      <c r="C699" s="36">
        <f>2*'Stability Constants Subsonic'!$C$13*('Stability Constants Subsonic'!$C$4-'Stability Constants Subsonic'!$C$3)*'Stability Constants Subsonic'!$C$14*'Supersonic Stability'!C654</f>
        <v>82882.531343491501</v>
      </c>
      <c r="D699" s="93" t="s">
        <v>125</v>
      </c>
      <c r="E699" s="93" t="s">
        <v>224</v>
      </c>
      <c r="F699" s="93" t="s">
        <v>21</v>
      </c>
      <c r="G699" s="29" t="s">
        <v>437</v>
      </c>
      <c r="H699" s="110" t="s">
        <v>438</v>
      </c>
      <c r="I699" s="110"/>
      <c r="J699" s="110"/>
      <c r="K699" s="110"/>
      <c r="L699" s="110"/>
    </row>
    <row r="700" spans="1:12" ht="18" customHeight="1" x14ac:dyDescent="0.2">
      <c r="A700" s="91">
        <v>46000</v>
      </c>
      <c r="B700" s="93" t="s">
        <v>435</v>
      </c>
      <c r="C700" s="36">
        <f>2*'Stability Constants Subsonic'!$C$13*('Stability Constants Subsonic'!$C$4-'Stability Constants Subsonic'!$C$3)*'Stability Constants Subsonic'!$C$14*'Supersonic Stability'!C655</f>
        <v>86924.822888695096</v>
      </c>
      <c r="D700" s="93" t="s">
        <v>125</v>
      </c>
      <c r="E700" s="93" t="s">
        <v>224</v>
      </c>
      <c r="F700" s="93" t="s">
        <v>21</v>
      </c>
      <c r="G700" s="29" t="s">
        <v>437</v>
      </c>
      <c r="H700" s="110" t="s">
        <v>438</v>
      </c>
      <c r="I700" s="110"/>
      <c r="J700" s="110"/>
      <c r="K700" s="110"/>
      <c r="L700" s="110"/>
    </row>
    <row r="701" spans="1:12" ht="18" customHeight="1" x14ac:dyDescent="0.2">
      <c r="A701" s="91">
        <v>47000</v>
      </c>
      <c r="B701" s="93" t="s">
        <v>435</v>
      </c>
      <c r="C701" s="36">
        <f>2*'Stability Constants Subsonic'!$C$13*('Stability Constants Subsonic'!$C$4-'Stability Constants Subsonic'!$C$3)*'Stability Constants Subsonic'!$C$14*'Supersonic Stability'!C656</f>
        <v>91167.229729191691</v>
      </c>
      <c r="D701" s="93" t="s">
        <v>125</v>
      </c>
      <c r="E701" s="93" t="s">
        <v>224</v>
      </c>
      <c r="F701" s="93" t="s">
        <v>21</v>
      </c>
      <c r="G701" s="29" t="s">
        <v>437</v>
      </c>
      <c r="H701" s="110" t="s">
        <v>438</v>
      </c>
      <c r="I701" s="110"/>
      <c r="J701" s="110"/>
      <c r="K701" s="110"/>
      <c r="L701" s="110"/>
    </row>
    <row r="702" spans="1:12" ht="18" customHeight="1" x14ac:dyDescent="0.2">
      <c r="A702" s="91">
        <v>48000</v>
      </c>
      <c r="B702" s="93" t="s">
        <v>435</v>
      </c>
      <c r="C702" s="36">
        <f>2*'Stability Constants Subsonic'!$C$13*('Stability Constants Subsonic'!$C$4-'Stability Constants Subsonic'!$C$3)*'Stability Constants Subsonic'!$C$14*'Supersonic Stability'!C657</f>
        <v>95608.852750693288</v>
      </c>
      <c r="D702" s="93" t="s">
        <v>125</v>
      </c>
      <c r="E702" s="93" t="s">
        <v>224</v>
      </c>
      <c r="F702" s="93" t="s">
        <v>21</v>
      </c>
      <c r="G702" s="29" t="s">
        <v>437</v>
      </c>
      <c r="H702" s="110" t="s">
        <v>438</v>
      </c>
      <c r="I702" s="110"/>
      <c r="J702" s="110"/>
      <c r="K702" s="110"/>
      <c r="L702" s="110"/>
    </row>
    <row r="703" spans="1:12" ht="18" customHeight="1" x14ac:dyDescent="0.2">
      <c r="A703" s="91">
        <v>49000</v>
      </c>
      <c r="B703" s="93" t="s">
        <v>435</v>
      </c>
      <c r="C703" s="36">
        <f>2*'Stability Constants Subsonic'!$C$13*('Stability Constants Subsonic'!$C$4-'Stability Constants Subsonic'!$C$3)*'Stability Constants Subsonic'!$C$14*'Supersonic Stability'!C658</f>
        <v>100297.78540282646</v>
      </c>
      <c r="D703" s="93" t="s">
        <v>125</v>
      </c>
      <c r="E703" s="93" t="s">
        <v>224</v>
      </c>
      <c r="F703" s="93" t="s">
        <v>21</v>
      </c>
      <c r="G703" s="29" t="s">
        <v>437</v>
      </c>
      <c r="H703" s="110" t="s">
        <v>438</v>
      </c>
      <c r="I703" s="110"/>
      <c r="J703" s="110"/>
      <c r="K703" s="110"/>
      <c r="L703" s="110"/>
    </row>
    <row r="704" spans="1:12" ht="18" customHeight="1" x14ac:dyDescent="0.2">
      <c r="A704" s="93" t="s">
        <v>439</v>
      </c>
      <c r="B704" s="93" t="s">
        <v>440</v>
      </c>
      <c r="C704" s="36">
        <f>2*'Stability Constants Subsonic'!$C$13*('Stability Constants Subsonic'!$C$6-'Stability Constants Subsonic'!$C$5)*'Stability Constants Subsonic'!$C$15*'Supersonic Stability'!C650</f>
        <v>42863.825115940526</v>
      </c>
      <c r="D704" s="93" t="s">
        <v>125</v>
      </c>
      <c r="E704" s="93" t="s">
        <v>224</v>
      </c>
      <c r="F704" s="93" t="s">
        <v>21</v>
      </c>
      <c r="G704" s="29" t="s">
        <v>442</v>
      </c>
      <c r="H704" s="110" t="s">
        <v>438</v>
      </c>
      <c r="I704" s="110"/>
      <c r="J704" s="110"/>
      <c r="K704" s="110"/>
      <c r="L704" s="110"/>
    </row>
    <row r="705" spans="1:12" ht="18" customHeight="1" x14ac:dyDescent="0.2">
      <c r="A705" s="91">
        <v>42000</v>
      </c>
      <c r="B705" s="93" t="s">
        <v>440</v>
      </c>
      <c r="C705" s="36">
        <f>2*'Stability Constants Subsonic'!$C$13*('Stability Constants Subsonic'!$C$6-'Stability Constants Subsonic'!$C$5)*'Stability Constants Subsonic'!$C$15*'Supersonic Stability'!C651</f>
        <v>44955.908838710158</v>
      </c>
      <c r="D705" s="93" t="s">
        <v>125</v>
      </c>
      <c r="E705" s="93" t="s">
        <v>224</v>
      </c>
      <c r="F705" s="93" t="s">
        <v>21</v>
      </c>
      <c r="G705" s="29" t="s">
        <v>442</v>
      </c>
      <c r="H705" s="110" t="s">
        <v>438</v>
      </c>
      <c r="I705" s="110"/>
      <c r="J705" s="110"/>
      <c r="K705" s="110"/>
      <c r="L705" s="110"/>
    </row>
    <row r="706" spans="1:12" ht="18" customHeight="1" x14ac:dyDescent="0.2">
      <c r="A706" s="91">
        <v>43000</v>
      </c>
      <c r="B706" s="93" t="s">
        <v>440</v>
      </c>
      <c r="C706" s="36">
        <f>2*'Stability Constants Subsonic'!$C$13*('Stability Constants Subsonic'!$C$6-'Stability Constants Subsonic'!$C$5)*'Stability Constants Subsonic'!$C$15*'Supersonic Stability'!C652</f>
        <v>47143.913650658607</v>
      </c>
      <c r="D706" s="93" t="s">
        <v>125</v>
      </c>
      <c r="E706" s="93" t="s">
        <v>224</v>
      </c>
      <c r="F706" s="93" t="s">
        <v>21</v>
      </c>
      <c r="G706" s="29" t="s">
        <v>442</v>
      </c>
      <c r="H706" s="110" t="s">
        <v>438</v>
      </c>
      <c r="I706" s="110"/>
      <c r="J706" s="110"/>
      <c r="K706" s="110"/>
      <c r="L706" s="110"/>
    </row>
    <row r="707" spans="1:12" ht="18" customHeight="1" x14ac:dyDescent="0.2">
      <c r="A707" s="91">
        <v>44000</v>
      </c>
      <c r="B707" s="93" t="s">
        <v>440</v>
      </c>
      <c r="C707" s="36">
        <f>2*'Stability Constants Subsonic'!$C$13*('Stability Constants Subsonic'!$C$6-'Stability Constants Subsonic'!$C$5)*'Stability Constants Subsonic'!$C$15*'Supersonic Stability'!C653</f>
        <v>49445.299929964771</v>
      </c>
      <c r="D707" s="93" t="s">
        <v>125</v>
      </c>
      <c r="E707" s="93" t="s">
        <v>224</v>
      </c>
      <c r="F707" s="93" t="s">
        <v>21</v>
      </c>
      <c r="G707" s="29" t="s">
        <v>442</v>
      </c>
      <c r="H707" s="110" t="s">
        <v>438</v>
      </c>
      <c r="I707" s="110"/>
      <c r="J707" s="110"/>
      <c r="K707" s="110"/>
      <c r="L707" s="110"/>
    </row>
    <row r="708" spans="1:12" ht="18" customHeight="1" x14ac:dyDescent="0.2">
      <c r="A708" s="91">
        <v>45000</v>
      </c>
      <c r="B708" s="93" t="s">
        <v>440</v>
      </c>
      <c r="C708" s="36">
        <f>2*'Stability Constants Subsonic'!$C$13*('Stability Constants Subsonic'!$C$6-'Stability Constants Subsonic'!$C$5)*'Stability Constants Subsonic'!$C$15*'Supersonic Stability'!C654</f>
        <v>51849.988537202335</v>
      </c>
      <c r="D708" s="93" t="s">
        <v>125</v>
      </c>
      <c r="E708" s="93" t="s">
        <v>224</v>
      </c>
      <c r="F708" s="93" t="s">
        <v>21</v>
      </c>
      <c r="G708" s="29" t="s">
        <v>442</v>
      </c>
      <c r="H708" s="110" t="s">
        <v>438</v>
      </c>
      <c r="I708" s="110"/>
      <c r="J708" s="110"/>
      <c r="K708" s="110"/>
      <c r="L708" s="110"/>
    </row>
    <row r="709" spans="1:12" ht="18" customHeight="1" x14ac:dyDescent="0.2">
      <c r="A709" s="91">
        <v>46000</v>
      </c>
      <c r="B709" s="93" t="s">
        <v>440</v>
      </c>
      <c r="C709" s="36">
        <f>2*'Stability Constants Subsonic'!$C$13*('Stability Constants Subsonic'!$C$6-'Stability Constants Subsonic'!$C$5)*'Stability Constants Subsonic'!$C$15*'Supersonic Stability'!C655</f>
        <v>54378.781599931288</v>
      </c>
      <c r="D709" s="93" t="s">
        <v>125</v>
      </c>
      <c r="E709" s="93" t="s">
        <v>224</v>
      </c>
      <c r="F709" s="93" t="s">
        <v>21</v>
      </c>
      <c r="G709" s="29" t="s">
        <v>442</v>
      </c>
      <c r="H709" s="110" t="s">
        <v>438</v>
      </c>
      <c r="I709" s="110"/>
      <c r="J709" s="110"/>
      <c r="K709" s="110"/>
      <c r="L709" s="110"/>
    </row>
    <row r="710" spans="1:12" ht="18" customHeight="1" x14ac:dyDescent="0.2">
      <c r="A710" s="91">
        <v>47000</v>
      </c>
      <c r="B710" s="93" t="s">
        <v>440</v>
      </c>
      <c r="C710" s="36">
        <f>2*'Stability Constants Subsonic'!$C$13*('Stability Constants Subsonic'!$C$6-'Stability Constants Subsonic'!$C$5)*'Stability Constants Subsonic'!$C$15*'Supersonic Stability'!C656</f>
        <v>57032.763596912977</v>
      </c>
      <c r="D710" s="93" t="s">
        <v>125</v>
      </c>
      <c r="E710" s="93" t="s">
        <v>224</v>
      </c>
      <c r="F710" s="93" t="s">
        <v>21</v>
      </c>
      <c r="G710" s="29" t="s">
        <v>442</v>
      </c>
      <c r="H710" s="110" t="s">
        <v>438</v>
      </c>
      <c r="I710" s="110"/>
      <c r="J710" s="110"/>
      <c r="K710" s="110"/>
      <c r="L710" s="110"/>
    </row>
    <row r="711" spans="1:12" ht="18" customHeight="1" x14ac:dyDescent="0.2">
      <c r="A711" s="91">
        <v>48000</v>
      </c>
      <c r="B711" s="93" t="s">
        <v>440</v>
      </c>
      <c r="C711" s="36">
        <f>2*'Stability Constants Subsonic'!$C$13*('Stability Constants Subsonic'!$C$6-'Stability Constants Subsonic'!$C$5)*'Stability Constants Subsonic'!$C$15*'Supersonic Stability'!C657</f>
        <v>59811.372056601584</v>
      </c>
      <c r="D711" s="93" t="s">
        <v>125</v>
      </c>
      <c r="E711" s="93" t="s">
        <v>224</v>
      </c>
      <c r="F711" s="93" t="s">
        <v>21</v>
      </c>
      <c r="G711" s="29" t="s">
        <v>442</v>
      </c>
      <c r="H711" s="110" t="s">
        <v>438</v>
      </c>
      <c r="I711" s="110"/>
      <c r="J711" s="110"/>
      <c r="K711" s="110"/>
      <c r="L711" s="110"/>
    </row>
    <row r="712" spans="1:12" ht="18" customHeight="1" x14ac:dyDescent="0.2">
      <c r="A712" s="91">
        <v>49000</v>
      </c>
      <c r="B712" s="93" t="s">
        <v>440</v>
      </c>
      <c r="C712" s="36">
        <f>2*'Stability Constants Subsonic'!$C$13*('Stability Constants Subsonic'!$C$6-'Stability Constants Subsonic'!$C$5)*'Stability Constants Subsonic'!$C$15*'Supersonic Stability'!C658</f>
        <v>62744.693473357642</v>
      </c>
      <c r="D712" s="93" t="s">
        <v>125</v>
      </c>
      <c r="E712" s="93" t="s">
        <v>224</v>
      </c>
      <c r="F712" s="93" t="s">
        <v>21</v>
      </c>
      <c r="G712" s="29" t="s">
        <v>442</v>
      </c>
      <c r="H712" s="110" t="s">
        <v>438</v>
      </c>
      <c r="I712" s="110"/>
      <c r="J712" s="110"/>
      <c r="K712" s="110"/>
      <c r="L712" s="110"/>
    </row>
    <row r="713" spans="1:12" ht="18" customHeight="1" x14ac:dyDescent="0.2">
      <c r="A713" s="118" t="s">
        <v>503</v>
      </c>
      <c r="B713" s="119"/>
      <c r="C713" s="119"/>
      <c r="D713" s="119"/>
      <c r="E713" s="119"/>
      <c r="F713" s="119"/>
      <c r="G713" s="119"/>
      <c r="H713" s="121"/>
      <c r="I713" s="121"/>
      <c r="J713" s="121"/>
      <c r="K713" s="121"/>
      <c r="L713" s="125"/>
    </row>
    <row r="714" spans="1:12" ht="18" customHeight="1" x14ac:dyDescent="0.2">
      <c r="A714" s="23" t="s">
        <v>5</v>
      </c>
      <c r="B714" s="23" t="s">
        <v>96</v>
      </c>
      <c r="C714" s="94" t="s">
        <v>7</v>
      </c>
      <c r="D714" s="94" t="s">
        <v>125</v>
      </c>
      <c r="E714" s="94" t="s">
        <v>8</v>
      </c>
      <c r="F714" s="94" t="s">
        <v>9</v>
      </c>
      <c r="G714" s="31" t="s">
        <v>10</v>
      </c>
      <c r="H714" s="122" t="s">
        <v>11</v>
      </c>
      <c r="I714" s="123"/>
      <c r="J714" s="123"/>
      <c r="K714" s="123"/>
      <c r="L714" s="124"/>
    </row>
    <row r="715" spans="1:12" ht="18" customHeight="1" x14ac:dyDescent="0.2">
      <c r="A715" s="93" t="s">
        <v>379</v>
      </c>
      <c r="B715" s="93" t="s">
        <v>380</v>
      </c>
      <c r="C715" s="36">
        <v>1.7</v>
      </c>
      <c r="D715" s="93" t="s">
        <v>125</v>
      </c>
      <c r="E715" s="93" t="s">
        <v>137</v>
      </c>
      <c r="F715" s="93" t="s">
        <v>484</v>
      </c>
      <c r="G715" s="29" t="s">
        <v>137</v>
      </c>
      <c r="H715" s="126" t="s">
        <v>309</v>
      </c>
      <c r="I715" s="126"/>
      <c r="J715" s="126"/>
      <c r="K715" s="126"/>
      <c r="L715" s="126"/>
    </row>
    <row r="716" spans="1:12" ht="18" customHeight="1" x14ac:dyDescent="0.2">
      <c r="A716" s="93" t="s">
        <v>557</v>
      </c>
      <c r="B716" s="93" t="s">
        <v>406</v>
      </c>
      <c r="C716" s="36">
        <f>'Final Aircraft Checkouts'!C218</f>
        <v>8.8603428369144283E-2</v>
      </c>
      <c r="D716" s="93" t="s">
        <v>125</v>
      </c>
      <c r="E716" s="93" t="s">
        <v>137</v>
      </c>
      <c r="F716" s="93" t="s">
        <v>21</v>
      </c>
      <c r="G716" s="29" t="s">
        <v>550</v>
      </c>
      <c r="H716" s="127" t="s">
        <v>526</v>
      </c>
      <c r="I716" s="127"/>
      <c r="J716" s="127"/>
      <c r="K716" s="127"/>
      <c r="L716" s="127"/>
    </row>
    <row r="717" spans="1:12" ht="18" customHeight="1" x14ac:dyDescent="0.2">
      <c r="A717" s="91">
        <v>42000</v>
      </c>
      <c r="B717" s="93" t="s">
        <v>406</v>
      </c>
      <c r="C717" s="36">
        <f>'Final Aircraft Checkouts'!C219</f>
        <v>9.295389655368623E-2</v>
      </c>
      <c r="D717" s="93" t="s">
        <v>125</v>
      </c>
      <c r="E717" s="93" t="s">
        <v>137</v>
      </c>
      <c r="F717" s="93" t="s">
        <v>21</v>
      </c>
      <c r="G717" s="29" t="s">
        <v>550</v>
      </c>
      <c r="H717" s="127" t="s">
        <v>526</v>
      </c>
      <c r="I717" s="127"/>
      <c r="J717" s="127"/>
      <c r="K717" s="127"/>
      <c r="L717" s="127"/>
    </row>
    <row r="718" spans="1:12" ht="18" customHeight="1" x14ac:dyDescent="0.2">
      <c r="A718" s="91">
        <v>43000</v>
      </c>
      <c r="B718" s="93" t="s">
        <v>406</v>
      </c>
      <c r="C718" s="36">
        <f>'Final Aircraft Checkouts'!C220</f>
        <v>9.7503831729992094E-2</v>
      </c>
      <c r="D718" s="93" t="s">
        <v>125</v>
      </c>
      <c r="E718" s="93" t="s">
        <v>137</v>
      </c>
      <c r="F718" s="93" t="s">
        <v>21</v>
      </c>
      <c r="G718" s="29" t="s">
        <v>550</v>
      </c>
      <c r="H718" s="127" t="s">
        <v>526</v>
      </c>
      <c r="I718" s="127"/>
      <c r="J718" s="127"/>
      <c r="K718" s="127"/>
      <c r="L718" s="127"/>
    </row>
    <row r="719" spans="1:12" ht="18" customHeight="1" x14ac:dyDescent="0.2">
      <c r="A719" s="91">
        <v>44000</v>
      </c>
      <c r="B719" s="93" t="s">
        <v>406</v>
      </c>
      <c r="C719" s="36">
        <f>'Final Aircraft Checkouts'!C221</f>
        <v>0.10228954258825937</v>
      </c>
      <c r="D719" s="93" t="s">
        <v>125</v>
      </c>
      <c r="E719" s="93" t="s">
        <v>137</v>
      </c>
      <c r="F719" s="93" t="s">
        <v>21</v>
      </c>
      <c r="G719" s="29" t="s">
        <v>550</v>
      </c>
      <c r="H719" s="127" t="s">
        <v>526</v>
      </c>
      <c r="I719" s="127"/>
      <c r="J719" s="127"/>
      <c r="K719" s="127"/>
      <c r="L719" s="127"/>
    </row>
    <row r="720" spans="1:12" ht="18" customHeight="1" x14ac:dyDescent="0.2">
      <c r="A720" s="91">
        <v>45000</v>
      </c>
      <c r="B720" s="93" t="s">
        <v>406</v>
      </c>
      <c r="C720" s="36">
        <f>'Final Aircraft Checkouts'!C222</f>
        <v>0.10729006965400599</v>
      </c>
      <c r="D720" s="93" t="s">
        <v>125</v>
      </c>
      <c r="E720" s="93" t="s">
        <v>137</v>
      </c>
      <c r="F720" s="93" t="s">
        <v>21</v>
      </c>
      <c r="G720" s="29" t="s">
        <v>550</v>
      </c>
      <c r="H720" s="127" t="s">
        <v>526</v>
      </c>
      <c r="I720" s="127"/>
      <c r="J720" s="127"/>
      <c r="K720" s="127"/>
      <c r="L720" s="127"/>
    </row>
    <row r="721" spans="1:12" ht="18" customHeight="1" x14ac:dyDescent="0.2">
      <c r="A721" s="91">
        <v>46000</v>
      </c>
      <c r="B721" s="93" t="s">
        <v>406</v>
      </c>
      <c r="C721" s="36">
        <f>'Final Aircraft Checkouts'!C223</f>
        <v>0.11254867075345354</v>
      </c>
      <c r="D721" s="93" t="s">
        <v>125</v>
      </c>
      <c r="E721" s="93" t="s">
        <v>137</v>
      </c>
      <c r="F721" s="93" t="s">
        <v>21</v>
      </c>
      <c r="G721" s="29" t="s">
        <v>550</v>
      </c>
      <c r="H721" s="127" t="s">
        <v>526</v>
      </c>
      <c r="I721" s="127"/>
      <c r="J721" s="127"/>
      <c r="K721" s="127"/>
      <c r="L721" s="127"/>
    </row>
    <row r="722" spans="1:12" ht="18" customHeight="1" x14ac:dyDescent="0.2">
      <c r="A722" s="91">
        <v>47000</v>
      </c>
      <c r="B722" s="93" t="s">
        <v>406</v>
      </c>
      <c r="C722" s="36">
        <f>'Final Aircraft Checkouts'!C224</f>
        <v>0.11806760104986186</v>
      </c>
      <c r="D722" s="93" t="s">
        <v>125</v>
      </c>
      <c r="E722" s="93" t="s">
        <v>137</v>
      </c>
      <c r="F722" s="93" t="s">
        <v>21</v>
      </c>
      <c r="G722" s="29" t="s">
        <v>550</v>
      </c>
      <c r="H722" s="127" t="s">
        <v>526</v>
      </c>
      <c r="I722" s="127"/>
      <c r="J722" s="127"/>
      <c r="K722" s="127"/>
      <c r="L722" s="127"/>
    </row>
    <row r="723" spans="1:12" ht="18" customHeight="1" x14ac:dyDescent="0.2">
      <c r="A723" s="91">
        <v>48000</v>
      </c>
      <c r="B723" s="93" t="s">
        <v>406</v>
      </c>
      <c r="C723" s="36">
        <f>'Final Aircraft Checkouts'!C225</f>
        <v>0.12384569088900618</v>
      </c>
      <c r="D723" s="93" t="s">
        <v>125</v>
      </c>
      <c r="E723" s="93" t="s">
        <v>137</v>
      </c>
      <c r="F723" s="93" t="s">
        <v>21</v>
      </c>
      <c r="G723" s="29" t="s">
        <v>550</v>
      </c>
      <c r="H723" s="127" t="s">
        <v>526</v>
      </c>
      <c r="I723" s="127"/>
      <c r="J723" s="127"/>
      <c r="K723" s="127"/>
      <c r="L723" s="127"/>
    </row>
    <row r="724" spans="1:12" ht="18" customHeight="1" x14ac:dyDescent="0.2">
      <c r="A724" s="91">
        <v>49000</v>
      </c>
      <c r="B724" s="93" t="s">
        <v>406</v>
      </c>
      <c r="C724" s="36">
        <f>'Final Aircraft Checkouts'!C226</f>
        <v>0.1299455048494812</v>
      </c>
      <c r="D724" s="93" t="s">
        <v>125</v>
      </c>
      <c r="E724" s="93" t="s">
        <v>137</v>
      </c>
      <c r="F724" s="93" t="s">
        <v>21</v>
      </c>
      <c r="G724" s="29" t="s">
        <v>550</v>
      </c>
      <c r="H724" s="127" t="s">
        <v>526</v>
      </c>
      <c r="I724" s="127"/>
      <c r="J724" s="127"/>
      <c r="K724" s="127"/>
      <c r="L724" s="127"/>
    </row>
    <row r="725" spans="1:12" ht="18" customHeight="1" x14ac:dyDescent="0.2">
      <c r="A725" s="93" t="s">
        <v>447</v>
      </c>
      <c r="B725" s="47" t="s">
        <v>448</v>
      </c>
      <c r="C725" s="48">
        <v>0.10158298411673315</v>
      </c>
      <c r="D725" s="93" t="s">
        <v>125</v>
      </c>
      <c r="E725" s="93" t="s">
        <v>137</v>
      </c>
      <c r="F725" s="93" t="s">
        <v>399</v>
      </c>
      <c r="G725" s="29" t="s">
        <v>137</v>
      </c>
      <c r="H725" s="127" t="s">
        <v>449</v>
      </c>
      <c r="I725" s="127"/>
      <c r="J725" s="127"/>
      <c r="K725" s="127"/>
      <c r="L725" s="127"/>
    </row>
    <row r="726" spans="1:12" ht="18" customHeight="1" x14ac:dyDescent="0.2">
      <c r="A726" s="93" t="s">
        <v>447</v>
      </c>
      <c r="B726" s="47" t="s">
        <v>448</v>
      </c>
      <c r="C726" s="48">
        <v>0.10158298411673315</v>
      </c>
      <c r="D726" s="93" t="s">
        <v>125</v>
      </c>
      <c r="E726" s="93" t="s">
        <v>137</v>
      </c>
      <c r="F726" s="93" t="s">
        <v>399</v>
      </c>
      <c r="G726" s="29" t="s">
        <v>137</v>
      </c>
      <c r="H726" s="127" t="s">
        <v>449</v>
      </c>
      <c r="I726" s="127"/>
      <c r="J726" s="127"/>
      <c r="K726" s="127"/>
      <c r="L726" s="127"/>
    </row>
    <row r="727" spans="1:12" ht="18" customHeight="1" x14ac:dyDescent="0.2">
      <c r="A727" s="93" t="s">
        <v>447</v>
      </c>
      <c r="B727" s="47" t="s">
        <v>448</v>
      </c>
      <c r="C727" s="48">
        <v>0.10158298411673315</v>
      </c>
      <c r="D727" s="93" t="s">
        <v>125</v>
      </c>
      <c r="E727" s="93" t="s">
        <v>137</v>
      </c>
      <c r="F727" s="93" t="s">
        <v>399</v>
      </c>
      <c r="G727" s="29" t="s">
        <v>137</v>
      </c>
      <c r="H727" s="127" t="s">
        <v>449</v>
      </c>
      <c r="I727" s="127"/>
      <c r="J727" s="127"/>
      <c r="K727" s="127"/>
      <c r="L727" s="127"/>
    </row>
    <row r="728" spans="1:12" ht="18" customHeight="1" x14ac:dyDescent="0.2">
      <c r="A728" s="93" t="s">
        <v>447</v>
      </c>
      <c r="B728" s="47" t="s">
        <v>448</v>
      </c>
      <c r="C728" s="48">
        <v>0.10158298411673315</v>
      </c>
      <c r="D728" s="93" t="s">
        <v>125</v>
      </c>
      <c r="E728" s="93" t="s">
        <v>137</v>
      </c>
      <c r="F728" s="93" t="s">
        <v>399</v>
      </c>
      <c r="G728" s="29" t="s">
        <v>137</v>
      </c>
      <c r="H728" s="127" t="s">
        <v>449</v>
      </c>
      <c r="I728" s="127"/>
      <c r="J728" s="127"/>
      <c r="K728" s="127"/>
      <c r="L728" s="127"/>
    </row>
    <row r="729" spans="1:12" ht="18" customHeight="1" x14ac:dyDescent="0.2">
      <c r="A729" s="93" t="s">
        <v>447</v>
      </c>
      <c r="B729" s="47" t="s">
        <v>448</v>
      </c>
      <c r="C729" s="48">
        <v>0.10158298411673315</v>
      </c>
      <c r="D729" s="93" t="s">
        <v>125</v>
      </c>
      <c r="E729" s="93" t="s">
        <v>137</v>
      </c>
      <c r="F729" s="93" t="s">
        <v>399</v>
      </c>
      <c r="G729" s="29" t="s">
        <v>137</v>
      </c>
      <c r="H729" s="127" t="s">
        <v>449</v>
      </c>
      <c r="I729" s="127"/>
      <c r="J729" s="127"/>
      <c r="K729" s="127"/>
      <c r="L729" s="127"/>
    </row>
    <row r="730" spans="1:12" ht="18" customHeight="1" x14ac:dyDescent="0.2">
      <c r="A730" s="93" t="s">
        <v>447</v>
      </c>
      <c r="B730" s="47" t="s">
        <v>448</v>
      </c>
      <c r="C730" s="48">
        <v>0.10158298411673315</v>
      </c>
      <c r="D730" s="93" t="s">
        <v>125</v>
      </c>
      <c r="E730" s="93" t="s">
        <v>137</v>
      </c>
      <c r="F730" s="93" t="s">
        <v>399</v>
      </c>
      <c r="G730" s="29" t="s">
        <v>137</v>
      </c>
      <c r="H730" s="127" t="s">
        <v>449</v>
      </c>
      <c r="I730" s="127"/>
      <c r="J730" s="127"/>
      <c r="K730" s="127"/>
      <c r="L730" s="127"/>
    </row>
    <row r="731" spans="1:12" ht="18" customHeight="1" x14ac:dyDescent="0.2">
      <c r="A731" s="93" t="s">
        <v>447</v>
      </c>
      <c r="B731" s="47" t="s">
        <v>448</v>
      </c>
      <c r="C731" s="48">
        <v>0.10158298411673315</v>
      </c>
      <c r="D731" s="93" t="s">
        <v>125</v>
      </c>
      <c r="E731" s="93" t="s">
        <v>137</v>
      </c>
      <c r="F731" s="93" t="s">
        <v>399</v>
      </c>
      <c r="G731" s="29" t="s">
        <v>137</v>
      </c>
      <c r="H731" s="127" t="s">
        <v>449</v>
      </c>
      <c r="I731" s="127"/>
      <c r="J731" s="127"/>
      <c r="K731" s="127"/>
      <c r="L731" s="127"/>
    </row>
    <row r="732" spans="1:12" ht="18" customHeight="1" x14ac:dyDescent="0.2">
      <c r="A732" s="93" t="s">
        <v>447</v>
      </c>
      <c r="B732" s="47" t="s">
        <v>448</v>
      </c>
      <c r="C732" s="48">
        <v>0.10158298411673315</v>
      </c>
      <c r="D732" s="93" t="s">
        <v>125</v>
      </c>
      <c r="E732" s="93" t="s">
        <v>137</v>
      </c>
      <c r="F732" s="93" t="s">
        <v>399</v>
      </c>
      <c r="G732" s="29" t="s">
        <v>137</v>
      </c>
      <c r="H732" s="127" t="s">
        <v>449</v>
      </c>
      <c r="I732" s="127"/>
      <c r="J732" s="127"/>
      <c r="K732" s="127"/>
      <c r="L732" s="127"/>
    </row>
    <row r="733" spans="1:12" ht="18" customHeight="1" x14ac:dyDescent="0.2">
      <c r="A733" s="93" t="s">
        <v>447</v>
      </c>
      <c r="B733" s="47" t="s">
        <v>448</v>
      </c>
      <c r="C733" s="48">
        <v>0.10158298411673315</v>
      </c>
      <c r="D733" s="93" t="s">
        <v>125</v>
      </c>
      <c r="E733" s="93" t="s">
        <v>137</v>
      </c>
      <c r="F733" s="93" t="s">
        <v>399</v>
      </c>
      <c r="G733" s="29" t="s">
        <v>137</v>
      </c>
      <c r="H733" s="127" t="s">
        <v>449</v>
      </c>
      <c r="I733" s="127"/>
      <c r="J733" s="127"/>
      <c r="K733" s="127"/>
      <c r="L733" s="127"/>
    </row>
    <row r="734" spans="1:12" ht="18" customHeight="1" x14ac:dyDescent="0.2">
      <c r="A734" s="93" t="s">
        <v>558</v>
      </c>
      <c r="B734" s="93" t="s">
        <v>436</v>
      </c>
      <c r="C734" s="36">
        <f xml:space="preserve"> ABS((C716-CFD!$B$26)/(CFD!$B$27-CFD!$B$26)*(CFD!$A$27-CFD!$A$26) + CFD!$A$26)*PI()/180</f>
        <v>3.3151325114529166E-2</v>
      </c>
      <c r="D734" s="93" t="s">
        <v>125</v>
      </c>
      <c r="E734" s="93" t="s">
        <v>407</v>
      </c>
      <c r="F734" s="93" t="s">
        <v>21</v>
      </c>
      <c r="G734" s="29" t="s">
        <v>550</v>
      </c>
      <c r="H734" s="127" t="s">
        <v>526</v>
      </c>
      <c r="I734" s="127"/>
      <c r="J734" s="127"/>
      <c r="K734" s="127"/>
      <c r="L734" s="127"/>
    </row>
    <row r="735" spans="1:12" ht="18" customHeight="1" x14ac:dyDescent="0.2">
      <c r="A735" s="91">
        <v>42000</v>
      </c>
      <c r="B735" s="93" t="s">
        <v>436</v>
      </c>
      <c r="C735" s="36">
        <f xml:space="preserve"> ABS((C717-CFD!$B$26)/(CFD!$B$27-CFD!$B$26)*(CFD!$A$27-CFD!$A$26) + CFD!$A$26)*PI()/180</f>
        <v>3.4777235046510258E-2</v>
      </c>
      <c r="D735" s="93"/>
      <c r="E735" s="93" t="s">
        <v>407</v>
      </c>
      <c r="F735" s="93" t="s">
        <v>21</v>
      </c>
      <c r="G735" s="29" t="s">
        <v>550</v>
      </c>
      <c r="H735" s="127" t="s">
        <v>526</v>
      </c>
      <c r="I735" s="127"/>
      <c r="J735" s="127"/>
      <c r="K735" s="127"/>
      <c r="L735" s="127"/>
    </row>
    <row r="736" spans="1:12" ht="18" customHeight="1" x14ac:dyDescent="0.2">
      <c r="A736" s="91">
        <v>43000</v>
      </c>
      <c r="B736" s="93" t="s">
        <v>436</v>
      </c>
      <c r="C736" s="36">
        <f xml:space="preserve"> ABS((C718-CFD!$B$26)/(CFD!$B$27-CFD!$B$26)*(CFD!$A$27-CFD!$A$26) + CFD!$A$26)*PI()/180</f>
        <v>3.6477692210939508E-2</v>
      </c>
      <c r="D736" s="93"/>
      <c r="E736" s="93" t="s">
        <v>407</v>
      </c>
      <c r="F736" s="93" t="s">
        <v>21</v>
      </c>
      <c r="G736" s="29" t="s">
        <v>550</v>
      </c>
      <c r="H736" s="127" t="s">
        <v>526</v>
      </c>
      <c r="I736" s="127"/>
      <c r="J736" s="127"/>
      <c r="K736" s="127"/>
      <c r="L736" s="127"/>
    </row>
    <row r="737" spans="1:12" ht="18" customHeight="1" x14ac:dyDescent="0.2">
      <c r="A737" s="91">
        <v>44000</v>
      </c>
      <c r="B737" s="93" t="s">
        <v>436</v>
      </c>
      <c r="C737" s="36">
        <f xml:space="preserve"> ABS((C719-CFD!$B$26)/(CFD!$B$27-CFD!$B$26)*(CFD!$A$27-CFD!$A$26) + CFD!$A$26)*PI()/180</f>
        <v>3.8266266333534964E-2</v>
      </c>
      <c r="D737" s="93"/>
      <c r="E737" s="93" t="s">
        <v>407</v>
      </c>
      <c r="F737" s="93" t="s">
        <v>21</v>
      </c>
      <c r="G737" s="29" t="s">
        <v>550</v>
      </c>
      <c r="H737" s="127" t="s">
        <v>526</v>
      </c>
      <c r="I737" s="127"/>
      <c r="J737" s="127"/>
      <c r="K737" s="127"/>
      <c r="L737" s="127"/>
    </row>
    <row r="738" spans="1:12" ht="18" customHeight="1" x14ac:dyDescent="0.2">
      <c r="A738" s="91">
        <v>45000</v>
      </c>
      <c r="B738" s="93" t="s">
        <v>436</v>
      </c>
      <c r="C738" s="36">
        <f xml:space="preserve"> ABS((C720-CFD!$B$26)/(CFD!$B$27-CFD!$B$26)*(CFD!$A$27-CFD!$A$26) + CFD!$A$26)*PI()/180</f>
        <v>4.0135124184335166E-2</v>
      </c>
      <c r="D738" s="93"/>
      <c r="E738" s="93" t="s">
        <v>407</v>
      </c>
      <c r="F738" s="93" t="s">
        <v>21</v>
      </c>
      <c r="G738" s="29" t="s">
        <v>550</v>
      </c>
      <c r="H738" s="127" t="s">
        <v>526</v>
      </c>
      <c r="I738" s="127"/>
      <c r="J738" s="127"/>
      <c r="K738" s="127"/>
      <c r="L738" s="127"/>
    </row>
    <row r="739" spans="1:12" ht="18" customHeight="1" x14ac:dyDescent="0.2">
      <c r="A739" s="91">
        <v>46000</v>
      </c>
      <c r="B739" s="93" t="s">
        <v>436</v>
      </c>
      <c r="C739" s="36">
        <f xml:space="preserve"> ABS((C721-CFD!$B$26)/(CFD!$B$27-CFD!$B$26)*(CFD!$A$27-CFD!$A$26) + CFD!$A$26)*PI()/180</f>
        <v>4.2100432604770997E-2</v>
      </c>
      <c r="D739" s="93"/>
      <c r="E739" s="93" t="s">
        <v>407</v>
      </c>
      <c r="F739" s="93" t="s">
        <v>21</v>
      </c>
      <c r="G739" s="29" t="s">
        <v>550</v>
      </c>
      <c r="H739" s="127" t="s">
        <v>526</v>
      </c>
      <c r="I739" s="127"/>
      <c r="J739" s="127"/>
      <c r="K739" s="127"/>
      <c r="L739" s="127"/>
    </row>
    <row r="740" spans="1:12" ht="18" customHeight="1" x14ac:dyDescent="0.2">
      <c r="A740" s="91">
        <v>47000</v>
      </c>
      <c r="B740" s="93" t="s">
        <v>436</v>
      </c>
      <c r="C740" s="36">
        <f xml:space="preserve"> ABS((C722-CFD!$B$26)/(CFD!$B$27-CFD!$B$26)*(CFD!$A$27-CFD!$A$26) + CFD!$A$26)*PI()/180</f>
        <v>4.4163034421910004E-2</v>
      </c>
      <c r="D740" s="93"/>
      <c r="E740" s="93" t="s">
        <v>407</v>
      </c>
      <c r="F740" s="93" t="s">
        <v>21</v>
      </c>
      <c r="G740" s="29" t="s">
        <v>550</v>
      </c>
      <c r="H740" s="127" t="s">
        <v>526</v>
      </c>
      <c r="I740" s="127"/>
      <c r="J740" s="127"/>
      <c r="K740" s="127"/>
      <c r="L740" s="127"/>
    </row>
    <row r="741" spans="1:12" ht="18" customHeight="1" x14ac:dyDescent="0.2">
      <c r="A741" s="91">
        <v>48000</v>
      </c>
      <c r="B741" s="93" t="s">
        <v>436</v>
      </c>
      <c r="C741" s="36">
        <f xml:space="preserve"> ABS((C723-CFD!$B$26)/(CFD!$B$27-CFD!$B$26)*(CFD!$A$27-CFD!$A$26) + CFD!$A$26)*PI()/180</f>
        <v>4.6322492498336081E-2</v>
      </c>
      <c r="D741" s="93"/>
      <c r="E741" s="93" t="s">
        <v>407</v>
      </c>
      <c r="F741" s="93" t="s">
        <v>21</v>
      </c>
      <c r="G741" s="29" t="s">
        <v>550</v>
      </c>
      <c r="H741" s="127" t="s">
        <v>526</v>
      </c>
      <c r="I741" s="127"/>
      <c r="J741" s="127"/>
      <c r="K741" s="127"/>
      <c r="L741" s="127"/>
    </row>
    <row r="742" spans="1:12" ht="18" customHeight="1" x14ac:dyDescent="0.2">
      <c r="A742" s="91">
        <v>49000</v>
      </c>
      <c r="B742" s="93" t="s">
        <v>436</v>
      </c>
      <c r="C742" s="36">
        <f xml:space="preserve"> ABS((C724-CFD!$B$26)/(CFD!$B$27-CFD!$B$26)*(CFD!$A$27-CFD!$A$26) + CFD!$A$26)*PI()/180</f>
        <v>4.8602189230014983E-2</v>
      </c>
      <c r="D742" s="93"/>
      <c r="E742" s="93" t="s">
        <v>407</v>
      </c>
      <c r="F742" s="93" t="s">
        <v>21</v>
      </c>
      <c r="G742" s="29" t="s">
        <v>550</v>
      </c>
      <c r="H742" s="127" t="s">
        <v>526</v>
      </c>
      <c r="I742" s="127"/>
      <c r="J742" s="127"/>
      <c r="K742" s="127"/>
      <c r="L742" s="127"/>
    </row>
    <row r="743" spans="1:12" ht="18" customHeight="1" x14ac:dyDescent="0.2">
      <c r="A743" s="93" t="s">
        <v>560</v>
      </c>
      <c r="B743" s="47" t="s">
        <v>481</v>
      </c>
      <c r="C743" s="48">
        <f>C725/C761</f>
        <v>3.8007677519289171E-2</v>
      </c>
      <c r="D743" s="93" t="s">
        <v>125</v>
      </c>
      <c r="E743" s="93" t="s">
        <v>407</v>
      </c>
      <c r="F743" s="93" t="s">
        <v>21</v>
      </c>
      <c r="G743" s="29" t="s">
        <v>482</v>
      </c>
      <c r="H743" s="127" t="s">
        <v>483</v>
      </c>
      <c r="I743" s="127"/>
      <c r="J743" s="127"/>
      <c r="K743" s="127"/>
      <c r="L743" s="127"/>
    </row>
    <row r="744" spans="1:12" ht="18" customHeight="1" x14ac:dyDescent="0.2">
      <c r="A744" s="91">
        <v>42000</v>
      </c>
      <c r="B744" s="47" t="s">
        <v>481</v>
      </c>
      <c r="C744" s="48">
        <f t="shared" ref="C744:C751" si="28">C726/C762</f>
        <v>3.800567212707609E-2</v>
      </c>
      <c r="D744" s="93" t="s">
        <v>125</v>
      </c>
      <c r="E744" s="93" t="s">
        <v>407</v>
      </c>
      <c r="F744" s="93" t="s">
        <v>21</v>
      </c>
      <c r="G744" s="29" t="s">
        <v>482</v>
      </c>
      <c r="H744" s="127" t="s">
        <v>483</v>
      </c>
      <c r="I744" s="127"/>
      <c r="J744" s="127"/>
      <c r="K744" s="127"/>
      <c r="L744" s="127"/>
    </row>
    <row r="745" spans="1:12" ht="18" customHeight="1" x14ac:dyDescent="0.2">
      <c r="A745" s="91">
        <v>43000</v>
      </c>
      <c r="B745" s="47" t="s">
        <v>481</v>
      </c>
      <c r="C745" s="48">
        <f t="shared" si="28"/>
        <v>3.8003766239056803E-2</v>
      </c>
      <c r="D745" s="93" t="s">
        <v>125</v>
      </c>
      <c r="E745" s="93" t="s">
        <v>407</v>
      </c>
      <c r="F745" s="93" t="s">
        <v>21</v>
      </c>
      <c r="G745" s="29" t="s">
        <v>482</v>
      </c>
      <c r="H745" s="127" t="s">
        <v>483</v>
      </c>
      <c r="I745" s="127"/>
      <c r="J745" s="127"/>
      <c r="K745" s="127"/>
      <c r="L745" s="127"/>
    </row>
    <row r="746" spans="1:12" ht="18" customHeight="1" x14ac:dyDescent="0.2">
      <c r="A746" s="91">
        <v>44000</v>
      </c>
      <c r="B746" s="47" t="s">
        <v>481</v>
      </c>
      <c r="C746" s="48">
        <f t="shared" si="28"/>
        <v>3.8001944546893783E-2</v>
      </c>
      <c r="D746" s="93" t="s">
        <v>125</v>
      </c>
      <c r="E746" s="93" t="s">
        <v>407</v>
      </c>
      <c r="F746" s="93" t="s">
        <v>21</v>
      </c>
      <c r="G746" s="29" t="s">
        <v>482</v>
      </c>
      <c r="H746" s="127" t="s">
        <v>483</v>
      </c>
      <c r="I746" s="127"/>
      <c r="J746" s="127"/>
      <c r="K746" s="127"/>
      <c r="L746" s="127"/>
    </row>
    <row r="747" spans="1:12" ht="18" customHeight="1" x14ac:dyDescent="0.2">
      <c r="A747" s="91">
        <v>45000</v>
      </c>
      <c r="B747" s="47" t="s">
        <v>481</v>
      </c>
      <c r="C747" s="48">
        <f t="shared" si="28"/>
        <v>3.8000214704755793E-2</v>
      </c>
      <c r="D747" s="93" t="s">
        <v>125</v>
      </c>
      <c r="E747" s="93" t="s">
        <v>407</v>
      </c>
      <c r="F747" s="93" t="s">
        <v>21</v>
      </c>
      <c r="G747" s="29" t="s">
        <v>482</v>
      </c>
      <c r="H747" s="127" t="s">
        <v>483</v>
      </c>
      <c r="I747" s="127"/>
      <c r="J747" s="127"/>
      <c r="K747" s="127"/>
      <c r="L747" s="127"/>
    </row>
    <row r="748" spans="1:12" ht="18" customHeight="1" x14ac:dyDescent="0.2">
      <c r="A748" s="91">
        <v>46000</v>
      </c>
      <c r="B748" s="47" t="s">
        <v>481</v>
      </c>
      <c r="C748" s="48">
        <f t="shared" si="28"/>
        <v>3.7998561404305319E-2</v>
      </c>
      <c r="D748" s="93" t="s">
        <v>125</v>
      </c>
      <c r="E748" s="93" t="s">
        <v>407</v>
      </c>
      <c r="F748" s="93" t="s">
        <v>21</v>
      </c>
      <c r="G748" s="29" t="s">
        <v>482</v>
      </c>
      <c r="H748" s="127" t="s">
        <v>483</v>
      </c>
      <c r="I748" s="127"/>
      <c r="J748" s="127"/>
      <c r="K748" s="127"/>
      <c r="L748" s="127"/>
    </row>
    <row r="749" spans="1:12" ht="18" customHeight="1" x14ac:dyDescent="0.2">
      <c r="A749" s="91">
        <v>47000</v>
      </c>
      <c r="B749" s="47" t="s">
        <v>481</v>
      </c>
      <c r="C749" s="48">
        <f t="shared" si="28"/>
        <v>3.7996984645542374E-2</v>
      </c>
      <c r="D749" s="93" t="s">
        <v>125</v>
      </c>
      <c r="E749" s="93" t="s">
        <v>407</v>
      </c>
      <c r="F749" s="93" t="s">
        <v>21</v>
      </c>
      <c r="G749" s="29" t="s">
        <v>482</v>
      </c>
      <c r="H749" s="127" t="s">
        <v>483</v>
      </c>
      <c r="I749" s="127"/>
      <c r="J749" s="127"/>
      <c r="K749" s="127"/>
      <c r="L749" s="127"/>
    </row>
    <row r="750" spans="1:12" ht="18" customHeight="1" x14ac:dyDescent="0.2">
      <c r="A750" s="91">
        <v>48000</v>
      </c>
      <c r="B750" s="47" t="s">
        <v>481</v>
      </c>
      <c r="C750" s="48">
        <f t="shared" si="28"/>
        <v>3.7995484428466939E-2</v>
      </c>
      <c r="D750" s="93" t="s">
        <v>125</v>
      </c>
      <c r="E750" s="93" t="s">
        <v>407</v>
      </c>
      <c r="F750" s="93" t="s">
        <v>21</v>
      </c>
      <c r="G750" s="29" t="s">
        <v>482</v>
      </c>
      <c r="H750" s="127" t="s">
        <v>483</v>
      </c>
      <c r="I750" s="127"/>
      <c r="J750" s="127"/>
      <c r="K750" s="127"/>
      <c r="L750" s="127"/>
    </row>
    <row r="751" spans="1:12" ht="18" customHeight="1" x14ac:dyDescent="0.2">
      <c r="A751" s="91">
        <v>49000</v>
      </c>
      <c r="B751" s="47" t="s">
        <v>481</v>
      </c>
      <c r="C751" s="48">
        <f t="shared" si="28"/>
        <v>3.7994045444741546E-2</v>
      </c>
      <c r="D751" s="93" t="s">
        <v>125</v>
      </c>
      <c r="E751" s="93" t="s">
        <v>407</v>
      </c>
      <c r="F751" s="93" t="s">
        <v>21</v>
      </c>
      <c r="G751" s="29" t="s">
        <v>482</v>
      </c>
      <c r="H751" s="127" t="s">
        <v>483</v>
      </c>
      <c r="I751" s="127"/>
      <c r="J751" s="127"/>
      <c r="K751" s="127"/>
      <c r="L751" s="127"/>
    </row>
    <row r="752" spans="1:12" ht="18" customHeight="1" x14ac:dyDescent="0.2">
      <c r="A752" s="93" t="s">
        <v>559</v>
      </c>
      <c r="B752" s="93" t="s">
        <v>420</v>
      </c>
      <c r="C752" s="36">
        <f t="shared" ref="C752:C760" si="29">C716/C734</f>
        <v>2.6726964325873124</v>
      </c>
      <c r="D752" s="93" t="s">
        <v>125</v>
      </c>
      <c r="E752" s="93" t="s">
        <v>421</v>
      </c>
      <c r="F752" s="93" t="s">
        <v>21</v>
      </c>
      <c r="G752" s="29" t="s">
        <v>422</v>
      </c>
      <c r="H752" s="110" t="s">
        <v>423</v>
      </c>
      <c r="I752" s="110"/>
      <c r="J752" s="110"/>
      <c r="K752" s="110"/>
      <c r="L752" s="110"/>
    </row>
    <row r="753" spans="1:12" ht="18" customHeight="1" x14ac:dyDescent="0.2">
      <c r="A753" s="91">
        <v>42000</v>
      </c>
      <c r="B753" s="93" t="s">
        <v>420</v>
      </c>
      <c r="C753" s="36">
        <f t="shared" si="29"/>
        <v>2.6728374590266268</v>
      </c>
      <c r="D753" s="93" t="s">
        <v>125</v>
      </c>
      <c r="E753" s="93" t="s">
        <v>421</v>
      </c>
      <c r="F753" s="93" t="s">
        <v>21</v>
      </c>
      <c r="G753" s="29" t="s">
        <v>422</v>
      </c>
      <c r="H753" s="110" t="s">
        <v>423</v>
      </c>
      <c r="I753" s="110"/>
      <c r="J753" s="110"/>
      <c r="K753" s="110"/>
      <c r="L753" s="110"/>
    </row>
    <row r="754" spans="1:12" ht="18" customHeight="1" x14ac:dyDescent="0.2">
      <c r="A754" s="91">
        <v>43000</v>
      </c>
      <c r="B754" s="93" t="s">
        <v>420</v>
      </c>
      <c r="C754" s="36">
        <f t="shared" si="29"/>
        <v>2.6729715017648812</v>
      </c>
      <c r="D754" s="93" t="s">
        <v>125</v>
      </c>
      <c r="E754" s="93" t="s">
        <v>421</v>
      </c>
      <c r="F754" s="93" t="s">
        <v>21</v>
      </c>
      <c r="G754" s="29" t="s">
        <v>422</v>
      </c>
      <c r="H754" s="110" t="s">
        <v>423</v>
      </c>
      <c r="I754" s="110"/>
      <c r="J754" s="110"/>
      <c r="K754" s="110"/>
      <c r="L754" s="110"/>
    </row>
    <row r="755" spans="1:12" ht="18" customHeight="1" x14ac:dyDescent="0.2">
      <c r="A755" s="91">
        <v>44000</v>
      </c>
      <c r="B755" s="93" t="s">
        <v>420</v>
      </c>
      <c r="C755" s="36">
        <f t="shared" si="29"/>
        <v>2.6730996355036885</v>
      </c>
      <c r="D755" s="93" t="s">
        <v>125</v>
      </c>
      <c r="E755" s="93" t="s">
        <v>421</v>
      </c>
      <c r="F755" s="93" t="s">
        <v>21</v>
      </c>
      <c r="G755" s="29" t="s">
        <v>422</v>
      </c>
      <c r="H755" s="110" t="s">
        <v>423</v>
      </c>
      <c r="I755" s="110"/>
      <c r="J755" s="110"/>
      <c r="K755" s="110"/>
      <c r="L755" s="110"/>
    </row>
    <row r="756" spans="1:12" ht="18" customHeight="1" x14ac:dyDescent="0.2">
      <c r="A756" s="91">
        <v>45000</v>
      </c>
      <c r="B756" s="93" t="s">
        <v>420</v>
      </c>
      <c r="C756" s="36">
        <f t="shared" si="29"/>
        <v>2.6732213200895378</v>
      </c>
      <c r="D756" s="93" t="s">
        <v>125</v>
      </c>
      <c r="E756" s="93" t="s">
        <v>421</v>
      </c>
      <c r="F756" s="93" t="s">
        <v>21</v>
      </c>
      <c r="G756" s="29" t="s">
        <v>422</v>
      </c>
      <c r="H756" s="110" t="s">
        <v>423</v>
      </c>
      <c r="I756" s="110"/>
      <c r="J756" s="110"/>
      <c r="K756" s="110"/>
      <c r="L756" s="110"/>
    </row>
    <row r="757" spans="1:12" ht="18" customHeight="1" x14ac:dyDescent="0.2">
      <c r="A757" s="91">
        <v>46000</v>
      </c>
      <c r="B757" s="93" t="s">
        <v>420</v>
      </c>
      <c r="C757" s="36">
        <f t="shared" si="29"/>
        <v>2.6733376307562944</v>
      </c>
      <c r="D757" s="93" t="s">
        <v>125</v>
      </c>
      <c r="E757" s="93" t="s">
        <v>421</v>
      </c>
      <c r="F757" s="93" t="s">
        <v>21</v>
      </c>
      <c r="G757" s="29" t="s">
        <v>422</v>
      </c>
      <c r="H757" s="110" t="s">
        <v>423</v>
      </c>
      <c r="I757" s="110"/>
      <c r="J757" s="110"/>
      <c r="K757" s="110"/>
      <c r="L757" s="110"/>
    </row>
    <row r="758" spans="1:12" ht="18" customHeight="1" x14ac:dyDescent="0.2">
      <c r="A758" s="91">
        <v>47000</v>
      </c>
      <c r="B758" s="93" t="s">
        <v>420</v>
      </c>
      <c r="C758" s="36">
        <f t="shared" si="29"/>
        <v>2.6734485660995837</v>
      </c>
      <c r="D758" s="93" t="s">
        <v>125</v>
      </c>
      <c r="E758" s="93" t="s">
        <v>421</v>
      </c>
      <c r="F758" s="93" t="s">
        <v>21</v>
      </c>
      <c r="G758" s="29" t="s">
        <v>422</v>
      </c>
      <c r="H758" s="110" t="s">
        <v>423</v>
      </c>
      <c r="I758" s="110"/>
      <c r="J758" s="110"/>
      <c r="K758" s="110"/>
      <c r="L758" s="110"/>
    </row>
    <row r="759" spans="1:12" ht="18" customHeight="1" x14ac:dyDescent="0.2">
      <c r="A759" s="91">
        <v>48000</v>
      </c>
      <c r="B759" s="93" t="s">
        <v>420</v>
      </c>
      <c r="C759" s="36">
        <f t="shared" si="29"/>
        <v>2.6735541247797658</v>
      </c>
      <c r="D759" s="93" t="s">
        <v>125</v>
      </c>
      <c r="E759" s="93" t="s">
        <v>421</v>
      </c>
      <c r="F759" s="93" t="s">
        <v>21</v>
      </c>
      <c r="G759" s="29" t="s">
        <v>422</v>
      </c>
      <c r="H759" s="110" t="s">
        <v>423</v>
      </c>
      <c r="I759" s="110"/>
      <c r="J759" s="110"/>
      <c r="K759" s="110"/>
      <c r="L759" s="110"/>
    </row>
    <row r="760" spans="1:12" ht="18" customHeight="1" x14ac:dyDescent="0.2">
      <c r="A760" s="91">
        <v>49000</v>
      </c>
      <c r="B760" s="93" t="s">
        <v>420</v>
      </c>
      <c r="C760" s="36">
        <f t="shared" si="29"/>
        <v>2.6736553827750513</v>
      </c>
      <c r="D760" s="93" t="s">
        <v>125</v>
      </c>
      <c r="E760" s="93" t="s">
        <v>421</v>
      </c>
      <c r="F760" s="93" t="s">
        <v>21</v>
      </c>
      <c r="G760" s="29" t="s">
        <v>422</v>
      </c>
      <c r="H760" s="110" t="s">
        <v>423</v>
      </c>
      <c r="I760" s="110"/>
      <c r="J760" s="110"/>
      <c r="K760" s="110"/>
      <c r="L760" s="110"/>
    </row>
    <row r="761" spans="1:12" ht="18" customHeight="1" x14ac:dyDescent="0.2">
      <c r="A761" s="93" t="s">
        <v>425</v>
      </c>
      <c r="B761" s="93" t="s">
        <v>426</v>
      </c>
      <c r="C761" s="36">
        <f>C752</f>
        <v>2.6726964325873124</v>
      </c>
      <c r="D761" s="93" t="s">
        <v>125</v>
      </c>
      <c r="E761" s="93" t="s">
        <v>421</v>
      </c>
      <c r="F761" s="93" t="s">
        <v>21</v>
      </c>
      <c r="G761" s="29" t="s">
        <v>427</v>
      </c>
      <c r="H761" s="110" t="s">
        <v>428</v>
      </c>
      <c r="I761" s="110"/>
      <c r="J761" s="110"/>
      <c r="K761" s="110"/>
      <c r="L761" s="110"/>
    </row>
    <row r="762" spans="1:12" ht="18" customHeight="1" x14ac:dyDescent="0.2">
      <c r="A762" s="91">
        <v>42000</v>
      </c>
      <c r="B762" s="93" t="s">
        <v>426</v>
      </c>
      <c r="C762" s="36">
        <f t="shared" ref="C762:C769" si="30">C753</f>
        <v>2.6728374590266268</v>
      </c>
      <c r="D762" s="93" t="s">
        <v>125</v>
      </c>
      <c r="E762" s="93" t="s">
        <v>421</v>
      </c>
      <c r="F762" s="93" t="s">
        <v>21</v>
      </c>
      <c r="G762" s="29" t="s">
        <v>427</v>
      </c>
      <c r="H762" s="110" t="s">
        <v>428</v>
      </c>
      <c r="I762" s="110"/>
      <c r="J762" s="110"/>
      <c r="K762" s="110"/>
      <c r="L762" s="110"/>
    </row>
    <row r="763" spans="1:12" ht="18" customHeight="1" x14ac:dyDescent="0.2">
      <c r="A763" s="91">
        <v>43000</v>
      </c>
      <c r="B763" s="93" t="s">
        <v>426</v>
      </c>
      <c r="C763" s="36">
        <f t="shared" si="30"/>
        <v>2.6729715017648812</v>
      </c>
      <c r="D763" s="93" t="s">
        <v>125</v>
      </c>
      <c r="E763" s="93" t="s">
        <v>421</v>
      </c>
      <c r="F763" s="93" t="s">
        <v>21</v>
      </c>
      <c r="G763" s="29" t="s">
        <v>427</v>
      </c>
      <c r="H763" s="110" t="s">
        <v>428</v>
      </c>
      <c r="I763" s="110"/>
      <c r="J763" s="110"/>
      <c r="K763" s="110"/>
      <c r="L763" s="110"/>
    </row>
    <row r="764" spans="1:12" ht="18" customHeight="1" x14ac:dyDescent="0.2">
      <c r="A764" s="91">
        <v>44000</v>
      </c>
      <c r="B764" s="93" t="s">
        <v>426</v>
      </c>
      <c r="C764" s="36">
        <f t="shared" si="30"/>
        <v>2.6730996355036885</v>
      </c>
      <c r="D764" s="93" t="s">
        <v>125</v>
      </c>
      <c r="E764" s="93" t="s">
        <v>421</v>
      </c>
      <c r="F764" s="93" t="s">
        <v>21</v>
      </c>
      <c r="G764" s="29" t="s">
        <v>427</v>
      </c>
      <c r="H764" s="110" t="s">
        <v>428</v>
      </c>
      <c r="I764" s="110"/>
      <c r="J764" s="110"/>
      <c r="K764" s="110"/>
      <c r="L764" s="110"/>
    </row>
    <row r="765" spans="1:12" ht="18" customHeight="1" x14ac:dyDescent="0.2">
      <c r="A765" s="91">
        <v>45000</v>
      </c>
      <c r="B765" s="93" t="s">
        <v>426</v>
      </c>
      <c r="C765" s="36">
        <f t="shared" si="30"/>
        <v>2.6732213200895378</v>
      </c>
      <c r="D765" s="93" t="s">
        <v>125</v>
      </c>
      <c r="E765" s="93" t="s">
        <v>421</v>
      </c>
      <c r="F765" s="93" t="s">
        <v>21</v>
      </c>
      <c r="G765" s="29" t="s">
        <v>427</v>
      </c>
      <c r="H765" s="110" t="s">
        <v>428</v>
      </c>
      <c r="I765" s="110"/>
      <c r="J765" s="110"/>
      <c r="K765" s="110"/>
      <c r="L765" s="110"/>
    </row>
    <row r="766" spans="1:12" ht="18" customHeight="1" x14ac:dyDescent="0.2">
      <c r="A766" s="91">
        <v>46000</v>
      </c>
      <c r="B766" s="93" t="s">
        <v>426</v>
      </c>
      <c r="C766" s="36">
        <f t="shared" si="30"/>
        <v>2.6733376307562944</v>
      </c>
      <c r="D766" s="93" t="s">
        <v>125</v>
      </c>
      <c r="E766" s="93" t="s">
        <v>421</v>
      </c>
      <c r="F766" s="93" t="s">
        <v>21</v>
      </c>
      <c r="G766" s="29" t="s">
        <v>427</v>
      </c>
      <c r="H766" s="110" t="s">
        <v>428</v>
      </c>
      <c r="I766" s="110"/>
      <c r="J766" s="110"/>
      <c r="K766" s="110"/>
      <c r="L766" s="110"/>
    </row>
    <row r="767" spans="1:12" ht="18" customHeight="1" x14ac:dyDescent="0.2">
      <c r="A767" s="91">
        <v>47000</v>
      </c>
      <c r="B767" s="93" t="s">
        <v>426</v>
      </c>
      <c r="C767" s="36">
        <f t="shared" si="30"/>
        <v>2.6734485660995837</v>
      </c>
      <c r="D767" s="93" t="s">
        <v>125</v>
      </c>
      <c r="E767" s="93" t="s">
        <v>421</v>
      </c>
      <c r="F767" s="93" t="s">
        <v>21</v>
      </c>
      <c r="G767" s="29" t="s">
        <v>427</v>
      </c>
      <c r="H767" s="110" t="s">
        <v>428</v>
      </c>
      <c r="I767" s="110"/>
      <c r="J767" s="110"/>
      <c r="K767" s="110"/>
      <c r="L767" s="110"/>
    </row>
    <row r="768" spans="1:12" ht="18" customHeight="1" x14ac:dyDescent="0.2">
      <c r="A768" s="91">
        <v>48000</v>
      </c>
      <c r="B768" s="93" t="s">
        <v>426</v>
      </c>
      <c r="C768" s="36">
        <f t="shared" si="30"/>
        <v>2.6735541247797658</v>
      </c>
      <c r="D768" s="93" t="s">
        <v>125</v>
      </c>
      <c r="E768" s="93" t="s">
        <v>421</v>
      </c>
      <c r="F768" s="93" t="s">
        <v>21</v>
      </c>
      <c r="G768" s="29" t="s">
        <v>427</v>
      </c>
      <c r="H768" s="110" t="s">
        <v>428</v>
      </c>
      <c r="I768" s="110"/>
      <c r="J768" s="110"/>
      <c r="K768" s="110"/>
      <c r="L768" s="110"/>
    </row>
    <row r="769" spans="1:12" ht="18" customHeight="1" x14ac:dyDescent="0.2">
      <c r="A769" s="91">
        <v>49000</v>
      </c>
      <c r="B769" s="93" t="s">
        <v>426</v>
      </c>
      <c r="C769" s="36">
        <f t="shared" si="30"/>
        <v>2.6736553827750513</v>
      </c>
      <c r="D769" s="93" t="s">
        <v>125</v>
      </c>
      <c r="E769" s="93" t="s">
        <v>421</v>
      </c>
      <c r="F769" s="93" t="s">
        <v>21</v>
      </c>
      <c r="G769" s="29" t="s">
        <v>427</v>
      </c>
      <c r="H769" s="110" t="s">
        <v>428</v>
      </c>
      <c r="I769" s="110"/>
      <c r="J769" s="110"/>
      <c r="K769" s="110"/>
      <c r="L769" s="110"/>
    </row>
    <row r="770" spans="1:12" ht="18" customHeight="1" x14ac:dyDescent="0.2">
      <c r="A770" s="96" t="s">
        <v>429</v>
      </c>
      <c r="B770" s="93" t="s">
        <v>430</v>
      </c>
      <c r="C770" s="36">
        <f>$C$7/C734</f>
        <v>0.55225080416986916</v>
      </c>
      <c r="D770" s="93" t="s">
        <v>125</v>
      </c>
      <c r="E770" s="93" t="s">
        <v>431</v>
      </c>
      <c r="F770" s="93" t="s">
        <v>21</v>
      </c>
      <c r="G770" s="29" t="s">
        <v>432</v>
      </c>
      <c r="H770" s="110" t="s">
        <v>433</v>
      </c>
      <c r="I770" s="110"/>
      <c r="J770" s="110"/>
      <c r="K770" s="110"/>
      <c r="L770" s="110"/>
    </row>
    <row r="771" spans="1:12" ht="18" customHeight="1" x14ac:dyDescent="0.2">
      <c r="A771" s="91">
        <v>42000</v>
      </c>
      <c r="B771" s="93" t="s">
        <v>430</v>
      </c>
      <c r="C771" s="36">
        <f t="shared" ref="C771:C778" si="31">$C$7/C735</f>
        <v>0.52643190090618264</v>
      </c>
      <c r="D771" s="93" t="s">
        <v>125</v>
      </c>
      <c r="E771" s="93" t="s">
        <v>431</v>
      </c>
      <c r="F771" s="93" t="s">
        <v>21</v>
      </c>
      <c r="G771" s="29" t="s">
        <v>432</v>
      </c>
      <c r="H771" s="110" t="s">
        <v>433</v>
      </c>
      <c r="I771" s="110"/>
      <c r="J771" s="110"/>
      <c r="K771" s="110"/>
      <c r="L771" s="110"/>
    </row>
    <row r="772" spans="1:12" ht="18" customHeight="1" x14ac:dyDescent="0.2">
      <c r="A772" s="91">
        <v>43000</v>
      </c>
      <c r="B772" s="93" t="s">
        <v>430</v>
      </c>
      <c r="C772" s="36">
        <f t="shared" si="31"/>
        <v>0.5018915628742836</v>
      </c>
      <c r="D772" s="93" t="s">
        <v>125</v>
      </c>
      <c r="E772" s="93" t="s">
        <v>431</v>
      </c>
      <c r="F772" s="93" t="s">
        <v>21</v>
      </c>
      <c r="G772" s="29" t="s">
        <v>432</v>
      </c>
      <c r="H772" s="110" t="s">
        <v>433</v>
      </c>
      <c r="I772" s="110"/>
      <c r="J772" s="110"/>
      <c r="K772" s="110"/>
      <c r="L772" s="110"/>
    </row>
    <row r="773" spans="1:12" ht="18" customHeight="1" x14ac:dyDescent="0.2">
      <c r="A773" s="91">
        <v>44000</v>
      </c>
      <c r="B773" s="93" t="s">
        <v>430</v>
      </c>
      <c r="C773" s="36">
        <f t="shared" si="31"/>
        <v>0.47843303535864634</v>
      </c>
      <c r="D773" s="93" t="s">
        <v>125</v>
      </c>
      <c r="E773" s="93" t="s">
        <v>431</v>
      </c>
      <c r="F773" s="93" t="s">
        <v>21</v>
      </c>
      <c r="G773" s="29" t="s">
        <v>432</v>
      </c>
      <c r="H773" s="110" t="s">
        <v>433</v>
      </c>
      <c r="I773" s="110"/>
      <c r="J773" s="110"/>
      <c r="K773" s="110"/>
      <c r="L773" s="110"/>
    </row>
    <row r="774" spans="1:12" ht="18" customHeight="1" x14ac:dyDescent="0.2">
      <c r="A774" s="91">
        <v>45000</v>
      </c>
      <c r="B774" s="93" t="s">
        <v>430</v>
      </c>
      <c r="C774" s="36">
        <f t="shared" si="31"/>
        <v>0.45615520883179694</v>
      </c>
      <c r="D774" s="93" t="s">
        <v>125</v>
      </c>
      <c r="E774" s="93" t="s">
        <v>431</v>
      </c>
      <c r="F774" s="93" t="s">
        <v>21</v>
      </c>
      <c r="G774" s="29" t="s">
        <v>432</v>
      </c>
      <c r="H774" s="110" t="s">
        <v>433</v>
      </c>
      <c r="I774" s="110"/>
      <c r="J774" s="110"/>
      <c r="K774" s="110"/>
      <c r="L774" s="110"/>
    </row>
    <row r="775" spans="1:12" ht="18" customHeight="1" x14ac:dyDescent="0.2">
      <c r="A775" s="91">
        <v>46000</v>
      </c>
      <c r="B775" s="93" t="s">
        <v>430</v>
      </c>
      <c r="C775" s="36">
        <f t="shared" si="31"/>
        <v>0.43486123113425657</v>
      </c>
      <c r="D775" s="93" t="s">
        <v>125</v>
      </c>
      <c r="E775" s="93" t="s">
        <v>431</v>
      </c>
      <c r="F775" s="93" t="s">
        <v>21</v>
      </c>
      <c r="G775" s="29" t="s">
        <v>432</v>
      </c>
      <c r="H775" s="110" t="s">
        <v>433</v>
      </c>
      <c r="I775" s="110"/>
      <c r="J775" s="110"/>
      <c r="K775" s="110"/>
      <c r="L775" s="110"/>
    </row>
    <row r="776" spans="1:12" ht="18" customHeight="1" x14ac:dyDescent="0.2">
      <c r="A776" s="91">
        <v>47000</v>
      </c>
      <c r="B776" s="93" t="s">
        <v>430</v>
      </c>
      <c r="C776" s="36">
        <f t="shared" si="31"/>
        <v>0.41455135937653526</v>
      </c>
      <c r="D776" s="93" t="s">
        <v>125</v>
      </c>
      <c r="E776" s="93" t="s">
        <v>431</v>
      </c>
      <c r="F776" s="93" t="s">
        <v>21</v>
      </c>
      <c r="G776" s="29" t="s">
        <v>432</v>
      </c>
      <c r="H776" s="110" t="s">
        <v>433</v>
      </c>
      <c r="I776" s="110"/>
      <c r="J776" s="110"/>
      <c r="K776" s="110"/>
      <c r="L776" s="110"/>
    </row>
    <row r="777" spans="1:12" ht="18" customHeight="1" x14ac:dyDescent="0.2">
      <c r="A777" s="91">
        <v>48000</v>
      </c>
      <c r="B777" s="93" t="s">
        <v>430</v>
      </c>
      <c r="C777" s="36">
        <f t="shared" si="31"/>
        <v>0.39522583881800261</v>
      </c>
      <c r="D777" s="93" t="s">
        <v>125</v>
      </c>
      <c r="E777" s="93" t="s">
        <v>431</v>
      </c>
      <c r="F777" s="93" t="s">
        <v>21</v>
      </c>
      <c r="G777" s="29" t="s">
        <v>432</v>
      </c>
      <c r="H777" s="110" t="s">
        <v>433</v>
      </c>
      <c r="I777" s="110"/>
      <c r="J777" s="110"/>
      <c r="K777" s="110"/>
      <c r="L777" s="110"/>
    </row>
    <row r="778" spans="1:12" ht="18" customHeight="1" x14ac:dyDescent="0.2">
      <c r="A778" s="91">
        <v>49000</v>
      </c>
      <c r="B778" s="93" t="s">
        <v>430</v>
      </c>
      <c r="C778" s="36">
        <f t="shared" si="31"/>
        <v>0.37668768102506039</v>
      </c>
      <c r="D778" s="93" t="s">
        <v>125</v>
      </c>
      <c r="E778" s="93" t="s">
        <v>431</v>
      </c>
      <c r="F778" s="93" t="s">
        <v>21</v>
      </c>
      <c r="G778" s="29" t="s">
        <v>432</v>
      </c>
      <c r="H778" s="110" t="s">
        <v>433</v>
      </c>
      <c r="I778" s="110"/>
      <c r="J778" s="110"/>
      <c r="K778" s="110"/>
      <c r="L778" s="110"/>
    </row>
    <row r="779" spans="1:12" ht="18" customHeight="1" x14ac:dyDescent="0.2">
      <c r="A779" s="93" t="s">
        <v>434</v>
      </c>
      <c r="B779" s="93" t="s">
        <v>435</v>
      </c>
      <c r="C779" s="36">
        <f>2*'Stability Constants Subsonic'!$C$13*('Stability Constants Subsonic'!$C$4-'Stability Constants Subsonic'!$C$3)*'Stability Constants Subsonic'!$C$14*'Supersonic Stability'!C734</f>
        <v>64927.21432570774</v>
      </c>
      <c r="D779" s="93" t="s">
        <v>125</v>
      </c>
      <c r="E779" s="93" t="s">
        <v>224</v>
      </c>
      <c r="F779" s="93" t="s">
        <v>21</v>
      </c>
      <c r="G779" s="29" t="s">
        <v>437</v>
      </c>
      <c r="H779" s="110" t="s">
        <v>438</v>
      </c>
      <c r="I779" s="110"/>
      <c r="J779" s="110"/>
      <c r="K779" s="110"/>
      <c r="L779" s="110"/>
    </row>
    <row r="780" spans="1:12" ht="18" customHeight="1" x14ac:dyDescent="0.2">
      <c r="A780" s="91">
        <v>42000</v>
      </c>
      <c r="B780" s="93" t="s">
        <v>435</v>
      </c>
      <c r="C780" s="36">
        <f>2*'Stability Constants Subsonic'!$C$13*('Stability Constants Subsonic'!$C$4-'Stability Constants Subsonic'!$C$3)*'Stability Constants Subsonic'!$C$14*'Supersonic Stability'!C735</f>
        <v>68111.575803366053</v>
      </c>
      <c r="D780" s="93" t="s">
        <v>125</v>
      </c>
      <c r="E780" s="93" t="s">
        <v>224</v>
      </c>
      <c r="F780" s="93" t="s">
        <v>21</v>
      </c>
      <c r="G780" s="29" t="s">
        <v>437</v>
      </c>
      <c r="H780" s="110" t="s">
        <v>438</v>
      </c>
      <c r="I780" s="110"/>
      <c r="J780" s="110"/>
      <c r="K780" s="110"/>
      <c r="L780" s="110"/>
    </row>
    <row r="781" spans="1:12" ht="18" customHeight="1" x14ac:dyDescent="0.2">
      <c r="A781" s="91">
        <v>43000</v>
      </c>
      <c r="B781" s="93" t="s">
        <v>435</v>
      </c>
      <c r="C781" s="36">
        <f>2*'Stability Constants Subsonic'!$C$13*('Stability Constants Subsonic'!$C$4-'Stability Constants Subsonic'!$C$3)*'Stability Constants Subsonic'!$C$14*'Supersonic Stability'!C736</f>
        <v>71441.938809525222</v>
      </c>
      <c r="D781" s="93" t="s">
        <v>125</v>
      </c>
      <c r="E781" s="93" t="s">
        <v>224</v>
      </c>
      <c r="F781" s="93" t="s">
        <v>21</v>
      </c>
      <c r="G781" s="29" t="s">
        <v>437</v>
      </c>
      <c r="H781" s="110" t="s">
        <v>438</v>
      </c>
      <c r="I781" s="110"/>
      <c r="J781" s="110"/>
      <c r="K781" s="110"/>
      <c r="L781" s="110"/>
    </row>
    <row r="782" spans="1:12" ht="18" customHeight="1" x14ac:dyDescent="0.2">
      <c r="A782" s="91">
        <v>44000</v>
      </c>
      <c r="B782" s="93" t="s">
        <v>435</v>
      </c>
      <c r="C782" s="36">
        <f>2*'Stability Constants Subsonic'!$C$13*('Stability Constants Subsonic'!$C$4-'Stability Constants Subsonic'!$C$3)*'Stability Constants Subsonic'!$C$14*'Supersonic Stability'!C737</f>
        <v>74944.879792848835</v>
      </c>
      <c r="D782" s="93" t="s">
        <v>125</v>
      </c>
      <c r="E782" s="93" t="s">
        <v>224</v>
      </c>
      <c r="F782" s="93" t="s">
        <v>21</v>
      </c>
      <c r="G782" s="29" t="s">
        <v>437</v>
      </c>
      <c r="H782" s="110" t="s">
        <v>438</v>
      </c>
      <c r="I782" s="110"/>
      <c r="J782" s="110"/>
      <c r="K782" s="110"/>
      <c r="L782" s="110"/>
    </row>
    <row r="783" spans="1:12" ht="18" customHeight="1" x14ac:dyDescent="0.2">
      <c r="A783" s="91">
        <v>45000</v>
      </c>
      <c r="B783" s="93" t="s">
        <v>435</v>
      </c>
      <c r="C783" s="36">
        <f>2*'Stability Constants Subsonic'!$C$13*('Stability Constants Subsonic'!$C$4-'Stability Constants Subsonic'!$C$3)*'Stability Constants Subsonic'!$C$14*'Supersonic Stability'!C738</f>
        <v>78605.057291153629</v>
      </c>
      <c r="D783" s="93" t="s">
        <v>125</v>
      </c>
      <c r="E783" s="93" t="s">
        <v>224</v>
      </c>
      <c r="F783" s="93" t="s">
        <v>21</v>
      </c>
      <c r="G783" s="29" t="s">
        <v>437</v>
      </c>
      <c r="H783" s="110" t="s">
        <v>438</v>
      </c>
      <c r="I783" s="110"/>
      <c r="J783" s="110"/>
      <c r="K783" s="110"/>
      <c r="L783" s="110"/>
    </row>
    <row r="784" spans="1:12" ht="18" customHeight="1" x14ac:dyDescent="0.2">
      <c r="A784" s="91">
        <v>46000</v>
      </c>
      <c r="B784" s="93" t="s">
        <v>435</v>
      </c>
      <c r="C784" s="36">
        <f>2*'Stability Constants Subsonic'!$C$13*('Stability Constants Subsonic'!$C$4-'Stability Constants Subsonic'!$C$3)*'Stability Constants Subsonic'!$C$14*'Supersonic Stability'!C739</f>
        <v>82454.134231183139</v>
      </c>
      <c r="D784" s="93" t="s">
        <v>125</v>
      </c>
      <c r="E784" s="93" t="s">
        <v>224</v>
      </c>
      <c r="F784" s="93" t="s">
        <v>21</v>
      </c>
      <c r="G784" s="29" t="s">
        <v>437</v>
      </c>
      <c r="H784" s="110" t="s">
        <v>438</v>
      </c>
      <c r="I784" s="110"/>
      <c r="J784" s="110"/>
      <c r="K784" s="110"/>
      <c r="L784" s="110"/>
    </row>
    <row r="785" spans="1:12" ht="18" customHeight="1" x14ac:dyDescent="0.2">
      <c r="A785" s="91">
        <v>47000</v>
      </c>
      <c r="B785" s="93" t="s">
        <v>435</v>
      </c>
      <c r="C785" s="36">
        <f>2*'Stability Constants Subsonic'!$C$13*('Stability Constants Subsonic'!$C$4-'Stability Constants Subsonic'!$C$3)*'Stability Constants Subsonic'!$C$14*'Supersonic Stability'!C740</f>
        <v>86493.761298497149</v>
      </c>
      <c r="D785" s="93" t="s">
        <v>125</v>
      </c>
      <c r="E785" s="93" t="s">
        <v>224</v>
      </c>
      <c r="F785" s="93" t="s">
        <v>21</v>
      </c>
      <c r="G785" s="29" t="s">
        <v>437</v>
      </c>
      <c r="H785" s="110" t="s">
        <v>438</v>
      </c>
      <c r="I785" s="110"/>
      <c r="J785" s="110"/>
      <c r="K785" s="110"/>
      <c r="L785" s="110"/>
    </row>
    <row r="786" spans="1:12" ht="18" customHeight="1" x14ac:dyDescent="0.2">
      <c r="A786" s="91">
        <v>48000</v>
      </c>
      <c r="B786" s="93" t="s">
        <v>435</v>
      </c>
      <c r="C786" s="36">
        <f>2*'Stability Constants Subsonic'!$C$13*('Stability Constants Subsonic'!$C$4-'Stability Constants Subsonic'!$C$3)*'Stability Constants Subsonic'!$C$14*'Supersonic Stability'!C741</f>
        <v>90723.082354929007</v>
      </c>
      <c r="D786" s="93" t="s">
        <v>125</v>
      </c>
      <c r="E786" s="93" t="s">
        <v>224</v>
      </c>
      <c r="F786" s="93" t="s">
        <v>21</v>
      </c>
      <c r="G786" s="29" t="s">
        <v>437</v>
      </c>
      <c r="H786" s="110" t="s">
        <v>438</v>
      </c>
      <c r="I786" s="110"/>
      <c r="J786" s="110"/>
      <c r="K786" s="110"/>
      <c r="L786" s="110"/>
    </row>
    <row r="787" spans="1:12" ht="18" customHeight="1" x14ac:dyDescent="0.2">
      <c r="A787" s="91">
        <v>49000</v>
      </c>
      <c r="B787" s="93" t="s">
        <v>435</v>
      </c>
      <c r="C787" s="36">
        <f>2*'Stability Constants Subsonic'!$C$13*('Stability Constants Subsonic'!$C$4-'Stability Constants Subsonic'!$C$3)*'Stability Constants Subsonic'!$C$14*'Supersonic Stability'!C742</f>
        <v>95187.892065671505</v>
      </c>
      <c r="D787" s="93" t="s">
        <v>125</v>
      </c>
      <c r="E787" s="93" t="s">
        <v>224</v>
      </c>
      <c r="F787" s="93" t="s">
        <v>21</v>
      </c>
      <c r="G787" s="29" t="s">
        <v>437</v>
      </c>
      <c r="H787" s="110" t="s">
        <v>438</v>
      </c>
      <c r="I787" s="110"/>
      <c r="J787" s="110"/>
      <c r="K787" s="110"/>
      <c r="L787" s="110"/>
    </row>
    <row r="788" spans="1:12" ht="18" customHeight="1" x14ac:dyDescent="0.2">
      <c r="A788" s="93" t="s">
        <v>439</v>
      </c>
      <c r="B788" s="93" t="s">
        <v>440</v>
      </c>
      <c r="C788" s="36">
        <f>2*'Stability Constants Subsonic'!$C$13*('Stability Constants Subsonic'!$C$6-'Stability Constants Subsonic'!$C$5)*'Stability Constants Subsonic'!$C$15*'Supersonic Stability'!C734</f>
        <v>40617.428835380088</v>
      </c>
      <c r="D788" s="93" t="s">
        <v>125</v>
      </c>
      <c r="E788" s="93" t="s">
        <v>224</v>
      </c>
      <c r="F788" s="93" t="s">
        <v>21</v>
      </c>
      <c r="G788" s="29" t="s">
        <v>442</v>
      </c>
      <c r="H788" s="110" t="s">
        <v>438</v>
      </c>
      <c r="I788" s="110"/>
      <c r="J788" s="110"/>
      <c r="K788" s="110"/>
      <c r="L788" s="110"/>
    </row>
    <row r="789" spans="1:12" ht="18" customHeight="1" x14ac:dyDescent="0.2">
      <c r="A789" s="91">
        <v>42000</v>
      </c>
      <c r="B789" s="93" t="s">
        <v>440</v>
      </c>
      <c r="C789" s="36">
        <f>2*'Stability Constants Subsonic'!$C$13*('Stability Constants Subsonic'!$C$6-'Stability Constants Subsonic'!$C$5)*'Stability Constants Subsonic'!$C$15*'Supersonic Stability'!C735</f>
        <v>42609.514543170881</v>
      </c>
      <c r="D789" s="93" t="s">
        <v>125</v>
      </c>
      <c r="E789" s="93" t="s">
        <v>224</v>
      </c>
      <c r="F789" s="93" t="s">
        <v>21</v>
      </c>
      <c r="G789" s="29" t="s">
        <v>442</v>
      </c>
      <c r="H789" s="110" t="s">
        <v>438</v>
      </c>
      <c r="I789" s="110"/>
      <c r="J789" s="110"/>
      <c r="K789" s="110"/>
      <c r="L789" s="110"/>
    </row>
    <row r="790" spans="1:12" ht="18" customHeight="1" x14ac:dyDescent="0.2">
      <c r="A790" s="91">
        <v>43000</v>
      </c>
      <c r="B790" s="93" t="s">
        <v>440</v>
      </c>
      <c r="C790" s="36">
        <f>2*'Stability Constants Subsonic'!$C$13*('Stability Constants Subsonic'!$C$6-'Stability Constants Subsonic'!$C$5)*'Stability Constants Subsonic'!$C$15*'Supersonic Stability'!C736</f>
        <v>44692.9364765387</v>
      </c>
      <c r="D790" s="93" t="s">
        <v>125</v>
      </c>
      <c r="E790" s="93" t="s">
        <v>224</v>
      </c>
      <c r="F790" s="93" t="s">
        <v>21</v>
      </c>
      <c r="G790" s="29" t="s">
        <v>442</v>
      </c>
      <c r="H790" s="110" t="s">
        <v>438</v>
      </c>
      <c r="I790" s="110"/>
      <c r="J790" s="110"/>
      <c r="K790" s="110"/>
      <c r="L790" s="110"/>
    </row>
    <row r="791" spans="1:12" ht="18" customHeight="1" x14ac:dyDescent="0.2">
      <c r="A791" s="91">
        <v>44000</v>
      </c>
      <c r="B791" s="93" t="s">
        <v>440</v>
      </c>
      <c r="C791" s="36">
        <f>2*'Stability Constants Subsonic'!$C$13*('Stability Constants Subsonic'!$C$6-'Stability Constants Subsonic'!$C$5)*'Stability Constants Subsonic'!$C$15*'Supersonic Stability'!C737</f>
        <v>46884.320437522038</v>
      </c>
      <c r="D791" s="93" t="s">
        <v>125</v>
      </c>
      <c r="E791" s="93" t="s">
        <v>224</v>
      </c>
      <c r="F791" s="93" t="s">
        <v>21</v>
      </c>
      <c r="G791" s="29" t="s">
        <v>442</v>
      </c>
      <c r="H791" s="110" t="s">
        <v>438</v>
      </c>
      <c r="I791" s="110"/>
      <c r="J791" s="110"/>
      <c r="K791" s="110"/>
      <c r="L791" s="110"/>
    </row>
    <row r="792" spans="1:12" ht="18" customHeight="1" x14ac:dyDescent="0.2">
      <c r="A792" s="91">
        <v>45000</v>
      </c>
      <c r="B792" s="93" t="s">
        <v>440</v>
      </c>
      <c r="C792" s="36">
        <f>2*'Stability Constants Subsonic'!$C$13*('Stability Constants Subsonic'!$C$6-'Stability Constants Subsonic'!$C$5)*'Stability Constants Subsonic'!$C$15*'Supersonic Stability'!C738</f>
        <v>49174.069052278021</v>
      </c>
      <c r="D792" s="93" t="s">
        <v>125</v>
      </c>
      <c r="E792" s="93" t="s">
        <v>224</v>
      </c>
      <c r="F792" s="93" t="s">
        <v>21</v>
      </c>
      <c r="G792" s="29" t="s">
        <v>442</v>
      </c>
      <c r="H792" s="110" t="s">
        <v>438</v>
      </c>
      <c r="I792" s="110"/>
      <c r="J792" s="110"/>
      <c r="K792" s="110"/>
      <c r="L792" s="110"/>
    </row>
    <row r="793" spans="1:12" ht="18" customHeight="1" x14ac:dyDescent="0.2">
      <c r="A793" s="91">
        <v>46000</v>
      </c>
      <c r="B793" s="93" t="s">
        <v>440</v>
      </c>
      <c r="C793" s="36">
        <f>2*'Stability Constants Subsonic'!$C$13*('Stability Constants Subsonic'!$C$6-'Stability Constants Subsonic'!$C$5)*'Stability Constants Subsonic'!$C$15*'Supersonic Stability'!C739</f>
        <v>51581.99014233546</v>
      </c>
      <c r="D793" s="93" t="s">
        <v>125</v>
      </c>
      <c r="E793" s="93" t="s">
        <v>224</v>
      </c>
      <c r="F793" s="93" t="s">
        <v>21</v>
      </c>
      <c r="G793" s="29" t="s">
        <v>442</v>
      </c>
      <c r="H793" s="110" t="s">
        <v>438</v>
      </c>
      <c r="I793" s="110"/>
      <c r="J793" s="110"/>
      <c r="K793" s="110"/>
      <c r="L793" s="110"/>
    </row>
    <row r="794" spans="1:12" ht="18" customHeight="1" x14ac:dyDescent="0.2">
      <c r="A794" s="91">
        <v>47000</v>
      </c>
      <c r="B794" s="93" t="s">
        <v>440</v>
      </c>
      <c r="C794" s="36">
        <f>2*'Stability Constants Subsonic'!$C$13*('Stability Constants Subsonic'!$C$6-'Stability Constants Subsonic'!$C$5)*'Stability Constants Subsonic'!$C$15*'Supersonic Stability'!C740</f>
        <v>54109.11635023031</v>
      </c>
      <c r="D794" s="93" t="s">
        <v>125</v>
      </c>
      <c r="E794" s="93" t="s">
        <v>224</v>
      </c>
      <c r="F794" s="93" t="s">
        <v>21</v>
      </c>
      <c r="G794" s="29" t="s">
        <v>442</v>
      </c>
      <c r="H794" s="110" t="s">
        <v>438</v>
      </c>
      <c r="I794" s="110"/>
      <c r="J794" s="110"/>
      <c r="K794" s="110"/>
      <c r="L794" s="110"/>
    </row>
    <row r="795" spans="1:12" ht="18" customHeight="1" x14ac:dyDescent="0.2">
      <c r="A795" s="91">
        <v>48000</v>
      </c>
      <c r="B795" s="93" t="s">
        <v>440</v>
      </c>
      <c r="C795" s="36">
        <f>2*'Stability Constants Subsonic'!$C$13*('Stability Constants Subsonic'!$C$6-'Stability Constants Subsonic'!$C$5)*'Stability Constants Subsonic'!$C$15*'Supersonic Stability'!C741</f>
        <v>56754.912089592224</v>
      </c>
      <c r="D795" s="93" t="s">
        <v>125</v>
      </c>
      <c r="E795" s="93" t="s">
        <v>224</v>
      </c>
      <c r="F795" s="93" t="s">
        <v>21</v>
      </c>
      <c r="G795" s="29" t="s">
        <v>442</v>
      </c>
      <c r="H795" s="110" t="s">
        <v>438</v>
      </c>
      <c r="I795" s="110"/>
      <c r="J795" s="110"/>
      <c r="K795" s="110"/>
      <c r="L795" s="110"/>
    </row>
    <row r="796" spans="1:12" ht="18" customHeight="1" x14ac:dyDescent="0.2">
      <c r="A796" s="91">
        <v>49000</v>
      </c>
      <c r="B796" s="93" t="s">
        <v>440</v>
      </c>
      <c r="C796" s="36">
        <f>2*'Stability Constants Subsonic'!$C$13*('Stability Constants Subsonic'!$C$6-'Stability Constants Subsonic'!$C$5)*'Stability Constants Subsonic'!$C$15*'Supersonic Stability'!C742</f>
        <v>59548.025771935943</v>
      </c>
      <c r="D796" s="93" t="s">
        <v>125</v>
      </c>
      <c r="E796" s="93" t="s">
        <v>224</v>
      </c>
      <c r="F796" s="93" t="s">
        <v>21</v>
      </c>
      <c r="G796" s="29" t="s">
        <v>442</v>
      </c>
      <c r="H796" s="110" t="s">
        <v>438</v>
      </c>
      <c r="I796" s="110"/>
      <c r="J796" s="110"/>
      <c r="K796" s="110"/>
      <c r="L796" s="110"/>
    </row>
    <row r="797" spans="1:12" ht="18" customHeight="1" x14ac:dyDescent="0.2">
      <c r="A797" s="131" t="s">
        <v>502</v>
      </c>
      <c r="B797" s="121"/>
      <c r="C797" s="121"/>
      <c r="D797" s="121"/>
      <c r="E797" s="121"/>
      <c r="F797" s="121"/>
      <c r="G797" s="121"/>
      <c r="H797" s="121"/>
      <c r="I797" s="121"/>
      <c r="J797" s="121"/>
      <c r="K797" s="121"/>
      <c r="L797" s="125"/>
    </row>
    <row r="798" spans="1:12" ht="18" customHeight="1" x14ac:dyDescent="0.2">
      <c r="A798" s="23" t="s">
        <v>5</v>
      </c>
      <c r="B798" s="23" t="s">
        <v>96</v>
      </c>
      <c r="C798" s="94" t="s">
        <v>7</v>
      </c>
      <c r="D798" s="94" t="s">
        <v>125</v>
      </c>
      <c r="E798" s="94" t="s">
        <v>8</v>
      </c>
      <c r="F798" s="94" t="s">
        <v>9</v>
      </c>
      <c r="G798" s="31" t="s">
        <v>10</v>
      </c>
      <c r="H798" s="122" t="s">
        <v>11</v>
      </c>
      <c r="I798" s="123"/>
      <c r="J798" s="123"/>
      <c r="K798" s="123"/>
      <c r="L798" s="124"/>
    </row>
    <row r="799" spans="1:12" ht="18" customHeight="1" x14ac:dyDescent="0.2">
      <c r="A799" s="93" t="s">
        <v>379</v>
      </c>
      <c r="B799" s="93" t="s">
        <v>380</v>
      </c>
      <c r="C799" s="36">
        <v>1.8</v>
      </c>
      <c r="D799" s="93" t="s">
        <v>125</v>
      </c>
      <c r="E799" s="93" t="s">
        <v>137</v>
      </c>
      <c r="F799" s="93" t="s">
        <v>484</v>
      </c>
      <c r="G799" s="29" t="s">
        <v>137</v>
      </c>
      <c r="H799" s="126" t="s">
        <v>309</v>
      </c>
      <c r="I799" s="126"/>
      <c r="J799" s="126"/>
      <c r="K799" s="126"/>
      <c r="L799" s="126"/>
    </row>
    <row r="800" spans="1:12" ht="18" customHeight="1" x14ac:dyDescent="0.2">
      <c r="A800" s="93" t="s">
        <v>557</v>
      </c>
      <c r="B800" s="93" t="s">
        <v>406</v>
      </c>
      <c r="C800" s="36">
        <f>'Final Aircraft Checkouts'!C248</f>
        <v>7.9032070366304621E-2</v>
      </c>
      <c r="D800" s="93" t="s">
        <v>125</v>
      </c>
      <c r="E800" s="93" t="s">
        <v>137</v>
      </c>
      <c r="F800" s="93" t="s">
        <v>21</v>
      </c>
      <c r="G800" s="29" t="s">
        <v>550</v>
      </c>
      <c r="H800" s="127" t="s">
        <v>526</v>
      </c>
      <c r="I800" s="127"/>
      <c r="J800" s="127"/>
      <c r="K800" s="127"/>
      <c r="L800" s="127"/>
    </row>
    <row r="801" spans="1:12" ht="18" customHeight="1" x14ac:dyDescent="0.2">
      <c r="A801" s="91">
        <v>42000</v>
      </c>
      <c r="B801" s="93" t="s">
        <v>406</v>
      </c>
      <c r="C801" s="36">
        <f>'Final Aircraft Checkouts'!C249</f>
        <v>8.2912580567948493E-2</v>
      </c>
      <c r="D801" s="93" t="s">
        <v>125</v>
      </c>
      <c r="E801" s="93" t="s">
        <v>137</v>
      </c>
      <c r="F801" s="93" t="s">
        <v>21</v>
      </c>
      <c r="G801" s="29" t="s">
        <v>550</v>
      </c>
      <c r="H801" s="127" t="s">
        <v>526</v>
      </c>
      <c r="I801" s="127"/>
      <c r="J801" s="127"/>
      <c r="K801" s="127"/>
      <c r="L801" s="127"/>
    </row>
    <row r="802" spans="1:12" ht="18" customHeight="1" x14ac:dyDescent="0.2">
      <c r="A802" s="91">
        <v>43000</v>
      </c>
      <c r="B802" s="93" t="s">
        <v>406</v>
      </c>
      <c r="C802" s="36">
        <f>'Final Aircraft Checkouts'!C250</f>
        <v>8.6971010401134904E-2</v>
      </c>
      <c r="D802" s="93" t="s">
        <v>125</v>
      </c>
      <c r="E802" s="93" t="s">
        <v>137</v>
      </c>
      <c r="F802" s="93" t="s">
        <v>21</v>
      </c>
      <c r="G802" s="29" t="s">
        <v>550</v>
      </c>
      <c r="H802" s="127" t="s">
        <v>526</v>
      </c>
      <c r="I802" s="127"/>
      <c r="J802" s="127"/>
      <c r="K802" s="127"/>
      <c r="L802" s="127"/>
    </row>
    <row r="803" spans="1:12" ht="18" customHeight="1" x14ac:dyDescent="0.2">
      <c r="A803" s="91">
        <v>44000</v>
      </c>
      <c r="B803" s="93" t="s">
        <v>406</v>
      </c>
      <c r="C803" s="36">
        <f>'Final Aircraft Checkouts'!C251</f>
        <v>9.1239746321009105E-2</v>
      </c>
      <c r="D803" s="93" t="s">
        <v>125</v>
      </c>
      <c r="E803" s="93" t="s">
        <v>137</v>
      </c>
      <c r="F803" s="93" t="s">
        <v>21</v>
      </c>
      <c r="G803" s="29" t="s">
        <v>550</v>
      </c>
      <c r="H803" s="127" t="s">
        <v>526</v>
      </c>
      <c r="I803" s="127"/>
      <c r="J803" s="127"/>
      <c r="K803" s="127"/>
      <c r="L803" s="127"/>
    </row>
    <row r="804" spans="1:12" ht="18" customHeight="1" x14ac:dyDescent="0.2">
      <c r="A804" s="91">
        <v>45000</v>
      </c>
      <c r="B804" s="93" t="s">
        <v>406</v>
      </c>
      <c r="C804" s="36">
        <f>'Final Aircraft Checkouts'!C252</f>
        <v>9.5700092993851002E-2</v>
      </c>
      <c r="D804" s="93" t="s">
        <v>125</v>
      </c>
      <c r="E804" s="93" t="s">
        <v>137</v>
      </c>
      <c r="F804" s="93" t="s">
        <v>21</v>
      </c>
      <c r="G804" s="29" t="s">
        <v>550</v>
      </c>
      <c r="H804" s="127" t="s">
        <v>526</v>
      </c>
      <c r="I804" s="127"/>
      <c r="J804" s="127"/>
      <c r="K804" s="127"/>
      <c r="L804" s="127"/>
    </row>
    <row r="805" spans="1:12" ht="18" customHeight="1" x14ac:dyDescent="0.2">
      <c r="A805" s="91">
        <v>46000</v>
      </c>
      <c r="B805" s="93" t="s">
        <v>406</v>
      </c>
      <c r="C805" s="36">
        <f>'Final Aircraft Checkouts'!C253</f>
        <v>0.10039063533255575</v>
      </c>
      <c r="D805" s="93" t="s">
        <v>125</v>
      </c>
      <c r="E805" s="93" t="s">
        <v>137</v>
      </c>
      <c r="F805" s="93" t="s">
        <v>21</v>
      </c>
      <c r="G805" s="29" t="s">
        <v>550</v>
      </c>
      <c r="H805" s="127" t="s">
        <v>526</v>
      </c>
      <c r="I805" s="127"/>
      <c r="J805" s="127"/>
      <c r="K805" s="127"/>
      <c r="L805" s="127"/>
    </row>
    <row r="806" spans="1:12" ht="18" customHeight="1" x14ac:dyDescent="0.2">
      <c r="A806" s="91">
        <v>47000</v>
      </c>
      <c r="B806" s="93" t="s">
        <v>406</v>
      </c>
      <c r="C806" s="36">
        <f>'Final Aircraft Checkouts'!C254</f>
        <v>0.10531338488706812</v>
      </c>
      <c r="D806" s="93" t="s">
        <v>125</v>
      </c>
      <c r="E806" s="93" t="s">
        <v>137</v>
      </c>
      <c r="F806" s="93" t="s">
        <v>21</v>
      </c>
      <c r="G806" s="29" t="s">
        <v>550</v>
      </c>
      <c r="H806" s="127" t="s">
        <v>526</v>
      </c>
      <c r="I806" s="127"/>
      <c r="J806" s="127"/>
      <c r="K806" s="127"/>
      <c r="L806" s="127"/>
    </row>
    <row r="807" spans="1:12" ht="18" customHeight="1" x14ac:dyDescent="0.2">
      <c r="A807" s="91">
        <v>48000</v>
      </c>
      <c r="B807" s="93" t="s">
        <v>406</v>
      </c>
      <c r="C807" s="36">
        <f>'Final Aircraft Checkouts'!C255</f>
        <v>0.11046729835469993</v>
      </c>
      <c r="D807" s="93" t="s">
        <v>125</v>
      </c>
      <c r="E807" s="93" t="s">
        <v>137</v>
      </c>
      <c r="F807" s="93" t="s">
        <v>21</v>
      </c>
      <c r="G807" s="29" t="s">
        <v>550</v>
      </c>
      <c r="H807" s="127" t="s">
        <v>526</v>
      </c>
      <c r="I807" s="127"/>
      <c r="J807" s="127"/>
      <c r="K807" s="127"/>
      <c r="L807" s="127"/>
    </row>
    <row r="808" spans="1:12" ht="18" customHeight="1" x14ac:dyDescent="0.2">
      <c r="A808" s="91">
        <v>49000</v>
      </c>
      <c r="B808" s="93" t="s">
        <v>406</v>
      </c>
      <c r="C808" s="36">
        <f>'Final Aircraft Checkouts'!C256</f>
        <v>0.11590818179475326</v>
      </c>
      <c r="D808" s="93" t="s">
        <v>125</v>
      </c>
      <c r="E808" s="93" t="s">
        <v>137</v>
      </c>
      <c r="F808" s="93" t="s">
        <v>21</v>
      </c>
      <c r="G808" s="29" t="s">
        <v>550</v>
      </c>
      <c r="H808" s="127" t="s">
        <v>526</v>
      </c>
      <c r="I808" s="127"/>
      <c r="J808" s="127"/>
      <c r="K808" s="127"/>
      <c r="L808" s="127"/>
    </row>
    <row r="809" spans="1:12" ht="18" customHeight="1" x14ac:dyDescent="0.2">
      <c r="A809" s="93" t="s">
        <v>447</v>
      </c>
      <c r="B809" s="47" t="s">
        <v>448</v>
      </c>
      <c r="C809" s="48">
        <v>0.10158298411673315</v>
      </c>
      <c r="D809" s="93" t="s">
        <v>125</v>
      </c>
      <c r="E809" s="93" t="s">
        <v>137</v>
      </c>
      <c r="F809" s="93" t="s">
        <v>399</v>
      </c>
      <c r="G809" s="29" t="s">
        <v>137</v>
      </c>
      <c r="H809" s="127" t="s">
        <v>449</v>
      </c>
      <c r="I809" s="127"/>
      <c r="J809" s="127"/>
      <c r="K809" s="127"/>
      <c r="L809" s="127"/>
    </row>
    <row r="810" spans="1:12" ht="18" customHeight="1" x14ac:dyDescent="0.2">
      <c r="A810" s="93" t="s">
        <v>447</v>
      </c>
      <c r="B810" s="47" t="s">
        <v>448</v>
      </c>
      <c r="C810" s="48">
        <v>0.10158298411673315</v>
      </c>
      <c r="D810" s="93" t="s">
        <v>125</v>
      </c>
      <c r="E810" s="93" t="s">
        <v>137</v>
      </c>
      <c r="F810" s="93" t="s">
        <v>399</v>
      </c>
      <c r="G810" s="29" t="s">
        <v>137</v>
      </c>
      <c r="H810" s="127" t="s">
        <v>449</v>
      </c>
      <c r="I810" s="127"/>
      <c r="J810" s="127"/>
      <c r="K810" s="127"/>
      <c r="L810" s="127"/>
    </row>
    <row r="811" spans="1:12" ht="18" customHeight="1" x14ac:dyDescent="0.2">
      <c r="A811" s="93" t="s">
        <v>447</v>
      </c>
      <c r="B811" s="47" t="s">
        <v>448</v>
      </c>
      <c r="C811" s="48">
        <v>0.10158298411673315</v>
      </c>
      <c r="D811" s="93" t="s">
        <v>125</v>
      </c>
      <c r="E811" s="93" t="s">
        <v>137</v>
      </c>
      <c r="F811" s="93" t="s">
        <v>399</v>
      </c>
      <c r="G811" s="29" t="s">
        <v>137</v>
      </c>
      <c r="H811" s="127" t="s">
        <v>449</v>
      </c>
      <c r="I811" s="127"/>
      <c r="J811" s="127"/>
      <c r="K811" s="127"/>
      <c r="L811" s="127"/>
    </row>
    <row r="812" spans="1:12" ht="18" customHeight="1" x14ac:dyDescent="0.2">
      <c r="A812" s="93" t="s">
        <v>447</v>
      </c>
      <c r="B812" s="47" t="s">
        <v>448</v>
      </c>
      <c r="C812" s="48">
        <v>0.10158298411673315</v>
      </c>
      <c r="D812" s="93" t="s">
        <v>125</v>
      </c>
      <c r="E812" s="93" t="s">
        <v>137</v>
      </c>
      <c r="F812" s="93" t="s">
        <v>399</v>
      </c>
      <c r="G812" s="29" t="s">
        <v>137</v>
      </c>
      <c r="H812" s="127" t="s">
        <v>449</v>
      </c>
      <c r="I812" s="127"/>
      <c r="J812" s="127"/>
      <c r="K812" s="127"/>
      <c r="L812" s="127"/>
    </row>
    <row r="813" spans="1:12" ht="18" customHeight="1" x14ac:dyDescent="0.2">
      <c r="A813" s="93" t="s">
        <v>447</v>
      </c>
      <c r="B813" s="47" t="s">
        <v>448</v>
      </c>
      <c r="C813" s="48">
        <v>0.10158298411673315</v>
      </c>
      <c r="D813" s="93" t="s">
        <v>125</v>
      </c>
      <c r="E813" s="93" t="s">
        <v>137</v>
      </c>
      <c r="F813" s="93" t="s">
        <v>399</v>
      </c>
      <c r="G813" s="29" t="s">
        <v>137</v>
      </c>
      <c r="H813" s="127" t="s">
        <v>449</v>
      </c>
      <c r="I813" s="127"/>
      <c r="J813" s="127"/>
      <c r="K813" s="127"/>
      <c r="L813" s="127"/>
    </row>
    <row r="814" spans="1:12" ht="18" customHeight="1" x14ac:dyDescent="0.2">
      <c r="A814" s="93" t="s">
        <v>447</v>
      </c>
      <c r="B814" s="47" t="s">
        <v>448</v>
      </c>
      <c r="C814" s="48">
        <v>0.10158298411673315</v>
      </c>
      <c r="D814" s="93" t="s">
        <v>125</v>
      </c>
      <c r="E814" s="93" t="s">
        <v>137</v>
      </c>
      <c r="F814" s="93" t="s">
        <v>399</v>
      </c>
      <c r="G814" s="29" t="s">
        <v>137</v>
      </c>
      <c r="H814" s="127" t="s">
        <v>449</v>
      </c>
      <c r="I814" s="127"/>
      <c r="J814" s="127"/>
      <c r="K814" s="127"/>
      <c r="L814" s="127"/>
    </row>
    <row r="815" spans="1:12" ht="18" customHeight="1" x14ac:dyDescent="0.2">
      <c r="A815" s="93" t="s">
        <v>447</v>
      </c>
      <c r="B815" s="47" t="s">
        <v>448</v>
      </c>
      <c r="C815" s="48">
        <v>0.10158298411673315</v>
      </c>
      <c r="D815" s="93" t="s">
        <v>125</v>
      </c>
      <c r="E815" s="93" t="s">
        <v>137</v>
      </c>
      <c r="F815" s="93" t="s">
        <v>399</v>
      </c>
      <c r="G815" s="29" t="s">
        <v>137</v>
      </c>
      <c r="H815" s="127" t="s">
        <v>449</v>
      </c>
      <c r="I815" s="127"/>
      <c r="J815" s="127"/>
      <c r="K815" s="127"/>
      <c r="L815" s="127"/>
    </row>
    <row r="816" spans="1:12" ht="18" customHeight="1" x14ac:dyDescent="0.2">
      <c r="A816" s="93" t="s">
        <v>447</v>
      </c>
      <c r="B816" s="47" t="s">
        <v>448</v>
      </c>
      <c r="C816" s="48">
        <v>0.10158298411673315</v>
      </c>
      <c r="D816" s="93" t="s">
        <v>125</v>
      </c>
      <c r="E816" s="93" t="s">
        <v>137</v>
      </c>
      <c r="F816" s="93" t="s">
        <v>399</v>
      </c>
      <c r="G816" s="29" t="s">
        <v>137</v>
      </c>
      <c r="H816" s="127" t="s">
        <v>449</v>
      </c>
      <c r="I816" s="127"/>
      <c r="J816" s="127"/>
      <c r="K816" s="127"/>
      <c r="L816" s="127"/>
    </row>
    <row r="817" spans="1:12" ht="18" customHeight="1" x14ac:dyDescent="0.2">
      <c r="A817" s="93" t="s">
        <v>447</v>
      </c>
      <c r="B817" s="47" t="s">
        <v>448</v>
      </c>
      <c r="C817" s="48">
        <v>0.10158298411673315</v>
      </c>
      <c r="D817" s="93" t="s">
        <v>125</v>
      </c>
      <c r="E817" s="93" t="s">
        <v>137</v>
      </c>
      <c r="F817" s="93" t="s">
        <v>399</v>
      </c>
      <c r="G817" s="29" t="s">
        <v>137</v>
      </c>
      <c r="H817" s="127" t="s">
        <v>449</v>
      </c>
      <c r="I817" s="127"/>
      <c r="J817" s="127"/>
      <c r="K817" s="127"/>
      <c r="L817" s="127"/>
    </row>
    <row r="818" spans="1:12" ht="18" customHeight="1" x14ac:dyDescent="0.2">
      <c r="A818" s="93" t="s">
        <v>558</v>
      </c>
      <c r="B818" s="93" t="s">
        <v>436</v>
      </c>
      <c r="C818" s="36">
        <f xml:space="preserve"> ABS((C800-CFD!$B$33)/(CFD!$B$34-CFD!$B$33)*(CFD!$A$34-CFD!$A$33) + CFD!$A$33)*PI()/180</f>
        <v>3.1575807816073533E-2</v>
      </c>
      <c r="D818" s="93" t="s">
        <v>125</v>
      </c>
      <c r="E818" s="93" t="s">
        <v>407</v>
      </c>
      <c r="F818" s="93" t="s">
        <v>21</v>
      </c>
      <c r="G818" s="29" t="s">
        <v>550</v>
      </c>
      <c r="H818" s="127" t="s">
        <v>526</v>
      </c>
      <c r="I818" s="127"/>
      <c r="J818" s="127"/>
      <c r="K818" s="127"/>
      <c r="L818" s="127"/>
    </row>
    <row r="819" spans="1:12" ht="18" customHeight="1" x14ac:dyDescent="0.2">
      <c r="A819" s="91">
        <v>42000</v>
      </c>
      <c r="B819" s="93" t="s">
        <v>436</v>
      </c>
      <c r="C819" s="36">
        <f xml:space="preserve"> ABS((C801-CFD!$B$33)/(CFD!$B$34-CFD!$B$33)*(CFD!$A$34-CFD!$A$33) + CFD!$A$33)*PI()/180</f>
        <v>3.3158230238407992E-2</v>
      </c>
      <c r="D819" s="93"/>
      <c r="E819" s="93" t="s">
        <v>407</v>
      </c>
      <c r="F819" s="93" t="s">
        <v>21</v>
      </c>
      <c r="G819" s="29" t="s">
        <v>550</v>
      </c>
      <c r="H819" s="127" t="s">
        <v>526</v>
      </c>
      <c r="I819" s="127"/>
      <c r="J819" s="127"/>
      <c r="K819" s="127"/>
      <c r="L819" s="127"/>
    </row>
    <row r="820" spans="1:12" ht="18" customHeight="1" x14ac:dyDescent="0.2">
      <c r="A820" s="91">
        <v>43000</v>
      </c>
      <c r="B820" s="93" t="s">
        <v>436</v>
      </c>
      <c r="C820" s="36">
        <f xml:space="preserve"> ABS((C802-CFD!$B$33)/(CFD!$B$34-CFD!$B$33)*(CFD!$A$34-CFD!$A$33) + CFD!$A$33)*PI()/180</f>
        <v>3.4813206010610491E-2</v>
      </c>
      <c r="D820" s="93"/>
      <c r="E820" s="93" t="s">
        <v>407</v>
      </c>
      <c r="F820" s="93" t="s">
        <v>21</v>
      </c>
      <c r="G820" s="29" t="s">
        <v>550</v>
      </c>
      <c r="H820" s="127" t="s">
        <v>526</v>
      </c>
      <c r="I820" s="127"/>
      <c r="J820" s="127"/>
      <c r="K820" s="127"/>
      <c r="L820" s="127"/>
    </row>
    <row r="821" spans="1:12" ht="18" customHeight="1" x14ac:dyDescent="0.2">
      <c r="A821" s="91">
        <v>44000</v>
      </c>
      <c r="B821" s="93" t="s">
        <v>436</v>
      </c>
      <c r="C821" s="36">
        <f xml:space="preserve"> ABS((C803-CFD!$B$33)/(CFD!$B$34-CFD!$B$33)*(CFD!$A$34-CFD!$A$33) + CFD!$A$33)*PI()/180</f>
        <v>3.6553941914815015E-2</v>
      </c>
      <c r="D821" s="93"/>
      <c r="E821" s="93" t="s">
        <v>407</v>
      </c>
      <c r="F821" s="93" t="s">
        <v>21</v>
      </c>
      <c r="G821" s="29" t="s">
        <v>550</v>
      </c>
      <c r="H821" s="127" t="s">
        <v>526</v>
      </c>
      <c r="I821" s="127"/>
      <c r="J821" s="127"/>
      <c r="K821" s="127"/>
      <c r="L821" s="127"/>
    </row>
    <row r="822" spans="1:12" ht="18" customHeight="1" x14ac:dyDescent="0.2">
      <c r="A822" s="91">
        <v>45000</v>
      </c>
      <c r="B822" s="93" t="s">
        <v>436</v>
      </c>
      <c r="C822" s="36">
        <f xml:space="preserve"> ABS((C804-CFD!$B$33)/(CFD!$B$34-CFD!$B$33)*(CFD!$A$34-CFD!$A$33) + CFD!$A$33)*PI()/180</f>
        <v>3.8372814233073559E-2</v>
      </c>
      <c r="D822" s="93"/>
      <c r="E822" s="93" t="s">
        <v>407</v>
      </c>
      <c r="F822" s="93" t="s">
        <v>21</v>
      </c>
      <c r="G822" s="29" t="s">
        <v>550</v>
      </c>
      <c r="H822" s="127" t="s">
        <v>526</v>
      </c>
      <c r="I822" s="127"/>
      <c r="J822" s="127"/>
      <c r="K822" s="127"/>
      <c r="L822" s="127"/>
    </row>
    <row r="823" spans="1:12" ht="18" customHeight="1" x14ac:dyDescent="0.2">
      <c r="A823" s="91">
        <v>46000</v>
      </c>
      <c r="B823" s="93" t="s">
        <v>436</v>
      </c>
      <c r="C823" s="36">
        <f xml:space="preserve"> ABS((C805-CFD!$B$33)/(CFD!$B$34-CFD!$B$33)*(CFD!$A$34-CFD!$A$33) + CFD!$A$33)*PI()/180</f>
        <v>4.0285557399302369E-2</v>
      </c>
      <c r="D823" s="93"/>
      <c r="E823" s="93" t="s">
        <v>407</v>
      </c>
      <c r="F823" s="93" t="s">
        <v>21</v>
      </c>
      <c r="G823" s="29" t="s">
        <v>550</v>
      </c>
      <c r="H823" s="127" t="s">
        <v>526</v>
      </c>
      <c r="I823" s="127"/>
      <c r="J823" s="127"/>
      <c r="K823" s="127"/>
      <c r="L823" s="127"/>
    </row>
    <row r="824" spans="1:12" ht="18" customHeight="1" x14ac:dyDescent="0.2">
      <c r="A824" s="91">
        <v>47000</v>
      </c>
      <c r="B824" s="93" t="s">
        <v>436</v>
      </c>
      <c r="C824" s="36">
        <f xml:space="preserve"> ABS((C806-CFD!$B$33)/(CFD!$B$34-CFD!$B$33)*(CFD!$A$34-CFD!$A$33) + CFD!$A$33)*PI()/180</f>
        <v>4.2292991697837991E-2</v>
      </c>
      <c r="D824" s="93"/>
      <c r="E824" s="93" t="s">
        <v>407</v>
      </c>
      <c r="F824" s="93" t="s">
        <v>21</v>
      </c>
      <c r="G824" s="29" t="s">
        <v>550</v>
      </c>
      <c r="H824" s="127" t="s">
        <v>526</v>
      </c>
      <c r="I824" s="127"/>
      <c r="J824" s="127"/>
      <c r="K824" s="127"/>
      <c r="L824" s="127"/>
    </row>
    <row r="825" spans="1:12" ht="18" customHeight="1" x14ac:dyDescent="0.2">
      <c r="A825" s="91">
        <v>48000</v>
      </c>
      <c r="B825" s="93" t="s">
        <v>436</v>
      </c>
      <c r="C825" s="36">
        <f xml:space="preserve"> ABS((C807-CFD!$B$33)/(CFD!$B$34-CFD!$B$33)*(CFD!$A$34-CFD!$A$33) + CFD!$A$33)*PI()/180</f>
        <v>4.4394691683189706E-2</v>
      </c>
      <c r="D825" s="93"/>
      <c r="E825" s="93" t="s">
        <v>407</v>
      </c>
      <c r="F825" s="93" t="s">
        <v>21</v>
      </c>
      <c r="G825" s="29" t="s">
        <v>550</v>
      </c>
      <c r="H825" s="127" t="s">
        <v>526</v>
      </c>
      <c r="I825" s="127"/>
      <c r="J825" s="127"/>
      <c r="K825" s="127"/>
      <c r="L825" s="127"/>
    </row>
    <row r="826" spans="1:12" ht="18" customHeight="1" x14ac:dyDescent="0.2">
      <c r="A826" s="91">
        <v>49000</v>
      </c>
      <c r="B826" s="93" t="s">
        <v>436</v>
      </c>
      <c r="C826" s="36">
        <f xml:space="preserve"> ABS((C808-CFD!$B$33)/(CFD!$B$34-CFD!$B$33)*(CFD!$A$34-CFD!$A$33) + CFD!$A$33)*PI()/180</f>
        <v>4.6613414352492652E-2</v>
      </c>
      <c r="D826" s="93"/>
      <c r="E826" s="93" t="s">
        <v>407</v>
      </c>
      <c r="F826" s="93" t="s">
        <v>21</v>
      </c>
      <c r="G826" s="29" t="s">
        <v>550</v>
      </c>
      <c r="H826" s="127" t="s">
        <v>526</v>
      </c>
      <c r="I826" s="127"/>
      <c r="J826" s="127"/>
      <c r="K826" s="127"/>
      <c r="L826" s="127"/>
    </row>
    <row r="827" spans="1:12" ht="18" customHeight="1" x14ac:dyDescent="0.2">
      <c r="A827" s="93" t="s">
        <v>560</v>
      </c>
      <c r="B827" s="47" t="s">
        <v>481</v>
      </c>
      <c r="C827" s="48">
        <f>C809/C845</f>
        <v>4.0585609980689101E-2</v>
      </c>
      <c r="D827" s="93" t="s">
        <v>125</v>
      </c>
      <c r="E827" s="93" t="s">
        <v>407</v>
      </c>
      <c r="F827" s="93" t="s">
        <v>21</v>
      </c>
      <c r="G827" s="29" t="s">
        <v>482</v>
      </c>
      <c r="H827" s="127" t="s">
        <v>483</v>
      </c>
      <c r="I827" s="127"/>
      <c r="J827" s="127"/>
      <c r="K827" s="127"/>
      <c r="L827" s="127"/>
    </row>
    <row r="828" spans="1:12" ht="18" customHeight="1" x14ac:dyDescent="0.2">
      <c r="A828" s="91">
        <v>42000</v>
      </c>
      <c r="B828" s="47" t="s">
        <v>481</v>
      </c>
      <c r="C828" s="48">
        <f t="shared" ref="C828:C835" si="32">C810/C846</f>
        <v>4.0624859973894818E-2</v>
      </c>
      <c r="D828" s="93" t="s">
        <v>125</v>
      </c>
      <c r="E828" s="93" t="s">
        <v>407</v>
      </c>
      <c r="F828" s="93" t="s">
        <v>21</v>
      </c>
      <c r="G828" s="29" t="s">
        <v>482</v>
      </c>
      <c r="H828" s="127" t="s">
        <v>483</v>
      </c>
      <c r="I828" s="127"/>
      <c r="J828" s="127"/>
      <c r="K828" s="127"/>
      <c r="L828" s="127"/>
    </row>
    <row r="829" spans="1:12" ht="18" customHeight="1" x14ac:dyDescent="0.2">
      <c r="A829" s="91">
        <v>43000</v>
      </c>
      <c r="B829" s="47" t="s">
        <v>481</v>
      </c>
      <c r="C829" s="48">
        <f t="shared" si="32"/>
        <v>4.0662162448353675E-2</v>
      </c>
      <c r="D829" s="93" t="s">
        <v>125</v>
      </c>
      <c r="E829" s="93" t="s">
        <v>407</v>
      </c>
      <c r="F829" s="93" t="s">
        <v>21</v>
      </c>
      <c r="G829" s="29" t="s">
        <v>482</v>
      </c>
      <c r="H829" s="127" t="s">
        <v>483</v>
      </c>
      <c r="I829" s="127"/>
      <c r="J829" s="127"/>
      <c r="K829" s="127"/>
      <c r="L829" s="127"/>
    </row>
    <row r="830" spans="1:12" ht="18" customHeight="1" x14ac:dyDescent="0.2">
      <c r="A830" s="91">
        <v>44000</v>
      </c>
      <c r="B830" s="47" t="s">
        <v>481</v>
      </c>
      <c r="C830" s="48">
        <f t="shared" si="32"/>
        <v>4.069781702233443E-2</v>
      </c>
      <c r="D830" s="93" t="s">
        <v>125</v>
      </c>
      <c r="E830" s="93" t="s">
        <v>407</v>
      </c>
      <c r="F830" s="93" t="s">
        <v>21</v>
      </c>
      <c r="G830" s="29" t="s">
        <v>482</v>
      </c>
      <c r="H830" s="127" t="s">
        <v>483</v>
      </c>
      <c r="I830" s="127"/>
      <c r="J830" s="127"/>
      <c r="K830" s="127"/>
      <c r="L830" s="127"/>
    </row>
    <row r="831" spans="1:12" ht="18" customHeight="1" x14ac:dyDescent="0.2">
      <c r="A831" s="91">
        <v>45000</v>
      </c>
      <c r="B831" s="47" t="s">
        <v>481</v>
      </c>
      <c r="C831" s="48">
        <f t="shared" si="32"/>
        <v>4.0731673886702721E-2</v>
      </c>
      <c r="D831" s="93" t="s">
        <v>125</v>
      </c>
      <c r="E831" s="93" t="s">
        <v>407</v>
      </c>
      <c r="F831" s="93" t="s">
        <v>21</v>
      </c>
      <c r="G831" s="29" t="s">
        <v>482</v>
      </c>
      <c r="H831" s="127" t="s">
        <v>483</v>
      </c>
      <c r="I831" s="127"/>
      <c r="J831" s="127"/>
      <c r="K831" s="127"/>
      <c r="L831" s="127"/>
    </row>
    <row r="832" spans="1:12" ht="18" customHeight="1" x14ac:dyDescent="0.2">
      <c r="A832" s="91">
        <v>46000</v>
      </c>
      <c r="B832" s="47" t="s">
        <v>481</v>
      </c>
      <c r="C832" s="48">
        <f t="shared" si="32"/>
        <v>4.0764032659727285E-2</v>
      </c>
      <c r="D832" s="93" t="s">
        <v>125</v>
      </c>
      <c r="E832" s="93" t="s">
        <v>407</v>
      </c>
      <c r="F832" s="93" t="s">
        <v>21</v>
      </c>
      <c r="G832" s="29" t="s">
        <v>482</v>
      </c>
      <c r="H832" s="127" t="s">
        <v>483</v>
      </c>
      <c r="I832" s="127"/>
      <c r="J832" s="127"/>
      <c r="K832" s="127"/>
      <c r="L832" s="127"/>
    </row>
    <row r="833" spans="1:12" ht="18" customHeight="1" x14ac:dyDescent="0.2">
      <c r="A833" s="91">
        <v>47000</v>
      </c>
      <c r="B833" s="47" t="s">
        <v>481</v>
      </c>
      <c r="C833" s="48">
        <f t="shared" si="32"/>
        <v>4.0794893341408095E-2</v>
      </c>
      <c r="D833" s="93" t="s">
        <v>125</v>
      </c>
      <c r="E833" s="93" t="s">
        <v>407</v>
      </c>
      <c r="F833" s="93" t="s">
        <v>21</v>
      </c>
      <c r="G833" s="29" t="s">
        <v>482</v>
      </c>
      <c r="H833" s="127" t="s">
        <v>483</v>
      </c>
      <c r="I833" s="127"/>
      <c r="J833" s="127"/>
      <c r="K833" s="127"/>
      <c r="L833" s="127"/>
    </row>
    <row r="834" spans="1:12" ht="18" customHeight="1" x14ac:dyDescent="0.2">
      <c r="A834" s="91">
        <v>48000</v>
      </c>
      <c r="B834" s="47" t="s">
        <v>481</v>
      </c>
      <c r="C834" s="48">
        <f t="shared" si="32"/>
        <v>4.0824255931745206E-2</v>
      </c>
      <c r="D834" s="93" t="s">
        <v>125</v>
      </c>
      <c r="E834" s="93" t="s">
        <v>407</v>
      </c>
      <c r="F834" s="93" t="s">
        <v>21</v>
      </c>
      <c r="G834" s="29" t="s">
        <v>482</v>
      </c>
      <c r="H834" s="127" t="s">
        <v>483</v>
      </c>
      <c r="I834" s="127"/>
      <c r="J834" s="127"/>
      <c r="K834" s="127"/>
      <c r="L834" s="127"/>
    </row>
    <row r="835" spans="1:12" ht="18" customHeight="1" x14ac:dyDescent="0.2">
      <c r="A835" s="91">
        <v>49000</v>
      </c>
      <c r="B835" s="47" t="s">
        <v>481</v>
      </c>
      <c r="C835" s="48">
        <f t="shared" si="32"/>
        <v>4.0852420049007312E-2</v>
      </c>
      <c r="D835" s="93" t="s">
        <v>125</v>
      </c>
      <c r="E835" s="93" t="s">
        <v>407</v>
      </c>
      <c r="F835" s="93" t="s">
        <v>21</v>
      </c>
      <c r="G835" s="29" t="s">
        <v>482</v>
      </c>
      <c r="H835" s="127" t="s">
        <v>483</v>
      </c>
      <c r="I835" s="127"/>
      <c r="J835" s="127"/>
      <c r="K835" s="127"/>
      <c r="L835" s="127"/>
    </row>
    <row r="836" spans="1:12" ht="18" customHeight="1" x14ac:dyDescent="0.2">
      <c r="A836" s="93" t="s">
        <v>559</v>
      </c>
      <c r="B836" s="93" t="s">
        <v>420</v>
      </c>
      <c r="C836" s="36">
        <f t="shared" ref="C836:C844" si="33">C800/C818</f>
        <v>2.5029310675647602</v>
      </c>
      <c r="D836" s="93" t="s">
        <v>125</v>
      </c>
      <c r="E836" s="93" t="s">
        <v>421</v>
      </c>
      <c r="F836" s="93" t="s">
        <v>21</v>
      </c>
      <c r="G836" s="29" t="s">
        <v>422</v>
      </c>
      <c r="H836" s="110" t="s">
        <v>423</v>
      </c>
      <c r="I836" s="110"/>
      <c r="J836" s="110"/>
      <c r="K836" s="110"/>
      <c r="L836" s="110"/>
    </row>
    <row r="837" spans="1:12" ht="18" customHeight="1" x14ac:dyDescent="0.2">
      <c r="A837" s="91">
        <v>42000</v>
      </c>
      <c r="B837" s="93" t="s">
        <v>420</v>
      </c>
      <c r="C837" s="36">
        <f t="shared" si="33"/>
        <v>2.5005128431706471</v>
      </c>
      <c r="D837" s="93" t="s">
        <v>125</v>
      </c>
      <c r="E837" s="93" t="s">
        <v>421</v>
      </c>
      <c r="F837" s="93" t="s">
        <v>21</v>
      </c>
      <c r="G837" s="29" t="s">
        <v>422</v>
      </c>
      <c r="H837" s="110" t="s">
        <v>423</v>
      </c>
      <c r="I837" s="110"/>
      <c r="J837" s="110"/>
      <c r="K837" s="110"/>
      <c r="L837" s="110"/>
    </row>
    <row r="838" spans="1:12" ht="18" customHeight="1" x14ac:dyDescent="0.2">
      <c r="A838" s="91">
        <v>43000</v>
      </c>
      <c r="B838" s="93" t="s">
        <v>420</v>
      </c>
      <c r="C838" s="36">
        <f t="shared" si="33"/>
        <v>2.498218933775521</v>
      </c>
      <c r="D838" s="93" t="s">
        <v>125</v>
      </c>
      <c r="E838" s="93" t="s">
        <v>421</v>
      </c>
      <c r="F838" s="93" t="s">
        <v>21</v>
      </c>
      <c r="G838" s="29" t="s">
        <v>422</v>
      </c>
      <c r="H838" s="110" t="s">
        <v>423</v>
      </c>
      <c r="I838" s="110"/>
      <c r="J838" s="110"/>
      <c r="K838" s="110"/>
      <c r="L838" s="110"/>
    </row>
    <row r="839" spans="1:12" ht="18" customHeight="1" x14ac:dyDescent="0.2">
      <c r="A839" s="91">
        <v>44000</v>
      </c>
      <c r="B839" s="93" t="s">
        <v>420</v>
      </c>
      <c r="C839" s="36">
        <f t="shared" si="33"/>
        <v>2.4960302922632369</v>
      </c>
      <c r="D839" s="93" t="s">
        <v>125</v>
      </c>
      <c r="E839" s="93" t="s">
        <v>421</v>
      </c>
      <c r="F839" s="93" t="s">
        <v>21</v>
      </c>
      <c r="G839" s="29" t="s">
        <v>422</v>
      </c>
      <c r="H839" s="110" t="s">
        <v>423</v>
      </c>
      <c r="I839" s="110"/>
      <c r="J839" s="110"/>
      <c r="K839" s="110"/>
      <c r="L839" s="110"/>
    </row>
    <row r="840" spans="1:12" ht="18" customHeight="1" x14ac:dyDescent="0.2">
      <c r="A840" s="91">
        <v>45000</v>
      </c>
      <c r="B840" s="93" t="s">
        <v>420</v>
      </c>
      <c r="C840" s="36">
        <f t="shared" si="33"/>
        <v>2.4939555491701992</v>
      </c>
      <c r="D840" s="93" t="s">
        <v>125</v>
      </c>
      <c r="E840" s="93" t="s">
        <v>421</v>
      </c>
      <c r="F840" s="93" t="s">
        <v>21</v>
      </c>
      <c r="G840" s="29" t="s">
        <v>422</v>
      </c>
      <c r="H840" s="110" t="s">
        <v>423</v>
      </c>
      <c r="I840" s="110"/>
      <c r="J840" s="110"/>
      <c r="K840" s="110"/>
      <c r="L840" s="110"/>
    </row>
    <row r="841" spans="1:12" ht="18" customHeight="1" x14ac:dyDescent="0.2">
      <c r="A841" s="91">
        <v>46000</v>
      </c>
      <c r="B841" s="93" t="s">
        <v>420</v>
      </c>
      <c r="C841" s="36">
        <f t="shared" si="33"/>
        <v>2.4919758298862269</v>
      </c>
      <c r="D841" s="93" t="s">
        <v>125</v>
      </c>
      <c r="E841" s="93" t="s">
        <v>421</v>
      </c>
      <c r="F841" s="93" t="s">
        <v>21</v>
      </c>
      <c r="G841" s="29" t="s">
        <v>422</v>
      </c>
      <c r="H841" s="110" t="s">
        <v>423</v>
      </c>
      <c r="I841" s="110"/>
      <c r="J841" s="110"/>
      <c r="K841" s="110"/>
      <c r="L841" s="110"/>
    </row>
    <row r="842" spans="1:12" ht="18" customHeight="1" x14ac:dyDescent="0.2">
      <c r="A842" s="91">
        <v>47000</v>
      </c>
      <c r="B842" s="93" t="s">
        <v>420</v>
      </c>
      <c r="C842" s="36">
        <f t="shared" si="33"/>
        <v>2.4900906901899713</v>
      </c>
      <c r="D842" s="93" t="s">
        <v>125</v>
      </c>
      <c r="E842" s="93" t="s">
        <v>421</v>
      </c>
      <c r="F842" s="93" t="s">
        <v>21</v>
      </c>
      <c r="G842" s="29" t="s">
        <v>422</v>
      </c>
      <c r="H842" s="110" t="s">
        <v>423</v>
      </c>
      <c r="I842" s="110"/>
      <c r="J842" s="110"/>
      <c r="K842" s="110"/>
      <c r="L842" s="110"/>
    </row>
    <row r="843" spans="1:12" ht="18" customHeight="1" x14ac:dyDescent="0.2">
      <c r="A843" s="91">
        <v>48000</v>
      </c>
      <c r="B843" s="93" t="s">
        <v>420</v>
      </c>
      <c r="C843" s="36">
        <f t="shared" si="33"/>
        <v>2.4882997080601186</v>
      </c>
      <c r="D843" s="93" t="s">
        <v>125</v>
      </c>
      <c r="E843" s="93" t="s">
        <v>421</v>
      </c>
      <c r="F843" s="93" t="s">
        <v>21</v>
      </c>
      <c r="G843" s="29" t="s">
        <v>422</v>
      </c>
      <c r="H843" s="110" t="s">
        <v>423</v>
      </c>
      <c r="I843" s="110"/>
      <c r="J843" s="110"/>
      <c r="K843" s="110"/>
      <c r="L843" s="110"/>
    </row>
    <row r="844" spans="1:12" ht="18" customHeight="1" x14ac:dyDescent="0.2">
      <c r="A844" s="91">
        <v>49000</v>
      </c>
      <c r="B844" s="93" t="s">
        <v>420</v>
      </c>
      <c r="C844" s="36">
        <f t="shared" si="33"/>
        <v>2.4865842462912195</v>
      </c>
      <c r="D844" s="93" t="s">
        <v>125</v>
      </c>
      <c r="E844" s="93" t="s">
        <v>421</v>
      </c>
      <c r="F844" s="93" t="s">
        <v>21</v>
      </c>
      <c r="G844" s="29" t="s">
        <v>422</v>
      </c>
      <c r="H844" s="110" t="s">
        <v>423</v>
      </c>
      <c r="I844" s="110"/>
      <c r="J844" s="110"/>
      <c r="K844" s="110"/>
      <c r="L844" s="110"/>
    </row>
    <row r="845" spans="1:12" ht="18" customHeight="1" x14ac:dyDescent="0.2">
      <c r="A845" s="93" t="s">
        <v>425</v>
      </c>
      <c r="B845" s="93" t="s">
        <v>426</v>
      </c>
      <c r="C845" s="36">
        <f>C836</f>
        <v>2.5029310675647602</v>
      </c>
      <c r="D845" s="93" t="s">
        <v>125</v>
      </c>
      <c r="E845" s="93" t="s">
        <v>421</v>
      </c>
      <c r="F845" s="93" t="s">
        <v>21</v>
      </c>
      <c r="G845" s="29" t="s">
        <v>427</v>
      </c>
      <c r="H845" s="110" t="s">
        <v>428</v>
      </c>
      <c r="I845" s="110"/>
      <c r="J845" s="110"/>
      <c r="K845" s="110"/>
      <c r="L845" s="110"/>
    </row>
    <row r="846" spans="1:12" ht="18" customHeight="1" x14ac:dyDescent="0.2">
      <c r="A846" s="91">
        <v>42000</v>
      </c>
      <c r="B846" s="93" t="s">
        <v>426</v>
      </c>
      <c r="C846" s="36">
        <f t="shared" ref="C846:C853" si="34">C837</f>
        <v>2.5005128431706471</v>
      </c>
      <c r="D846" s="93" t="s">
        <v>125</v>
      </c>
      <c r="E846" s="93" t="s">
        <v>421</v>
      </c>
      <c r="F846" s="93" t="s">
        <v>21</v>
      </c>
      <c r="G846" s="29" t="s">
        <v>427</v>
      </c>
      <c r="H846" s="110" t="s">
        <v>428</v>
      </c>
      <c r="I846" s="110"/>
      <c r="J846" s="110"/>
      <c r="K846" s="110"/>
      <c r="L846" s="110"/>
    </row>
    <row r="847" spans="1:12" ht="18" customHeight="1" x14ac:dyDescent="0.2">
      <c r="A847" s="91">
        <v>43000</v>
      </c>
      <c r="B847" s="93" t="s">
        <v>426</v>
      </c>
      <c r="C847" s="36">
        <f t="shared" si="34"/>
        <v>2.498218933775521</v>
      </c>
      <c r="D847" s="93" t="s">
        <v>125</v>
      </c>
      <c r="E847" s="93" t="s">
        <v>421</v>
      </c>
      <c r="F847" s="93" t="s">
        <v>21</v>
      </c>
      <c r="G847" s="29" t="s">
        <v>427</v>
      </c>
      <c r="H847" s="110" t="s">
        <v>428</v>
      </c>
      <c r="I847" s="110"/>
      <c r="J847" s="110"/>
      <c r="K847" s="110"/>
      <c r="L847" s="110"/>
    </row>
    <row r="848" spans="1:12" ht="18" customHeight="1" x14ac:dyDescent="0.2">
      <c r="A848" s="91">
        <v>44000</v>
      </c>
      <c r="B848" s="93" t="s">
        <v>426</v>
      </c>
      <c r="C848" s="36">
        <f t="shared" si="34"/>
        <v>2.4960302922632369</v>
      </c>
      <c r="D848" s="93" t="s">
        <v>125</v>
      </c>
      <c r="E848" s="93" t="s">
        <v>421</v>
      </c>
      <c r="F848" s="93" t="s">
        <v>21</v>
      </c>
      <c r="G848" s="29" t="s">
        <v>427</v>
      </c>
      <c r="H848" s="110" t="s">
        <v>428</v>
      </c>
      <c r="I848" s="110"/>
      <c r="J848" s="110"/>
      <c r="K848" s="110"/>
      <c r="L848" s="110"/>
    </row>
    <row r="849" spans="1:12" ht="18" customHeight="1" x14ac:dyDescent="0.2">
      <c r="A849" s="91">
        <v>45000</v>
      </c>
      <c r="B849" s="93" t="s">
        <v>426</v>
      </c>
      <c r="C849" s="36">
        <f t="shared" si="34"/>
        <v>2.4939555491701992</v>
      </c>
      <c r="D849" s="93" t="s">
        <v>125</v>
      </c>
      <c r="E849" s="93" t="s">
        <v>421</v>
      </c>
      <c r="F849" s="93" t="s">
        <v>21</v>
      </c>
      <c r="G849" s="29" t="s">
        <v>427</v>
      </c>
      <c r="H849" s="110" t="s">
        <v>428</v>
      </c>
      <c r="I849" s="110"/>
      <c r="J849" s="110"/>
      <c r="K849" s="110"/>
      <c r="L849" s="110"/>
    </row>
    <row r="850" spans="1:12" ht="18" customHeight="1" x14ac:dyDescent="0.2">
      <c r="A850" s="91">
        <v>46000</v>
      </c>
      <c r="B850" s="93" t="s">
        <v>426</v>
      </c>
      <c r="C850" s="36">
        <f t="shared" si="34"/>
        <v>2.4919758298862269</v>
      </c>
      <c r="D850" s="93" t="s">
        <v>125</v>
      </c>
      <c r="E850" s="93" t="s">
        <v>421</v>
      </c>
      <c r="F850" s="93" t="s">
        <v>21</v>
      </c>
      <c r="G850" s="29" t="s">
        <v>427</v>
      </c>
      <c r="H850" s="110" t="s">
        <v>428</v>
      </c>
      <c r="I850" s="110"/>
      <c r="J850" s="110"/>
      <c r="K850" s="110"/>
      <c r="L850" s="110"/>
    </row>
    <row r="851" spans="1:12" ht="18" customHeight="1" x14ac:dyDescent="0.2">
      <c r="A851" s="91">
        <v>47000</v>
      </c>
      <c r="B851" s="93" t="s">
        <v>426</v>
      </c>
      <c r="C851" s="36">
        <f t="shared" si="34"/>
        <v>2.4900906901899713</v>
      </c>
      <c r="D851" s="93" t="s">
        <v>125</v>
      </c>
      <c r="E851" s="93" t="s">
        <v>421</v>
      </c>
      <c r="F851" s="93" t="s">
        <v>21</v>
      </c>
      <c r="G851" s="29" t="s">
        <v>427</v>
      </c>
      <c r="H851" s="110" t="s">
        <v>428</v>
      </c>
      <c r="I851" s="110"/>
      <c r="J851" s="110"/>
      <c r="K851" s="110"/>
      <c r="L851" s="110"/>
    </row>
    <row r="852" spans="1:12" ht="18" customHeight="1" x14ac:dyDescent="0.2">
      <c r="A852" s="91">
        <v>48000</v>
      </c>
      <c r="B852" s="93" t="s">
        <v>426</v>
      </c>
      <c r="C852" s="36">
        <f t="shared" si="34"/>
        <v>2.4882997080601186</v>
      </c>
      <c r="D852" s="93" t="s">
        <v>125</v>
      </c>
      <c r="E852" s="93" t="s">
        <v>421</v>
      </c>
      <c r="F852" s="93" t="s">
        <v>21</v>
      </c>
      <c r="G852" s="29" t="s">
        <v>427</v>
      </c>
      <c r="H852" s="110" t="s">
        <v>428</v>
      </c>
      <c r="I852" s="110"/>
      <c r="J852" s="110"/>
      <c r="K852" s="110"/>
      <c r="L852" s="110"/>
    </row>
    <row r="853" spans="1:12" ht="18" customHeight="1" x14ac:dyDescent="0.2">
      <c r="A853" s="91">
        <v>49000</v>
      </c>
      <c r="B853" s="93" t="s">
        <v>426</v>
      </c>
      <c r="C853" s="36">
        <f t="shared" si="34"/>
        <v>2.4865842462912195</v>
      </c>
      <c r="D853" s="93" t="s">
        <v>125</v>
      </c>
      <c r="E853" s="93" t="s">
        <v>421</v>
      </c>
      <c r="F853" s="93" t="s">
        <v>21</v>
      </c>
      <c r="G853" s="29" t="s">
        <v>427</v>
      </c>
      <c r="H853" s="110" t="s">
        <v>428</v>
      </c>
      <c r="I853" s="110"/>
      <c r="J853" s="110"/>
      <c r="K853" s="110"/>
      <c r="L853" s="110"/>
    </row>
    <row r="854" spans="1:12" ht="18" customHeight="1" x14ac:dyDescent="0.2">
      <c r="A854" s="96" t="s">
        <v>429</v>
      </c>
      <c r="B854" s="93" t="s">
        <v>430</v>
      </c>
      <c r="C854" s="36">
        <f>$C$7/C818</f>
        <v>0.57980609903750358</v>
      </c>
      <c r="D854" s="93" t="s">
        <v>125</v>
      </c>
      <c r="E854" s="93" t="s">
        <v>431</v>
      </c>
      <c r="F854" s="93" t="s">
        <v>21</v>
      </c>
      <c r="G854" s="29" t="s">
        <v>432</v>
      </c>
      <c r="H854" s="110" t="s">
        <v>433</v>
      </c>
      <c r="I854" s="110"/>
      <c r="J854" s="110"/>
      <c r="K854" s="110"/>
      <c r="L854" s="110"/>
    </row>
    <row r="855" spans="1:12" ht="18" customHeight="1" x14ac:dyDescent="0.2">
      <c r="A855" s="91">
        <v>42000</v>
      </c>
      <c r="B855" s="93" t="s">
        <v>430</v>
      </c>
      <c r="C855" s="36">
        <f t="shared" ref="C855:C862" si="35">$C$7/C819</f>
        <v>0.55213579923180234</v>
      </c>
      <c r="D855" s="93" t="s">
        <v>125</v>
      </c>
      <c r="E855" s="93" t="s">
        <v>431</v>
      </c>
      <c r="F855" s="93" t="s">
        <v>21</v>
      </c>
      <c r="G855" s="29" t="s">
        <v>432</v>
      </c>
      <c r="H855" s="110" t="s">
        <v>433</v>
      </c>
      <c r="I855" s="110"/>
      <c r="J855" s="110"/>
      <c r="K855" s="110"/>
      <c r="L855" s="110"/>
    </row>
    <row r="856" spans="1:12" ht="18" customHeight="1" x14ac:dyDescent="0.2">
      <c r="A856" s="91">
        <v>43000</v>
      </c>
      <c r="B856" s="93" t="s">
        <v>430</v>
      </c>
      <c r="C856" s="36">
        <f t="shared" si="35"/>
        <v>0.52588796183309239</v>
      </c>
      <c r="D856" s="93" t="s">
        <v>125</v>
      </c>
      <c r="E856" s="93" t="s">
        <v>431</v>
      </c>
      <c r="F856" s="93" t="s">
        <v>21</v>
      </c>
      <c r="G856" s="29" t="s">
        <v>432</v>
      </c>
      <c r="H856" s="110" t="s">
        <v>433</v>
      </c>
      <c r="I856" s="110"/>
      <c r="J856" s="110"/>
      <c r="K856" s="110"/>
      <c r="L856" s="110"/>
    </row>
    <row r="857" spans="1:12" ht="18" customHeight="1" x14ac:dyDescent="0.2">
      <c r="A857" s="91">
        <v>44000</v>
      </c>
      <c r="B857" s="93" t="s">
        <v>430</v>
      </c>
      <c r="C857" s="36">
        <f t="shared" si="35"/>
        <v>0.5008446420487277</v>
      </c>
      <c r="D857" s="93" t="s">
        <v>125</v>
      </c>
      <c r="E857" s="93" t="s">
        <v>431</v>
      </c>
      <c r="F857" s="93" t="s">
        <v>21</v>
      </c>
      <c r="G857" s="29" t="s">
        <v>432</v>
      </c>
      <c r="H857" s="110" t="s">
        <v>433</v>
      </c>
      <c r="I857" s="110"/>
      <c r="J857" s="110"/>
      <c r="K857" s="110"/>
      <c r="L857" s="110"/>
    </row>
    <row r="858" spans="1:12" ht="18" customHeight="1" x14ac:dyDescent="0.2">
      <c r="A858" s="91">
        <v>45000</v>
      </c>
      <c r="B858" s="93" t="s">
        <v>430</v>
      </c>
      <c r="C858" s="36">
        <f t="shared" si="35"/>
        <v>0.47710459396058486</v>
      </c>
      <c r="D858" s="93" t="s">
        <v>125</v>
      </c>
      <c r="E858" s="93" t="s">
        <v>431</v>
      </c>
      <c r="F858" s="93" t="s">
        <v>21</v>
      </c>
      <c r="G858" s="29" t="s">
        <v>432</v>
      </c>
      <c r="H858" s="110" t="s">
        <v>433</v>
      </c>
      <c r="I858" s="110"/>
      <c r="J858" s="110"/>
      <c r="K858" s="110"/>
      <c r="L858" s="110"/>
    </row>
    <row r="859" spans="1:12" ht="18" customHeight="1" x14ac:dyDescent="0.2">
      <c r="A859" s="91">
        <v>46000</v>
      </c>
      <c r="B859" s="93" t="s">
        <v>430</v>
      </c>
      <c r="C859" s="36">
        <f t="shared" si="35"/>
        <v>0.45445184665888599</v>
      </c>
      <c r="D859" s="93" t="s">
        <v>125</v>
      </c>
      <c r="E859" s="93" t="s">
        <v>431</v>
      </c>
      <c r="F859" s="93" t="s">
        <v>21</v>
      </c>
      <c r="G859" s="29" t="s">
        <v>432</v>
      </c>
      <c r="H859" s="110" t="s">
        <v>433</v>
      </c>
      <c r="I859" s="110"/>
      <c r="J859" s="110"/>
      <c r="K859" s="110"/>
      <c r="L859" s="110"/>
    </row>
    <row r="860" spans="1:12" ht="18" customHeight="1" x14ac:dyDescent="0.2">
      <c r="A860" s="91">
        <v>47000</v>
      </c>
      <c r="B860" s="93" t="s">
        <v>430</v>
      </c>
      <c r="C860" s="36">
        <f t="shared" si="35"/>
        <v>0.43288131718360812</v>
      </c>
      <c r="D860" s="93" t="s">
        <v>125</v>
      </c>
      <c r="E860" s="93" t="s">
        <v>431</v>
      </c>
      <c r="F860" s="93" t="s">
        <v>21</v>
      </c>
      <c r="G860" s="29" t="s">
        <v>432</v>
      </c>
      <c r="H860" s="110" t="s">
        <v>433</v>
      </c>
      <c r="I860" s="110"/>
      <c r="J860" s="110"/>
      <c r="K860" s="110"/>
      <c r="L860" s="110"/>
    </row>
    <row r="861" spans="1:12" ht="18" customHeight="1" x14ac:dyDescent="0.2">
      <c r="A861" s="91">
        <v>48000</v>
      </c>
      <c r="B861" s="93" t="s">
        <v>430</v>
      </c>
      <c r="C861" s="36">
        <f t="shared" si="35"/>
        <v>0.41238817659652488</v>
      </c>
      <c r="D861" s="93" t="s">
        <v>125</v>
      </c>
      <c r="E861" s="93" t="s">
        <v>431</v>
      </c>
      <c r="F861" s="93" t="s">
        <v>21</v>
      </c>
      <c r="G861" s="29" t="s">
        <v>432</v>
      </c>
      <c r="H861" s="110" t="s">
        <v>433</v>
      </c>
      <c r="I861" s="110"/>
      <c r="J861" s="110"/>
      <c r="K861" s="110"/>
      <c r="L861" s="110"/>
    </row>
    <row r="862" spans="1:12" ht="18" customHeight="1" x14ac:dyDescent="0.2">
      <c r="A862" s="91">
        <v>49000</v>
      </c>
      <c r="B862" s="93" t="s">
        <v>430</v>
      </c>
      <c r="C862" s="36">
        <f t="shared" si="35"/>
        <v>0.39275917046862924</v>
      </c>
      <c r="D862" s="93" t="s">
        <v>125</v>
      </c>
      <c r="E862" s="93" t="s">
        <v>431</v>
      </c>
      <c r="F862" s="93" t="s">
        <v>21</v>
      </c>
      <c r="G862" s="29" t="s">
        <v>432</v>
      </c>
      <c r="H862" s="110" t="s">
        <v>433</v>
      </c>
      <c r="I862" s="110"/>
      <c r="J862" s="110"/>
      <c r="K862" s="110"/>
      <c r="L862" s="110"/>
    </row>
    <row r="863" spans="1:12" ht="18" customHeight="1" x14ac:dyDescent="0.2">
      <c r="A863" s="93" t="s">
        <v>434</v>
      </c>
      <c r="B863" s="93" t="s">
        <v>435</v>
      </c>
      <c r="C863" s="36">
        <f>2*'Stability Constants Subsonic'!$C$13*('Stability Constants Subsonic'!$C$4-'Stability Constants Subsonic'!$C$3)*'Stability Constants Subsonic'!$C$14*'Supersonic Stability'!C818</f>
        <v>61841.547343851358</v>
      </c>
      <c r="D863" s="93" t="s">
        <v>125</v>
      </c>
      <c r="E863" s="93" t="s">
        <v>224</v>
      </c>
      <c r="F863" s="93" t="s">
        <v>21</v>
      </c>
      <c r="G863" s="29" t="s">
        <v>437</v>
      </c>
      <c r="H863" s="110" t="s">
        <v>438</v>
      </c>
      <c r="I863" s="110"/>
      <c r="J863" s="110"/>
      <c r="K863" s="110"/>
      <c r="L863" s="110"/>
    </row>
    <row r="864" spans="1:12" ht="18" customHeight="1" x14ac:dyDescent="0.2">
      <c r="A864" s="91">
        <v>42000</v>
      </c>
      <c r="B864" s="93" t="s">
        <v>435</v>
      </c>
      <c r="C864" s="36">
        <f>2*'Stability Constants Subsonic'!$C$13*('Stability Constants Subsonic'!$C$4-'Stability Constants Subsonic'!$C$3)*'Stability Constants Subsonic'!$C$14*'Supersonic Stability'!C819</f>
        <v>64940.738082495052</v>
      </c>
      <c r="D864" s="93" t="s">
        <v>125</v>
      </c>
      <c r="E864" s="93" t="s">
        <v>224</v>
      </c>
      <c r="F864" s="93" t="s">
        <v>21</v>
      </c>
      <c r="G864" s="29" t="s">
        <v>437</v>
      </c>
      <c r="H864" s="110" t="s">
        <v>438</v>
      </c>
      <c r="I864" s="110"/>
      <c r="J864" s="110"/>
      <c r="K864" s="110"/>
      <c r="L864" s="110"/>
    </row>
    <row r="865" spans="1:12" ht="18" customHeight="1" x14ac:dyDescent="0.2">
      <c r="A865" s="91">
        <v>43000</v>
      </c>
      <c r="B865" s="93" t="s">
        <v>435</v>
      </c>
      <c r="C865" s="36">
        <f>2*'Stability Constants Subsonic'!$C$13*('Stability Constants Subsonic'!$C$4-'Stability Constants Subsonic'!$C$3)*'Stability Constants Subsonic'!$C$14*'Supersonic Stability'!C820</f>
        <v>68182.02530991126</v>
      </c>
      <c r="D865" s="93" t="s">
        <v>125</v>
      </c>
      <c r="E865" s="93" t="s">
        <v>224</v>
      </c>
      <c r="F865" s="93" t="s">
        <v>21</v>
      </c>
      <c r="G865" s="29" t="s">
        <v>437</v>
      </c>
      <c r="H865" s="110" t="s">
        <v>438</v>
      </c>
      <c r="I865" s="110"/>
      <c r="J865" s="110"/>
      <c r="K865" s="110"/>
      <c r="L865" s="110"/>
    </row>
    <row r="866" spans="1:12" ht="18" customHeight="1" x14ac:dyDescent="0.2">
      <c r="A866" s="91">
        <v>44000</v>
      </c>
      <c r="B866" s="93" t="s">
        <v>435</v>
      </c>
      <c r="C866" s="36">
        <f>2*'Stability Constants Subsonic'!$C$13*('Stability Constants Subsonic'!$C$4-'Stability Constants Subsonic'!$C$3)*'Stability Constants Subsonic'!$C$14*'Supersonic Stability'!C821</f>
        <v>71591.274645987069</v>
      </c>
      <c r="D866" s="93" t="s">
        <v>125</v>
      </c>
      <c r="E866" s="93" t="s">
        <v>224</v>
      </c>
      <c r="F866" s="93" t="s">
        <v>21</v>
      </c>
      <c r="G866" s="29" t="s">
        <v>437</v>
      </c>
      <c r="H866" s="110" t="s">
        <v>438</v>
      </c>
      <c r="I866" s="110"/>
      <c r="J866" s="110"/>
      <c r="K866" s="110"/>
      <c r="L866" s="110"/>
    </row>
    <row r="867" spans="1:12" ht="18" customHeight="1" x14ac:dyDescent="0.2">
      <c r="A867" s="91">
        <v>45000</v>
      </c>
      <c r="B867" s="93" t="s">
        <v>435</v>
      </c>
      <c r="C867" s="36">
        <f>2*'Stability Constants Subsonic'!$C$13*('Stability Constants Subsonic'!$C$4-'Stability Constants Subsonic'!$C$3)*'Stability Constants Subsonic'!$C$14*'Supersonic Stability'!C822</f>
        <v>75153.554959992136</v>
      </c>
      <c r="D867" s="93" t="s">
        <v>125</v>
      </c>
      <c r="E867" s="93" t="s">
        <v>224</v>
      </c>
      <c r="F867" s="93" t="s">
        <v>21</v>
      </c>
      <c r="G867" s="29" t="s">
        <v>437</v>
      </c>
      <c r="H867" s="110" t="s">
        <v>438</v>
      </c>
      <c r="I867" s="110"/>
      <c r="J867" s="110"/>
      <c r="K867" s="110"/>
      <c r="L867" s="110"/>
    </row>
    <row r="868" spans="1:12" ht="18" customHeight="1" x14ac:dyDescent="0.2">
      <c r="A868" s="91">
        <v>46000</v>
      </c>
      <c r="B868" s="93" t="s">
        <v>435</v>
      </c>
      <c r="C868" s="36">
        <f>2*'Stability Constants Subsonic'!$C$13*('Stability Constants Subsonic'!$C$4-'Stability Constants Subsonic'!$C$3)*'Stability Constants Subsonic'!$C$14*'Supersonic Stability'!C823</f>
        <v>78899.68230406451</v>
      </c>
      <c r="D868" s="93" t="s">
        <v>125</v>
      </c>
      <c r="E868" s="93" t="s">
        <v>224</v>
      </c>
      <c r="F868" s="93" t="s">
        <v>21</v>
      </c>
      <c r="G868" s="29" t="s">
        <v>437</v>
      </c>
      <c r="H868" s="110" t="s">
        <v>438</v>
      </c>
      <c r="I868" s="110"/>
      <c r="J868" s="110"/>
      <c r="K868" s="110"/>
      <c r="L868" s="110"/>
    </row>
    <row r="869" spans="1:12" ht="18" customHeight="1" x14ac:dyDescent="0.2">
      <c r="A869" s="91">
        <v>47000</v>
      </c>
      <c r="B869" s="93" t="s">
        <v>435</v>
      </c>
      <c r="C869" s="36">
        <f>2*'Stability Constants Subsonic'!$C$13*('Stability Constants Subsonic'!$C$4-'Stability Constants Subsonic'!$C$3)*'Stability Constants Subsonic'!$C$14*'Supersonic Stability'!C824</f>
        <v>82831.263213591301</v>
      </c>
      <c r="D869" s="93" t="s">
        <v>125</v>
      </c>
      <c r="E869" s="93" t="s">
        <v>224</v>
      </c>
      <c r="F869" s="93" t="s">
        <v>21</v>
      </c>
      <c r="G869" s="29" t="s">
        <v>437</v>
      </c>
      <c r="H869" s="110" t="s">
        <v>438</v>
      </c>
      <c r="I869" s="110"/>
      <c r="J869" s="110"/>
      <c r="K869" s="110"/>
      <c r="L869" s="110"/>
    </row>
    <row r="870" spans="1:12" ht="18" customHeight="1" x14ac:dyDescent="0.2">
      <c r="A870" s="91">
        <v>48000</v>
      </c>
      <c r="B870" s="93" t="s">
        <v>435</v>
      </c>
      <c r="C870" s="36">
        <f>2*'Stability Constants Subsonic'!$C$13*('Stability Constants Subsonic'!$C$4-'Stability Constants Subsonic'!$C$3)*'Stability Constants Subsonic'!$C$14*'Supersonic Stability'!C825</f>
        <v>86947.464449163119</v>
      </c>
      <c r="D870" s="93" t="s">
        <v>125</v>
      </c>
      <c r="E870" s="93" t="s">
        <v>224</v>
      </c>
      <c r="F870" s="93" t="s">
        <v>21</v>
      </c>
      <c r="G870" s="29" t="s">
        <v>437</v>
      </c>
      <c r="H870" s="110" t="s">
        <v>438</v>
      </c>
      <c r="I870" s="110"/>
      <c r="J870" s="110"/>
      <c r="K870" s="110"/>
      <c r="L870" s="110"/>
    </row>
    <row r="871" spans="1:12" ht="18" customHeight="1" x14ac:dyDescent="0.2">
      <c r="A871" s="91">
        <v>49000</v>
      </c>
      <c r="B871" s="93" t="s">
        <v>435</v>
      </c>
      <c r="C871" s="36">
        <f>2*'Stability Constants Subsonic'!$C$13*('Stability Constants Subsonic'!$C$4-'Stability Constants Subsonic'!$C$3)*'Stability Constants Subsonic'!$C$14*'Supersonic Stability'!C826</f>
        <v>91292.855825871724</v>
      </c>
      <c r="D871" s="93" t="s">
        <v>125</v>
      </c>
      <c r="E871" s="93" t="s">
        <v>224</v>
      </c>
      <c r="F871" s="93" t="s">
        <v>21</v>
      </c>
      <c r="G871" s="29" t="s">
        <v>437</v>
      </c>
      <c r="H871" s="110" t="s">
        <v>438</v>
      </c>
      <c r="I871" s="110"/>
      <c r="J871" s="110"/>
      <c r="K871" s="110"/>
      <c r="L871" s="110"/>
    </row>
    <row r="872" spans="1:12" ht="18" customHeight="1" x14ac:dyDescent="0.2">
      <c r="A872" s="93" t="s">
        <v>439</v>
      </c>
      <c r="B872" s="93" t="s">
        <v>440</v>
      </c>
      <c r="C872" s="36">
        <f>2*'Stability Constants Subsonic'!$C$13*('Stability Constants Subsonic'!$C$6-'Stability Constants Subsonic'!$C$5)*'Stability Constants Subsonic'!$C$15*'Supersonic Stability'!C818</f>
        <v>38687.084828681975</v>
      </c>
      <c r="D872" s="93" t="s">
        <v>125</v>
      </c>
      <c r="E872" s="93" t="s">
        <v>224</v>
      </c>
      <c r="F872" s="93" t="s">
        <v>21</v>
      </c>
      <c r="G872" s="29" t="s">
        <v>442</v>
      </c>
      <c r="H872" s="110" t="s">
        <v>438</v>
      </c>
      <c r="I872" s="110"/>
      <c r="J872" s="110"/>
      <c r="K872" s="110"/>
      <c r="L872" s="110"/>
    </row>
    <row r="873" spans="1:12" ht="18" customHeight="1" x14ac:dyDescent="0.2">
      <c r="A873" s="91">
        <v>42000</v>
      </c>
      <c r="B873" s="93" t="s">
        <v>440</v>
      </c>
      <c r="C873" s="36">
        <f>2*'Stability Constants Subsonic'!$C$13*('Stability Constants Subsonic'!$C$6-'Stability Constants Subsonic'!$C$5)*'Stability Constants Subsonic'!$C$15*'Supersonic Stability'!C819</f>
        <v>40625.889081743655</v>
      </c>
      <c r="D873" s="93" t="s">
        <v>125</v>
      </c>
      <c r="E873" s="93" t="s">
        <v>224</v>
      </c>
      <c r="F873" s="93" t="s">
        <v>21</v>
      </c>
      <c r="G873" s="29" t="s">
        <v>442</v>
      </c>
      <c r="H873" s="110" t="s">
        <v>438</v>
      </c>
      <c r="I873" s="110"/>
      <c r="J873" s="110"/>
      <c r="K873" s="110"/>
      <c r="L873" s="110"/>
    </row>
    <row r="874" spans="1:12" ht="18" customHeight="1" x14ac:dyDescent="0.2">
      <c r="A874" s="91">
        <v>43000</v>
      </c>
      <c r="B874" s="93" t="s">
        <v>440</v>
      </c>
      <c r="C874" s="36">
        <f>2*'Stability Constants Subsonic'!$C$13*('Stability Constants Subsonic'!$C$6-'Stability Constants Subsonic'!$C$5)*'Stability Constants Subsonic'!$C$15*'Supersonic Stability'!C820</f>
        <v>42653.586629865269</v>
      </c>
      <c r="D874" s="93" t="s">
        <v>125</v>
      </c>
      <c r="E874" s="93" t="s">
        <v>224</v>
      </c>
      <c r="F874" s="93" t="s">
        <v>21</v>
      </c>
      <c r="G874" s="29" t="s">
        <v>442</v>
      </c>
      <c r="H874" s="110" t="s">
        <v>438</v>
      </c>
      <c r="I874" s="110"/>
      <c r="J874" s="110"/>
      <c r="K874" s="110"/>
      <c r="L874" s="110"/>
    </row>
    <row r="875" spans="1:12" ht="18" customHeight="1" x14ac:dyDescent="0.2">
      <c r="A875" s="91">
        <v>44000</v>
      </c>
      <c r="B875" s="93" t="s">
        <v>440</v>
      </c>
      <c r="C875" s="36">
        <f>2*'Stability Constants Subsonic'!$C$13*('Stability Constants Subsonic'!$C$6-'Stability Constants Subsonic'!$C$5)*'Stability Constants Subsonic'!$C$15*'Supersonic Stability'!C821</f>
        <v>44786.358591949851</v>
      </c>
      <c r="D875" s="93" t="s">
        <v>125</v>
      </c>
      <c r="E875" s="93" t="s">
        <v>224</v>
      </c>
      <c r="F875" s="93" t="s">
        <v>21</v>
      </c>
      <c r="G875" s="29" t="s">
        <v>442</v>
      </c>
      <c r="H875" s="110" t="s">
        <v>438</v>
      </c>
      <c r="I875" s="110"/>
      <c r="J875" s="110"/>
      <c r="K875" s="110"/>
      <c r="L875" s="110"/>
    </row>
    <row r="876" spans="1:12" ht="18" customHeight="1" x14ac:dyDescent="0.2">
      <c r="A876" s="91">
        <v>45000</v>
      </c>
      <c r="B876" s="93" t="s">
        <v>440</v>
      </c>
      <c r="C876" s="36">
        <f>2*'Stability Constants Subsonic'!$C$13*('Stability Constants Subsonic'!$C$6-'Stability Constants Subsonic'!$C$5)*'Stability Constants Subsonic'!$C$15*'Supersonic Stability'!C822</f>
        <v>47014.86429096129</v>
      </c>
      <c r="D876" s="93" t="s">
        <v>125</v>
      </c>
      <c r="E876" s="93" t="s">
        <v>224</v>
      </c>
      <c r="F876" s="93" t="s">
        <v>21</v>
      </c>
      <c r="G876" s="29" t="s">
        <v>442</v>
      </c>
      <c r="H876" s="110" t="s">
        <v>438</v>
      </c>
      <c r="I876" s="110"/>
      <c r="J876" s="110"/>
      <c r="K876" s="110"/>
      <c r="L876" s="110"/>
    </row>
    <row r="877" spans="1:12" ht="18" customHeight="1" x14ac:dyDescent="0.2">
      <c r="A877" s="91">
        <v>46000</v>
      </c>
      <c r="B877" s="93" t="s">
        <v>440</v>
      </c>
      <c r="C877" s="36">
        <f>2*'Stability Constants Subsonic'!$C$13*('Stability Constants Subsonic'!$C$6-'Stability Constants Subsonic'!$C$5)*'Stability Constants Subsonic'!$C$15*'Supersonic Stability'!C823</f>
        <v>49358.381757194002</v>
      </c>
      <c r="D877" s="93" t="s">
        <v>125</v>
      </c>
      <c r="E877" s="93" t="s">
        <v>224</v>
      </c>
      <c r="F877" s="93" t="s">
        <v>21</v>
      </c>
      <c r="G877" s="29" t="s">
        <v>442</v>
      </c>
      <c r="H877" s="110" t="s">
        <v>438</v>
      </c>
      <c r="I877" s="110"/>
      <c r="J877" s="110"/>
      <c r="K877" s="110"/>
      <c r="L877" s="110"/>
    </row>
    <row r="878" spans="1:12" ht="18" customHeight="1" x14ac:dyDescent="0.2">
      <c r="A878" s="91">
        <v>47000</v>
      </c>
      <c r="B878" s="93" t="s">
        <v>440</v>
      </c>
      <c r="C878" s="36">
        <f>2*'Stability Constants Subsonic'!$C$13*('Stability Constants Subsonic'!$C$6-'Stability Constants Subsonic'!$C$5)*'Stability Constants Subsonic'!$C$15*'Supersonic Stability'!C824</f>
        <v>51817.916013540715</v>
      </c>
      <c r="D878" s="93" t="s">
        <v>125</v>
      </c>
      <c r="E878" s="93" t="s">
        <v>224</v>
      </c>
      <c r="F878" s="93" t="s">
        <v>21</v>
      </c>
      <c r="G878" s="29" t="s">
        <v>442</v>
      </c>
      <c r="H878" s="110" t="s">
        <v>438</v>
      </c>
      <c r="I878" s="110"/>
      <c r="J878" s="110"/>
      <c r="K878" s="110"/>
      <c r="L878" s="110"/>
    </row>
    <row r="879" spans="1:12" ht="18" customHeight="1" x14ac:dyDescent="0.2">
      <c r="A879" s="91">
        <v>48000</v>
      </c>
      <c r="B879" s="93" t="s">
        <v>440</v>
      </c>
      <c r="C879" s="36">
        <f>2*'Stability Constants Subsonic'!$C$13*('Stability Constants Subsonic'!$C$6-'Stability Constants Subsonic'!$C$5)*'Stability Constants Subsonic'!$C$15*'Supersonic Stability'!C825</f>
        <v>54392.945798728084</v>
      </c>
      <c r="D879" s="93" t="s">
        <v>125</v>
      </c>
      <c r="E879" s="93" t="s">
        <v>224</v>
      </c>
      <c r="F879" s="93" t="s">
        <v>21</v>
      </c>
      <c r="G879" s="29" t="s">
        <v>442</v>
      </c>
      <c r="H879" s="110" t="s">
        <v>438</v>
      </c>
      <c r="I879" s="110"/>
      <c r="J879" s="110"/>
      <c r="K879" s="110"/>
      <c r="L879" s="110"/>
    </row>
    <row r="880" spans="1:12" ht="18" customHeight="1" x14ac:dyDescent="0.2">
      <c r="A880" s="91">
        <v>49000</v>
      </c>
      <c r="B880" s="93" t="s">
        <v>440</v>
      </c>
      <c r="C880" s="36">
        <f>2*'Stability Constants Subsonic'!$C$13*('Stability Constants Subsonic'!$C$6-'Stability Constants Subsonic'!$C$5)*'Stability Constants Subsonic'!$C$15*'Supersonic Stability'!C826</f>
        <v>57111.353277600196</v>
      </c>
      <c r="D880" s="93" t="s">
        <v>125</v>
      </c>
      <c r="E880" s="93" t="s">
        <v>224</v>
      </c>
      <c r="F880" s="93" t="s">
        <v>21</v>
      </c>
      <c r="G880" s="29" t="s">
        <v>442</v>
      </c>
      <c r="H880" s="110" t="s">
        <v>438</v>
      </c>
      <c r="I880" s="110"/>
      <c r="J880" s="110"/>
      <c r="K880" s="110"/>
      <c r="L880" s="110"/>
    </row>
    <row r="881" spans="1:12" ht="18" customHeight="1" x14ac:dyDescent="0.2">
      <c r="A881" s="131" t="s">
        <v>511</v>
      </c>
      <c r="B881" s="121"/>
      <c r="C881" s="121"/>
      <c r="D881" s="121"/>
      <c r="E881" s="121"/>
      <c r="F881" s="121"/>
      <c r="G881" s="121"/>
      <c r="H881" s="121"/>
      <c r="I881" s="121"/>
      <c r="J881" s="121"/>
      <c r="K881" s="121"/>
      <c r="L881" s="125"/>
    </row>
    <row r="882" spans="1:12" ht="18" customHeight="1" x14ac:dyDescent="0.2">
      <c r="A882" s="23" t="s">
        <v>5</v>
      </c>
      <c r="B882" s="23" t="s">
        <v>96</v>
      </c>
      <c r="C882" s="94" t="s">
        <v>7</v>
      </c>
      <c r="D882" s="94" t="s">
        <v>125</v>
      </c>
      <c r="E882" s="94" t="s">
        <v>8</v>
      </c>
      <c r="F882" s="94" t="s">
        <v>9</v>
      </c>
      <c r="G882" s="31" t="s">
        <v>459</v>
      </c>
      <c r="H882" s="122" t="s">
        <v>11</v>
      </c>
      <c r="I882" s="123"/>
      <c r="J882" s="123"/>
      <c r="K882" s="123"/>
      <c r="L882" s="124"/>
    </row>
    <row r="883" spans="1:12" ht="18" customHeight="1" x14ac:dyDescent="0.2">
      <c r="A883" s="93" t="s">
        <v>563</v>
      </c>
      <c r="B883" s="47" t="s">
        <v>446</v>
      </c>
      <c r="C883" s="48">
        <f>('Supersonic Stability'!C632 + 'Supersonic Stability'!C641* 'Stability Constants Supersonic'!$C$16*'Supersonic Stability'!$C$4/'Initial Estimates'!$C$5)*'Stability Constants Supersonic'!$C$24/'Initial Estimates'!$C$10 - 'Supersonic Stability'!C641*'Stability Constants Supersonic'!$C$16*'Supersonic Stability'!$C$4/'Initial Estimates'!$C$5*'Stability Constants Supersonic'!$C$26/'Initial Estimates'!$C$10+'Supersonic Stability'!$C$5+('Supersonic Stability'!C695+'Stability Constants Supersonic'!$C$11*'Supersonic Stability'!C704)/(CFD!D3*'Initial Estimates'!$C$5*'Initial Estimates'!$C$10)</f>
        <v>1.3782442158293575E-2</v>
      </c>
      <c r="D883" s="93" t="s">
        <v>125</v>
      </c>
      <c r="E883" s="93" t="s">
        <v>137</v>
      </c>
      <c r="F883" s="93" t="s">
        <v>21</v>
      </c>
      <c r="G883" s="29" t="s">
        <v>460</v>
      </c>
      <c r="H883" s="126" t="s">
        <v>438</v>
      </c>
      <c r="I883" s="126"/>
      <c r="J883" s="126"/>
      <c r="K883" s="126"/>
      <c r="L883" s="126"/>
    </row>
    <row r="884" spans="1:12" ht="18" customHeight="1" x14ac:dyDescent="0.2">
      <c r="A884" s="91">
        <v>42000</v>
      </c>
      <c r="B884" s="47" t="s">
        <v>446</v>
      </c>
      <c r="C884" s="48">
        <f>('Supersonic Stability'!C633 + 'Supersonic Stability'!C642* 'Stability Constants Supersonic'!$C$16*'Supersonic Stability'!$C$4/'Initial Estimates'!$C$5)*'Stability Constants Supersonic'!$C$24/'Initial Estimates'!$C$10 - 'Supersonic Stability'!C642*'Stability Constants Supersonic'!$C$16*'Supersonic Stability'!$C$4/'Initial Estimates'!$C$5*'Stability Constants Supersonic'!$C$26/'Initial Estimates'!$C$10+'Supersonic Stability'!$C$5+('Supersonic Stability'!C696+'Stability Constants Supersonic'!$C$11*'Supersonic Stability'!C705)/(CFD!D4*'Initial Estimates'!$C$5*'Initial Estimates'!$C$10)</f>
        <v>1.6189175087229737E-2</v>
      </c>
      <c r="D884" s="93"/>
      <c r="E884" s="93"/>
      <c r="F884" s="93"/>
      <c r="H884" s="93"/>
      <c r="I884" s="93"/>
      <c r="J884" s="93"/>
      <c r="K884" s="93"/>
      <c r="L884" s="93"/>
    </row>
    <row r="885" spans="1:12" ht="18" customHeight="1" x14ac:dyDescent="0.2">
      <c r="A885" s="91">
        <v>43000</v>
      </c>
      <c r="B885" s="47" t="s">
        <v>446</v>
      </c>
      <c r="C885" s="48">
        <f>('Supersonic Stability'!C634 + 'Supersonic Stability'!C643* 'Stability Constants Supersonic'!$C$16*'Supersonic Stability'!$C$4/'Initial Estimates'!$C$5)*'Stability Constants Supersonic'!$C$24/'Initial Estimates'!$C$10 - 'Supersonic Stability'!C643*'Stability Constants Supersonic'!$C$16*'Supersonic Stability'!$C$4/'Initial Estimates'!$C$5*'Stability Constants Supersonic'!$C$26/'Initial Estimates'!$C$10+'Supersonic Stability'!$C$5+('Supersonic Stability'!C697+'Stability Constants Supersonic'!$C$11*'Supersonic Stability'!C706)/(CFD!D5*'Initial Estimates'!$C$5*'Initial Estimates'!$C$10)</f>
        <v>1.8777142402703586E-2</v>
      </c>
      <c r="D885" s="93"/>
      <c r="E885" s="93"/>
      <c r="F885" s="93"/>
      <c r="H885" s="93"/>
      <c r="I885" s="93"/>
      <c r="J885" s="93"/>
      <c r="K885" s="93"/>
      <c r="L885" s="93"/>
    </row>
    <row r="886" spans="1:12" ht="18" customHeight="1" x14ac:dyDescent="0.2">
      <c r="A886" s="91">
        <v>44000</v>
      </c>
      <c r="B886" s="47" t="s">
        <v>446</v>
      </c>
      <c r="C886" s="48">
        <f>('Supersonic Stability'!C635 + 'Supersonic Stability'!C644* 'Stability Constants Supersonic'!$C$16*'Supersonic Stability'!$C$4/'Initial Estimates'!$C$5)*'Stability Constants Supersonic'!$C$24/'Initial Estimates'!$C$10 - 'Supersonic Stability'!C644*'Stability Constants Supersonic'!$C$16*'Supersonic Stability'!$C$4/'Initial Estimates'!$C$5*'Stability Constants Supersonic'!$C$26/'Initial Estimates'!$C$10+'Supersonic Stability'!$C$5+('Supersonic Stability'!C698+'Stability Constants Supersonic'!$C$11*'Supersonic Stability'!C707)/(CFD!D6*'Initial Estimates'!$C$5*'Initial Estimates'!$C$10)</f>
        <v>2.1577423263630272E-2</v>
      </c>
      <c r="D886" s="93"/>
      <c r="E886" s="93"/>
      <c r="F886" s="93"/>
      <c r="H886" s="93"/>
      <c r="I886" s="93"/>
      <c r="J886" s="93"/>
      <c r="K886" s="93"/>
      <c r="L886" s="93"/>
    </row>
    <row r="887" spans="1:12" ht="18" customHeight="1" x14ac:dyDescent="0.2">
      <c r="A887" s="91">
        <v>45000</v>
      </c>
      <c r="B887" s="47" t="s">
        <v>446</v>
      </c>
      <c r="C887" s="48">
        <f>('Supersonic Stability'!C636 + 'Supersonic Stability'!C645* 'Stability Constants Supersonic'!$C$16*'Supersonic Stability'!$C$4/'Initial Estimates'!$C$5)*'Stability Constants Supersonic'!$C$24/'Initial Estimates'!$C$10 - 'Supersonic Stability'!C645*'Stability Constants Supersonic'!$C$16*'Supersonic Stability'!$C$4/'Initial Estimates'!$C$5*'Stability Constants Supersonic'!$C$26/'Initial Estimates'!$C$10+'Supersonic Stability'!$C$5+('Supersonic Stability'!C699+'Stability Constants Supersonic'!$C$11*'Supersonic Stability'!C708)/(CFD!D7*'Initial Estimates'!$C$5*'Initial Estimates'!$C$10)</f>
        <v>2.458906108290777E-2</v>
      </c>
      <c r="D887" s="93"/>
      <c r="E887" s="93"/>
      <c r="F887" s="93"/>
      <c r="H887" s="93"/>
      <c r="I887" s="93"/>
      <c r="J887" s="93"/>
      <c r="K887" s="93"/>
      <c r="L887" s="93"/>
    </row>
    <row r="888" spans="1:12" ht="18" customHeight="1" x14ac:dyDescent="0.2">
      <c r="A888" s="91">
        <v>46000</v>
      </c>
      <c r="B888" s="47" t="s">
        <v>446</v>
      </c>
      <c r="C888" s="48">
        <f>('Supersonic Stability'!C637 + 'Supersonic Stability'!C646* 'Stability Constants Supersonic'!$C$16*'Supersonic Stability'!$C$4/'Initial Estimates'!$C$5)*'Stability Constants Supersonic'!$C$24/'Initial Estimates'!$C$10 - 'Supersonic Stability'!C646*'Stability Constants Supersonic'!$C$16*'Supersonic Stability'!$C$4/'Initial Estimates'!$C$5*'Stability Constants Supersonic'!$C$26/'Initial Estimates'!$C$10+'Supersonic Stability'!$C$5+('Supersonic Stability'!C700+'Stability Constants Supersonic'!$C$11*'Supersonic Stability'!C709)/(CFD!D8*'Initial Estimates'!$C$5*'Initial Estimates'!$C$10)</f>
        <v>2.7850562189935507E-2</v>
      </c>
      <c r="D888" s="93"/>
      <c r="E888" s="93"/>
      <c r="F888" s="93"/>
      <c r="H888" s="93"/>
      <c r="I888" s="93"/>
      <c r="J888" s="93"/>
      <c r="K888" s="93"/>
      <c r="L888" s="93"/>
    </row>
    <row r="889" spans="1:12" ht="18" customHeight="1" x14ac:dyDescent="0.2">
      <c r="A889" s="91">
        <v>47000</v>
      </c>
      <c r="B889" s="47" t="s">
        <v>446</v>
      </c>
      <c r="C889" s="48">
        <f>('Supersonic Stability'!C638 + 'Supersonic Stability'!C647* 'Stability Constants Supersonic'!$C$16*'Supersonic Stability'!$C$4/'Initial Estimates'!$C$5)*'Stability Constants Supersonic'!$C$24/'Initial Estimates'!$C$10 - 'Supersonic Stability'!C647*'Stability Constants Supersonic'!$C$16*'Supersonic Stability'!$C$4/'Initial Estimates'!$C$5*'Stability Constants Supersonic'!$C$26/'Initial Estimates'!$C$10+'Supersonic Stability'!$C$5+('Supersonic Stability'!C701+'Stability Constants Supersonic'!$C$11*'Supersonic Stability'!C710)/(CFD!D9*'Initial Estimates'!$C$5*'Initial Estimates'!$C$10)</f>
        <v>3.1377642931512309E-2</v>
      </c>
      <c r="D889" s="93"/>
      <c r="E889" s="93"/>
      <c r="F889" s="93"/>
      <c r="H889" s="93"/>
      <c r="I889" s="93"/>
      <c r="J889" s="93"/>
      <c r="K889" s="93"/>
      <c r="L889" s="93"/>
    </row>
    <row r="890" spans="1:12" ht="18" customHeight="1" x14ac:dyDescent="0.2">
      <c r="A890" s="91">
        <v>48000</v>
      </c>
      <c r="B890" s="47" t="s">
        <v>446</v>
      </c>
      <c r="C890" s="48">
        <f>('Supersonic Stability'!C639 + 'Supersonic Stability'!C648* 'Stability Constants Supersonic'!$C$16*'Supersonic Stability'!$C$4/'Initial Estimates'!$C$5)*'Stability Constants Supersonic'!$C$24/'Initial Estimates'!$C$10 - 'Supersonic Stability'!C648*'Stability Constants Supersonic'!$C$16*'Supersonic Stability'!$C$4/'Initial Estimates'!$C$5*'Stability Constants Supersonic'!$C$26/'Initial Estimates'!$C$10+'Supersonic Stability'!$C$5+('Supersonic Stability'!C702+'Stability Constants Supersonic'!$C$11*'Supersonic Stability'!C711)/(CFD!D10*'Initial Estimates'!$C$5*'Initial Estimates'!$C$10)</f>
        <v>3.5184610490029813E-2</v>
      </c>
      <c r="D890" s="93"/>
      <c r="E890" s="93"/>
      <c r="F890" s="93"/>
      <c r="H890" s="93"/>
      <c r="I890" s="93"/>
      <c r="J890" s="93"/>
      <c r="K890" s="93"/>
      <c r="L890" s="93"/>
    </row>
    <row r="891" spans="1:12" ht="18" customHeight="1" x14ac:dyDescent="0.2">
      <c r="A891" s="91">
        <v>49000</v>
      </c>
      <c r="B891" s="47" t="s">
        <v>446</v>
      </c>
      <c r="C891" s="48">
        <f>('Supersonic Stability'!C640 + 'Supersonic Stability'!C649* 'Stability Constants Supersonic'!$C$16*'Supersonic Stability'!$C$4/'Initial Estimates'!$C$5)*'Stability Constants Supersonic'!$C$24/'Initial Estimates'!$C$10 - 'Supersonic Stability'!C649*'Stability Constants Supersonic'!$C$16*'Supersonic Stability'!$C$4/'Initial Estimates'!$C$5*'Stability Constants Supersonic'!$C$26/'Initial Estimates'!$C$10+'Supersonic Stability'!$C$5+('Supersonic Stability'!C703+'Stability Constants Supersonic'!$C$11*'Supersonic Stability'!C712)/(CFD!D11*'Initial Estimates'!$C$5*'Initial Estimates'!$C$10)</f>
        <v>3.933037559066202E-2</v>
      </c>
      <c r="D891" s="93"/>
      <c r="E891" s="93"/>
      <c r="F891" s="93"/>
      <c r="H891" s="93"/>
      <c r="I891" s="93"/>
      <c r="J891" s="93"/>
      <c r="K891" s="93"/>
      <c r="L891" s="93"/>
    </row>
    <row r="892" spans="1:12" ht="18" customHeight="1" x14ac:dyDescent="0.2">
      <c r="A892" s="93" t="s">
        <v>506</v>
      </c>
      <c r="B892" s="47" t="s">
        <v>453</v>
      </c>
      <c r="C892" s="48">
        <f xml:space="preserve"> ( C668 + C677*(1 - C686)*'Stability Constants Supersonic'!$C$16*('Supersonic Stability'!$C$4/'Initial Estimates'!$C$5))*('Stability Constants Supersonic'!$C$24/'Initial Estimates'!$C$10) - C677*(1 -C686)*'Stability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0.85602545601769509</v>
      </c>
      <c r="D892" s="93" t="s">
        <v>125</v>
      </c>
      <c r="E892" s="93" t="s">
        <v>421</v>
      </c>
      <c r="F892" s="93" t="s">
        <v>21</v>
      </c>
      <c r="G892" s="29" t="s">
        <v>458</v>
      </c>
      <c r="H892" s="110" t="s">
        <v>438</v>
      </c>
      <c r="I892" s="110"/>
      <c r="J892" s="110"/>
      <c r="K892" s="110"/>
      <c r="L892" s="110"/>
    </row>
    <row r="893" spans="1:12" ht="18" customHeight="1" x14ac:dyDescent="0.2">
      <c r="A893" s="91">
        <v>42000</v>
      </c>
      <c r="B893" s="47" t="s">
        <v>453</v>
      </c>
      <c r="C893" s="48">
        <f xml:space="preserve"> ( C669 + C678*(1 - C687)*'Stability Constants Supersonic'!$C$16*('Supersonic Stability'!$C$4/'Initial Estimates'!$C$5))*('Stability Constants Supersonic'!$C$24/'Initial Estimates'!$C$10) - C678*(1 -C687)*'Stability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0.84184064412792292</v>
      </c>
      <c r="D893" s="93"/>
      <c r="E893" s="93"/>
      <c r="F893" s="93"/>
      <c r="H893" s="93"/>
      <c r="I893" s="93"/>
      <c r="J893" s="93"/>
      <c r="K893" s="93"/>
      <c r="L893" s="93"/>
    </row>
    <row r="894" spans="1:12" ht="18" customHeight="1" x14ac:dyDescent="0.2">
      <c r="A894" s="91">
        <v>43000</v>
      </c>
      <c r="B894" s="47" t="s">
        <v>453</v>
      </c>
      <c r="C894" s="48">
        <f xml:space="preserve"> ( C670 + C679*(1 - C688)*'Stability Constants Supersonic'!$C$16*('Supersonic Stability'!$C$4/'Initial Estimates'!$C$5))*('Stability Constants Supersonic'!$C$24/'Initial Estimates'!$C$10) - C679*(1 -C688)*'Stability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0.82834492814822203</v>
      </c>
      <c r="D894" s="93"/>
      <c r="E894" s="93"/>
      <c r="F894" s="93"/>
      <c r="H894" s="93"/>
      <c r="I894" s="93"/>
      <c r="J894" s="93"/>
      <c r="K894" s="93"/>
      <c r="L894" s="93"/>
    </row>
    <row r="895" spans="1:12" ht="18" customHeight="1" x14ac:dyDescent="0.2">
      <c r="A895" s="91">
        <v>44000</v>
      </c>
      <c r="B895" s="47" t="s">
        <v>453</v>
      </c>
      <c r="C895" s="48">
        <f xml:space="preserve"> ( C671 + C680*(1 - C689)*'Stability Constants Supersonic'!$C$16*('Supersonic Stability'!$C$4/'Initial Estimates'!$C$5))*('Stability Constants Supersonic'!$C$24/'Initial Estimates'!$C$10) - C680*(1 -C689)*'Stability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0.81543197377023036</v>
      </c>
      <c r="D895" s="93"/>
      <c r="E895" s="93"/>
      <c r="F895" s="93"/>
      <c r="H895" s="93"/>
      <c r="I895" s="93"/>
      <c r="J895" s="93"/>
      <c r="K895" s="93"/>
      <c r="L895" s="93"/>
    </row>
    <row r="896" spans="1:12" ht="18" customHeight="1" x14ac:dyDescent="0.2">
      <c r="A896" s="91">
        <v>45000</v>
      </c>
      <c r="B896" s="47" t="s">
        <v>453</v>
      </c>
      <c r="C896" s="48">
        <f xml:space="preserve"> ( C672 + C681*(1 - C690)*'Stability Constants Supersonic'!$C$16*('Supersonic Stability'!$C$4/'Initial Estimates'!$C$5))*('Stability Constants Supersonic'!$C$24/'Initial Estimates'!$C$10) - C681*(1 -C690)*'Stability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0.80315792403974839</v>
      </c>
      <c r="D896" s="93"/>
      <c r="E896" s="93"/>
      <c r="F896" s="93"/>
      <c r="H896" s="93"/>
      <c r="I896" s="93"/>
      <c r="J896" s="93"/>
      <c r="K896" s="93"/>
      <c r="L896" s="93"/>
    </row>
    <row r="897" spans="1:12" ht="18" customHeight="1" x14ac:dyDescent="0.2">
      <c r="A897" s="91">
        <v>46000</v>
      </c>
      <c r="B897" s="47" t="s">
        <v>453</v>
      </c>
      <c r="C897" s="48">
        <f xml:space="preserve"> ( C673 + C682*(1 - C691)*'Stability Constants Supersonic'!$C$16*('Supersonic Stability'!$C$4/'Initial Estimates'!$C$5))*('Stability Constants Supersonic'!$C$24/'Initial Estimates'!$C$10) - C682*(1 -C691)*'Stability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0.79141588297905807</v>
      </c>
      <c r="D897" s="93"/>
      <c r="E897" s="93"/>
      <c r="F897" s="93"/>
      <c r="H897" s="93"/>
      <c r="I897" s="93"/>
      <c r="J897" s="93"/>
      <c r="K897" s="93"/>
      <c r="L897" s="93"/>
    </row>
    <row r="898" spans="1:12" ht="18" customHeight="1" x14ac:dyDescent="0.2">
      <c r="A898" s="91">
        <v>47000</v>
      </c>
      <c r="B898" s="47" t="s">
        <v>453</v>
      </c>
      <c r="C898" s="48">
        <f xml:space="preserve"> ( C674 + C683*(1 - C692)*'Stability Constants Supersonic'!$C$16*('Supersonic Stability'!$C$4/'Initial Estimates'!$C$5))*('Stability Constants Supersonic'!$C$24/'Initial Estimates'!$C$10) - C683*(1 -C692)*'Stability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0.78020734565521144</v>
      </c>
      <c r="D898" s="93"/>
      <c r="E898" s="93"/>
      <c r="F898" s="93"/>
      <c r="H898" s="93"/>
      <c r="I898" s="93"/>
      <c r="J898" s="93"/>
      <c r="K898" s="93"/>
      <c r="L898" s="93"/>
    </row>
    <row r="899" spans="1:12" ht="18" customHeight="1" x14ac:dyDescent="0.2">
      <c r="A899" s="91">
        <v>48000</v>
      </c>
      <c r="B899" s="47" t="s">
        <v>453</v>
      </c>
      <c r="C899" s="48">
        <f xml:space="preserve"> ( C675 + C684*(1 - C693)*'Stability Constants Supersonic'!$C$16*('Supersonic Stability'!$C$4/'Initial Estimates'!$C$5))*('Stability Constants Supersonic'!$C$24/'Initial Estimates'!$C$10) - C684*(1 -C693)*'Stability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0.7695337403346284</v>
      </c>
      <c r="D899" s="93"/>
      <c r="E899" s="93"/>
      <c r="F899" s="93"/>
      <c r="H899" s="93"/>
      <c r="I899" s="93"/>
      <c r="J899" s="93"/>
      <c r="K899" s="93"/>
      <c r="L899" s="93"/>
    </row>
    <row r="900" spans="1:12" ht="18" customHeight="1" x14ac:dyDescent="0.2">
      <c r="A900" s="91">
        <v>49000</v>
      </c>
      <c r="B900" s="47" t="s">
        <v>453</v>
      </c>
      <c r="C900" s="48">
        <f xml:space="preserve"> ( C676 + C685*(1 - C694)*'Stability Constants Supersonic'!$C$16*('Supersonic Stability'!$C$4/'Initial Estimates'!$C$5))*('Stability Constants Supersonic'!$C$24/'Initial Estimates'!$C$10) - C685*(1 -C694)*'Stability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0.75928738095006076</v>
      </c>
      <c r="D900" s="93"/>
      <c r="E900" s="93"/>
      <c r="F900" s="93"/>
      <c r="H900" s="93"/>
      <c r="I900" s="93"/>
      <c r="J900" s="93"/>
      <c r="K900" s="93"/>
      <c r="L900" s="93"/>
    </row>
    <row r="901" spans="1:12" ht="18" customHeight="1" x14ac:dyDescent="0.2">
      <c r="A901" s="93" t="s">
        <v>562</v>
      </c>
      <c r="B901" s="47" t="s">
        <v>446</v>
      </c>
      <c r="C901" s="48">
        <f>(C716 + C725* 'Stability Constants Supersonic'!$C$16*'Supersonic Stability'!$C$4/'Initial Estimates'!$C$5)*'Stability Constants Supersonic'!$C$24/'Initial Estimates'!$C$10 - 'Supersonic Stability'!C725*'Stability Constants Supersonic'!$C$16*'Supersonic Stability'!$C$4/'Initial Estimates'!$C$5*'Stability Constants Supersonic'!$C$21/'Initial Estimates'!$C$10+'Supersonic Stability'!$C$5+('Supersonic Stability'!C779+'Stability Constants Supersonic'!$C$11*'Supersonic Stability'!C788)/(CFD!E3*'Initial Estimates'!$C$5*'Initial Estimates'!$C$10)</f>
        <v>9.1898278814729045E-3</v>
      </c>
      <c r="D901" s="93" t="s">
        <v>125</v>
      </c>
      <c r="E901" s="93" t="s">
        <v>421</v>
      </c>
      <c r="F901" s="93" t="s">
        <v>21</v>
      </c>
      <c r="G901" s="29" t="s">
        <v>458</v>
      </c>
      <c r="H901" s="110" t="s">
        <v>438</v>
      </c>
      <c r="I901" s="110"/>
      <c r="J901" s="110"/>
      <c r="K901" s="110"/>
      <c r="L901" s="110"/>
    </row>
    <row r="902" spans="1:12" ht="18" customHeight="1" x14ac:dyDescent="0.2">
      <c r="A902" s="91">
        <v>42000</v>
      </c>
      <c r="B902" s="47" t="s">
        <v>446</v>
      </c>
      <c r="C902" s="48">
        <f>(C717 + C726* 'Stability Constants Supersonic'!$C$16*'Supersonic Stability'!$C$4/'Initial Estimates'!$C$5)*'Stability Constants Supersonic'!$C$24/'Initial Estimates'!$C$10 - 'Supersonic Stability'!C726*'Stability Constants Supersonic'!$C$16*'Supersonic Stability'!$C$4/'Initial Estimates'!$C$5*'Stability Constants Supersonic'!$C$21/'Initial Estimates'!$C$10+'Supersonic Stability'!$C$5+('Supersonic Stability'!C780+'Stability Constants Supersonic'!$C$11*'Supersonic Stability'!C789)/(CFD!E4*'Initial Estimates'!$C$5*'Initial Estimates'!$C$10)</f>
        <v>1.1260260370907597E-2</v>
      </c>
      <c r="D902" s="93"/>
      <c r="E902" s="93"/>
      <c r="F902" s="93"/>
      <c r="H902" s="93"/>
      <c r="I902" s="93"/>
      <c r="J902" s="93"/>
      <c r="K902" s="93"/>
      <c r="L902" s="93"/>
    </row>
    <row r="903" spans="1:12" ht="18" customHeight="1" x14ac:dyDescent="0.2">
      <c r="A903" s="91">
        <v>43000</v>
      </c>
      <c r="B903" s="47" t="s">
        <v>446</v>
      </c>
      <c r="C903" s="48">
        <f>(C718 + C727* 'Stability Constants Supersonic'!$C$16*'Supersonic Stability'!$C$4/'Initial Estimates'!$C$5)*'Stability Constants Supersonic'!$C$24/'Initial Estimates'!$C$10 - 'Supersonic Stability'!C727*'Stability Constants Supersonic'!$C$16*'Supersonic Stability'!$C$4/'Initial Estimates'!$C$5*'Stability Constants Supersonic'!$C$21/'Initial Estimates'!$C$10+'Supersonic Stability'!$C$5+('Supersonic Stability'!C781+'Stability Constants Supersonic'!$C$11*'Supersonic Stability'!C790)/(CFD!E5*'Initial Estimates'!$C$5*'Initial Estimates'!$C$10)</f>
        <v>1.3485412316032791E-2</v>
      </c>
      <c r="D903" s="93"/>
      <c r="E903" s="93"/>
      <c r="F903" s="93"/>
      <c r="H903" s="93"/>
      <c r="I903" s="93"/>
      <c r="J903" s="93"/>
      <c r="K903" s="93"/>
      <c r="L903" s="93"/>
    </row>
    <row r="904" spans="1:12" ht="18" customHeight="1" x14ac:dyDescent="0.2">
      <c r="A904" s="91">
        <v>44000</v>
      </c>
      <c r="B904" s="47" t="s">
        <v>446</v>
      </c>
      <c r="C904" s="48">
        <f>(C719 + C728* 'Stability Constants Supersonic'!$C$16*'Supersonic Stability'!$C$4/'Initial Estimates'!$C$5)*'Stability Constants Supersonic'!$C$24/'Initial Estimates'!$C$10 - 'Supersonic Stability'!C728*'Stability Constants Supersonic'!$C$16*'Supersonic Stability'!$C$4/'Initial Estimates'!$C$5*'Stability Constants Supersonic'!$C$21/'Initial Estimates'!$C$10+'Supersonic Stability'!$C$5+('Supersonic Stability'!C782+'Stability Constants Supersonic'!$C$11*'Supersonic Stability'!C791)/(CFD!E6*'Initial Estimates'!$C$5*'Initial Estimates'!$C$10)</f>
        <v>1.5891835473777746E-2</v>
      </c>
      <c r="D904" s="93"/>
      <c r="E904" s="93"/>
      <c r="F904" s="93"/>
      <c r="H904" s="93"/>
      <c r="I904" s="93"/>
      <c r="J904" s="93"/>
      <c r="K904" s="93"/>
      <c r="L904" s="93"/>
    </row>
    <row r="905" spans="1:12" ht="18" customHeight="1" x14ac:dyDescent="0.2">
      <c r="A905" s="91">
        <v>45000</v>
      </c>
      <c r="B905" s="47" t="s">
        <v>446</v>
      </c>
      <c r="C905" s="48">
        <f>(C720 + C729* 'Stability Constants Supersonic'!$C$16*'Supersonic Stability'!$C$4/'Initial Estimates'!$C$5)*'Stability Constants Supersonic'!$C$24/'Initial Estimates'!$C$10 - 'Supersonic Stability'!C729*'Stability Constants Supersonic'!$C$16*'Supersonic Stability'!$C$4/'Initial Estimates'!$C$5*'Stability Constants Supersonic'!$C$21/'Initial Estimates'!$C$10+'Supersonic Stability'!$C$5+('Supersonic Stability'!C783+'Stability Constants Supersonic'!$C$11*'Supersonic Stability'!C792)/(CFD!E7*'Initial Estimates'!$C$5*'Initial Estimates'!$C$10)</f>
        <v>1.8478528261549484E-2</v>
      </c>
      <c r="D905" s="93"/>
      <c r="E905" s="93"/>
      <c r="F905" s="93"/>
      <c r="H905" s="93"/>
      <c r="I905" s="93"/>
      <c r="J905" s="93"/>
      <c r="K905" s="93"/>
      <c r="L905" s="93"/>
    </row>
    <row r="906" spans="1:12" ht="18" customHeight="1" x14ac:dyDescent="0.2">
      <c r="A906" s="91">
        <v>46000</v>
      </c>
      <c r="B906" s="47" t="s">
        <v>446</v>
      </c>
      <c r="C906" s="48">
        <f>(C721 + C730* 'Stability Constants Supersonic'!$C$16*'Supersonic Stability'!$C$4/'Initial Estimates'!$C$5)*'Stability Constants Supersonic'!$C$24/'Initial Estimates'!$C$10 - 'Supersonic Stability'!C730*'Stability Constants Supersonic'!$C$16*'Supersonic Stability'!$C$4/'Initial Estimates'!$C$5*'Stability Constants Supersonic'!$C$21/'Initial Estimates'!$C$10+'Supersonic Stability'!$C$5+('Supersonic Stability'!C784+'Stability Constants Supersonic'!$C$11*'Supersonic Stability'!C793)/(CFD!E8*'Initial Estimates'!$C$5*'Initial Estimates'!$C$10)</f>
        <v>2.1278371614628411E-2</v>
      </c>
      <c r="D906" s="93"/>
      <c r="E906" s="93"/>
      <c r="F906" s="93"/>
      <c r="H906" s="93"/>
      <c r="I906" s="93"/>
      <c r="J906" s="93"/>
      <c r="K906" s="93"/>
      <c r="L906" s="93"/>
    </row>
    <row r="907" spans="1:12" ht="18" customHeight="1" x14ac:dyDescent="0.2">
      <c r="A907" s="91">
        <v>47000</v>
      </c>
      <c r="B907" s="47" t="s">
        <v>446</v>
      </c>
      <c r="C907" s="48">
        <f>(C722 + C731* 'Stability Constants Supersonic'!$C$16*'Supersonic Stability'!$C$4/'Initial Estimates'!$C$5)*'Stability Constants Supersonic'!$C$24/'Initial Estimates'!$C$10 - 'Supersonic Stability'!C731*'Stability Constants Supersonic'!$C$16*'Supersonic Stability'!$C$4/'Initial Estimates'!$C$5*'Stability Constants Supersonic'!$C$21/'Initial Estimates'!$C$10+'Supersonic Stability'!$C$5+('Supersonic Stability'!C785+'Stability Constants Supersonic'!$C$11*'Supersonic Stability'!C794)/(CFD!E9*'Initial Estimates'!$C$5*'Initial Estimates'!$C$10)</f>
        <v>2.4304642795999226E-2</v>
      </c>
      <c r="D907" s="93"/>
      <c r="E907" s="93"/>
      <c r="F907" s="93"/>
      <c r="H907" s="93"/>
      <c r="I907" s="93"/>
      <c r="J907" s="93"/>
      <c r="K907" s="93"/>
      <c r="L907" s="93"/>
    </row>
    <row r="908" spans="1:12" ht="18" customHeight="1" x14ac:dyDescent="0.2">
      <c r="A908" s="91">
        <v>48000</v>
      </c>
      <c r="B908" s="47" t="s">
        <v>446</v>
      </c>
      <c r="C908" s="48">
        <f>(C723 + C732* 'Stability Constants Supersonic'!$C$16*'Supersonic Stability'!$C$4/'Initial Estimates'!$C$5)*'Stability Constants Supersonic'!$C$24/'Initial Estimates'!$C$10 - 'Supersonic Stability'!C732*'Stability Constants Supersonic'!$C$16*'Supersonic Stability'!$C$4/'Initial Estimates'!$C$5*'Stability Constants Supersonic'!$C$21/'Initial Estimates'!$C$10+'Supersonic Stability'!$C$5+('Supersonic Stability'!C786+'Stability Constants Supersonic'!$C$11*'Supersonic Stability'!C795)/(CFD!E10*'Initial Estimates'!$C$5*'Initial Estimates'!$C$10)</f>
        <v>2.756939865797816E-2</v>
      </c>
      <c r="D908" s="93"/>
      <c r="E908" s="93"/>
      <c r="F908" s="93"/>
      <c r="H908" s="93"/>
      <c r="I908" s="93"/>
      <c r="J908" s="93"/>
      <c r="K908" s="93"/>
      <c r="L908" s="93"/>
    </row>
    <row r="909" spans="1:12" ht="18" customHeight="1" x14ac:dyDescent="0.2">
      <c r="A909" s="91">
        <v>49000</v>
      </c>
      <c r="B909" s="47" t="s">
        <v>446</v>
      </c>
      <c r="C909" s="48">
        <f>(C724 + C733* 'Stability Constants Supersonic'!$C$16*'Supersonic Stability'!$C$4/'Initial Estimates'!$C$5)*'Stability Constants Supersonic'!$C$24/'Initial Estimates'!$C$10 - 'Supersonic Stability'!C733*'Stability Constants Supersonic'!$C$16*'Supersonic Stability'!$C$4/'Initial Estimates'!$C$5*'Stability Constants Supersonic'!$C$21/'Initial Estimates'!$C$10+'Supersonic Stability'!$C$5+('Supersonic Stability'!C787+'Stability Constants Supersonic'!$C$11*'Supersonic Stability'!C796)/(CFD!E11*'Initial Estimates'!$C$5*'Initial Estimates'!$C$10)</f>
        <v>3.1122910061172387E-2</v>
      </c>
      <c r="D909" s="93"/>
      <c r="E909" s="93"/>
      <c r="F909" s="93"/>
      <c r="H909" s="93"/>
      <c r="I909" s="93"/>
      <c r="J909" s="93"/>
      <c r="K909" s="93"/>
      <c r="L909" s="93"/>
    </row>
    <row r="910" spans="1:12" ht="18" customHeight="1" x14ac:dyDescent="0.2">
      <c r="A910" s="93" t="s">
        <v>507</v>
      </c>
      <c r="B910" s="47" t="s">
        <v>453</v>
      </c>
      <c r="C910" s="48">
        <f xml:space="preserve"> ( C752 + C761*(1 - C770)*'Stability Constants Supersonic'!$C$16*('Supersonic Stability'!$C$4/'Initial Estimates'!$C$5))*('Stability Constants Supersonic'!$C$24/'Initial Estimates'!$C$10) - C761*(1 -C770)*'Stability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0.85137092948130288</v>
      </c>
      <c r="D910" s="93"/>
      <c r="E910" s="93"/>
      <c r="F910" s="93"/>
      <c r="H910" s="93"/>
      <c r="I910" s="93"/>
      <c r="J910" s="93"/>
      <c r="K910" s="93"/>
      <c r="L910" s="93"/>
    </row>
    <row r="911" spans="1:12" ht="18" customHeight="1" x14ac:dyDescent="0.2">
      <c r="A911" s="91">
        <v>42000</v>
      </c>
      <c r="B911" s="47" t="s">
        <v>453</v>
      </c>
      <c r="C911" s="48">
        <f xml:space="preserve"> ( C753 + C762*(1 - C771)*'Stability Constants Supersonic'!$C$16*('Supersonic Stability'!$C$4/'Initial Estimates'!$C$5))*('Stability Constants Supersonic'!$C$24/'Initial Estimates'!$C$10) - C762*(1 -C771)*'Stability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0.83724519361817684</v>
      </c>
      <c r="D911" s="93"/>
      <c r="E911" s="93"/>
      <c r="F911" s="93"/>
      <c r="H911" s="93"/>
      <c r="I911" s="93"/>
      <c r="J911" s="93"/>
      <c r="K911" s="93"/>
      <c r="L911" s="93"/>
    </row>
    <row r="912" spans="1:12" ht="18" customHeight="1" x14ac:dyDescent="0.2">
      <c r="A912" s="91">
        <v>43000</v>
      </c>
      <c r="B912" s="47" t="s">
        <v>453</v>
      </c>
      <c r="C912" s="48">
        <f xml:space="preserve"> ( C754 + C763*(1 - C772)*'Stability Constants Supersonic'!$C$16*('Supersonic Stability'!$C$4/'Initial Estimates'!$C$5))*('Stability Constants Supersonic'!$C$24/'Initial Estimates'!$C$10) - C763*(1 -C772)*'Stability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0.82381758805569261</v>
      </c>
      <c r="D912" s="93"/>
      <c r="E912" s="93"/>
      <c r="F912" s="93"/>
      <c r="H912" s="93"/>
      <c r="I912" s="93"/>
      <c r="J912" s="93"/>
      <c r="K912" s="93"/>
      <c r="L912" s="93"/>
    </row>
    <row r="913" spans="1:12" ht="18" customHeight="1" x14ac:dyDescent="0.2">
      <c r="A913" s="91">
        <v>44000</v>
      </c>
      <c r="B913" s="47" t="s">
        <v>453</v>
      </c>
      <c r="C913" s="48">
        <f xml:space="preserve"> ( C755 + C764*(1 - C773)*'Stability Constants Supersonic'!$C$16*('Supersonic Stability'!$C$4/'Initial Estimates'!$C$5))*('Stability Constants Supersonic'!$C$24/'Initial Estimates'!$C$10) - C764*(1 -C773)*'Stability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0.81098065060099622</v>
      </c>
      <c r="D913" s="93"/>
      <c r="E913" s="93"/>
      <c r="F913" s="93"/>
      <c r="H913" s="93"/>
      <c r="I913" s="93"/>
      <c r="J913" s="93"/>
      <c r="K913" s="93"/>
      <c r="L913" s="93"/>
    </row>
    <row r="914" spans="1:12" ht="18" customHeight="1" x14ac:dyDescent="0.2">
      <c r="A914" s="91">
        <v>45000</v>
      </c>
      <c r="B914" s="47" t="s">
        <v>453</v>
      </c>
      <c r="C914" s="48">
        <f xml:space="preserve"> ( C756 + C765*(1 - C774)*'Stability Constants Supersonic'!$C$16*('Supersonic Stability'!$C$4/'Initial Estimates'!$C$5))*('Stability Constants Supersonic'!$C$24/'Initial Estimates'!$C$10) - C765*(1 -C774)*'Stability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0.79878867391708619</v>
      </c>
      <c r="D914" s="93"/>
      <c r="E914" s="93"/>
      <c r="F914" s="93"/>
      <c r="H914" s="93"/>
      <c r="I914" s="93"/>
      <c r="J914" s="93"/>
      <c r="K914" s="93"/>
      <c r="L914" s="93"/>
    </row>
    <row r="915" spans="1:12" ht="18" customHeight="1" x14ac:dyDescent="0.2">
      <c r="A915" s="91">
        <v>46000</v>
      </c>
      <c r="B915" s="47" t="s">
        <v>453</v>
      </c>
      <c r="C915" s="48">
        <f xml:space="preserve"> ( C757 + C766*(1 - C775)*'Stability Constants Supersonic'!$C$16*('Supersonic Stability'!$C$4/'Initial Estimates'!$C$5))*('Stability Constants Supersonic'!$C$24/'Initial Estimates'!$C$10) - C766*(1 -C775)*'Stability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0.78713408921310124</v>
      </c>
      <c r="D915" s="93"/>
      <c r="E915" s="93"/>
      <c r="F915" s="93"/>
      <c r="H915" s="93"/>
      <c r="I915" s="93"/>
      <c r="J915" s="93"/>
      <c r="K915" s="93"/>
      <c r="L915" s="93"/>
    </row>
    <row r="916" spans="1:12" ht="18" customHeight="1" x14ac:dyDescent="0.2">
      <c r="A916" s="91">
        <v>47000</v>
      </c>
      <c r="B916" s="47" t="s">
        <v>453</v>
      </c>
      <c r="C916" s="48">
        <f xml:space="preserve"> ( C758 + C767*(1 - C776)*'Stability Constants Supersonic'!$C$16*('Supersonic Stability'!$C$4/'Initial Estimates'!$C$5))*('Stability Constants Supersonic'!$C$24/'Initial Estimates'!$C$10) - C767*(1 -C776)*'Stability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0.77601717793082814</v>
      </c>
      <c r="D916" s="93"/>
      <c r="E916" s="93"/>
      <c r="F916" s="93"/>
      <c r="H916" s="93"/>
      <c r="I916" s="93"/>
      <c r="J916" s="93"/>
      <c r="K916" s="93"/>
      <c r="L916" s="93"/>
    </row>
    <row r="917" spans="1:12" ht="18" customHeight="1" x14ac:dyDescent="0.2">
      <c r="A917" s="91">
        <v>48000</v>
      </c>
      <c r="B917" s="47" t="s">
        <v>453</v>
      </c>
      <c r="C917" s="48">
        <f xml:space="preserve"> ( C759 + C768*(1 - C777)*'Stability Constants Supersonic'!$C$16*('Supersonic Stability'!$C$4/'Initial Estimates'!$C$5))*('Stability Constants Supersonic'!$C$24/'Initial Estimates'!$C$10) - C768*(1 -C777)*'Stability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0.76543820856796219</v>
      </c>
      <c r="D917" s="93"/>
      <c r="E917" s="93"/>
      <c r="F917" s="93"/>
      <c r="H917" s="93"/>
      <c r="I917" s="93"/>
      <c r="J917" s="93"/>
      <c r="K917" s="93"/>
      <c r="L917" s="93"/>
    </row>
    <row r="918" spans="1:12" ht="18" customHeight="1" x14ac:dyDescent="0.2">
      <c r="A918" s="91">
        <v>49000</v>
      </c>
      <c r="B918" s="47" t="s">
        <v>453</v>
      </c>
      <c r="C918" s="48">
        <f xml:space="preserve"> ( C760 + C769*(1 - C778)*'Stability Constants Supersonic'!$C$16*('Supersonic Stability'!$C$4/'Initial Estimates'!$C$5))*('Stability Constants Supersonic'!$C$24/'Initial Estimates'!$C$10) - C769*(1 -C778)*'Stability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0.75528946319513124</v>
      </c>
      <c r="D918" s="93"/>
      <c r="E918" s="93"/>
      <c r="F918" s="93"/>
      <c r="H918" s="93"/>
      <c r="I918" s="93"/>
      <c r="J918" s="93"/>
      <c r="K918" s="93"/>
      <c r="L918" s="93"/>
    </row>
    <row r="919" spans="1:12" ht="18" customHeight="1" x14ac:dyDescent="0.2">
      <c r="A919" s="93" t="s">
        <v>565</v>
      </c>
      <c r="B919" s="47" t="s">
        <v>446</v>
      </c>
      <c r="C919" s="48">
        <f>(C800 + C809* 'Stability Constants Supersonic'!$C$16*'Supersonic Stability'!$C$4/'Initial Estimates'!$C$5)*'Stability Constants Supersonic'!$C$24/'Initial Estimates'!$C$10 - 'Supersonic Stability'!C809*'Stability Constants Supersonic'!$C$16*'Supersonic Stability'!$C$4/'Initial Estimates'!$C$5*'Stability Constants Supersonic'!$C$21/'Initial Estimates'!$C$10+'Supersonic Stability'!$C$5+('Supersonic Stability'!C863+'Stability Constants Supersonic'!$C$11*'Supersonic Stability'!C872)/(CFD!F3*'Initial Estimates'!$C$5*'Initial Estimates'!$C$10)</f>
        <v>5.4564065132934186E-3</v>
      </c>
      <c r="D919" s="93" t="s">
        <v>125</v>
      </c>
      <c r="E919" s="93" t="s">
        <v>421</v>
      </c>
      <c r="F919" s="93" t="s">
        <v>21</v>
      </c>
      <c r="G919" s="29" t="s">
        <v>458</v>
      </c>
      <c r="H919" s="110" t="s">
        <v>438</v>
      </c>
      <c r="I919" s="110"/>
      <c r="J919" s="110"/>
      <c r="K919" s="110"/>
      <c r="L919" s="110"/>
    </row>
    <row r="920" spans="1:12" ht="18" customHeight="1" x14ac:dyDescent="0.2">
      <c r="A920" s="91">
        <v>42000</v>
      </c>
      <c r="B920" s="47" t="s">
        <v>446</v>
      </c>
      <c r="C920" s="48">
        <f>(C801 + C810* 'Stability Constants Supersonic'!$C$16*'Supersonic Stability'!$C$4/'Initial Estimates'!$C$5)*'Stability Constants Supersonic'!$C$24/'Initial Estimates'!$C$10 - 'Supersonic Stability'!C810*'Stability Constants Supersonic'!$C$16*'Supersonic Stability'!$C$4/'Initial Estimates'!$C$5*'Stability Constants Supersonic'!$C$21/'Initial Estimates'!$C$10+'Supersonic Stability'!$C$5+('Supersonic Stability'!C864+'Stability Constants Supersonic'!$C$11*'Supersonic Stability'!C873)/(CFD!F4*'Initial Estimates'!$C$5*'Initial Estimates'!$C$10)</f>
        <v>7.2647836137483962E-3</v>
      </c>
      <c r="D920" s="93"/>
      <c r="E920" s="93"/>
      <c r="F920" s="93"/>
      <c r="H920" s="93"/>
      <c r="I920" s="93"/>
      <c r="J920" s="93"/>
      <c r="K920" s="93"/>
      <c r="L920" s="93"/>
    </row>
    <row r="921" spans="1:12" ht="18" customHeight="1" x14ac:dyDescent="0.2">
      <c r="A921" s="91">
        <v>43000</v>
      </c>
      <c r="B921" s="47" t="s">
        <v>446</v>
      </c>
      <c r="C921" s="48">
        <f>(C802 + C811* 'Stability Constants Supersonic'!$C$16*'Supersonic Stability'!$C$4/'Initial Estimates'!$C$5)*'Stability Constants Supersonic'!$C$24/'Initial Estimates'!$C$10 - 'Supersonic Stability'!C811*'Stability Constants Supersonic'!$C$16*'Supersonic Stability'!$C$4/'Initial Estimates'!$C$5*'Stability Constants Supersonic'!$C$21/'Initial Estimates'!$C$10+'Supersonic Stability'!$C$5+('Supersonic Stability'!C865+'Stability Constants Supersonic'!$C$11*'Supersonic Stability'!C874)/(CFD!F5*'Initial Estimates'!$C$5*'Initial Estimates'!$C$10)</f>
        <v>9.2079796857614093E-3</v>
      </c>
      <c r="D921" s="93"/>
      <c r="E921" s="93"/>
      <c r="F921" s="93"/>
      <c r="H921" s="93"/>
      <c r="I921" s="93"/>
      <c r="J921" s="93"/>
      <c r="K921" s="93"/>
      <c r="L921" s="93"/>
    </row>
    <row r="922" spans="1:12" ht="18" customHeight="1" x14ac:dyDescent="0.2">
      <c r="A922" s="91">
        <v>44000</v>
      </c>
      <c r="B922" s="47" t="s">
        <v>446</v>
      </c>
      <c r="C922" s="48">
        <f>(C803 + C812* 'Stability Constants Supersonic'!$C$16*'Supersonic Stability'!$C$4/'Initial Estimates'!$C$5)*'Stability Constants Supersonic'!$C$24/'Initial Estimates'!$C$10 - 'Supersonic Stability'!C812*'Stability Constants Supersonic'!$C$16*'Supersonic Stability'!$C$4/'Initial Estimates'!$C$5*'Stability Constants Supersonic'!$C$21/'Initial Estimates'!$C$10+'Supersonic Stability'!$C$5+('Supersonic Stability'!C866+'Stability Constants Supersonic'!$C$11*'Supersonic Stability'!C875)/(CFD!F6*'Initial Estimates'!$C$5*'Initial Estimates'!$C$10)</f>
        <v>1.1309136571144011E-2</v>
      </c>
      <c r="D922" s="93"/>
      <c r="E922" s="93"/>
      <c r="F922" s="93"/>
      <c r="H922" s="93"/>
      <c r="I922" s="93"/>
      <c r="J922" s="93"/>
      <c r="K922" s="93"/>
      <c r="L922" s="93"/>
    </row>
    <row r="923" spans="1:12" ht="18" customHeight="1" x14ac:dyDescent="0.2">
      <c r="A923" s="91">
        <v>45000</v>
      </c>
      <c r="B923" s="47" t="s">
        <v>446</v>
      </c>
      <c r="C923" s="48">
        <f>(C804 + C813* 'Stability Constants Supersonic'!$C$16*'Supersonic Stability'!$C$4/'Initial Estimates'!$C$5)*'Stability Constants Supersonic'!$C$24/'Initial Estimates'!$C$10 - 'Supersonic Stability'!C813*'Stability Constants Supersonic'!$C$16*'Supersonic Stability'!$C$4/'Initial Estimates'!$C$5*'Stability Constants Supersonic'!$C$21/'Initial Estimates'!$C$10+'Supersonic Stability'!$C$5+('Supersonic Stability'!C867+'Stability Constants Supersonic'!$C$11*'Supersonic Stability'!C876)/(CFD!F7*'Initial Estimates'!$C$5*'Initial Estimates'!$C$10)</f>
        <v>1.3567331795610947E-2</v>
      </c>
      <c r="D923" s="93"/>
      <c r="E923" s="93"/>
      <c r="F923" s="93"/>
      <c r="H923" s="93"/>
      <c r="I923" s="93"/>
      <c r="J923" s="93"/>
      <c r="K923" s="93"/>
      <c r="L923" s="93"/>
    </row>
    <row r="924" spans="1:12" ht="18" customHeight="1" x14ac:dyDescent="0.2">
      <c r="A924" s="91">
        <v>46000</v>
      </c>
      <c r="B924" s="47" t="s">
        <v>446</v>
      </c>
      <c r="C924" s="48">
        <f>(C805 + C814* 'Stability Constants Supersonic'!$C$16*'Supersonic Stability'!$C$4/'Initial Estimates'!$C$5)*'Stability Constants Supersonic'!$C$24/'Initial Estimates'!$C$10 - 'Supersonic Stability'!C814*'Stability Constants Supersonic'!$C$16*'Supersonic Stability'!$C$4/'Initial Estimates'!$C$5*'Stability Constants Supersonic'!$C$21/'Initial Estimates'!$C$10+'Supersonic Stability'!$C$5+('Supersonic Stability'!C868+'Stability Constants Supersonic'!$C$11*'Supersonic Stability'!C877)/(CFD!F8*'Initial Estimates'!$C$5*'Initial Estimates'!$C$10)</f>
        <v>1.6011219241184458E-2</v>
      </c>
      <c r="D924" s="93"/>
      <c r="E924" s="93"/>
      <c r="F924" s="93"/>
      <c r="H924" s="93"/>
      <c r="I924" s="93"/>
      <c r="J924" s="93"/>
      <c r="K924" s="93"/>
      <c r="L924" s="93"/>
    </row>
    <row r="925" spans="1:12" ht="18" customHeight="1" x14ac:dyDescent="0.2">
      <c r="A925" s="91">
        <v>47000</v>
      </c>
      <c r="B925" s="47" t="s">
        <v>446</v>
      </c>
      <c r="C925" s="48">
        <f>(C806 + C815* 'Stability Constants Supersonic'!$C$16*'Supersonic Stability'!$C$4/'Initial Estimates'!$C$5)*'Stability Constants Supersonic'!$C$24/'Initial Estimates'!$C$10 - 'Supersonic Stability'!C815*'Stability Constants Supersonic'!$C$16*'Supersonic Stability'!$C$4/'Initial Estimates'!$C$5*'Stability Constants Supersonic'!$C$21/'Initial Estimates'!$C$10+'Supersonic Stability'!$C$5+('Supersonic Stability'!C869+'Stability Constants Supersonic'!$C$11*'Supersonic Stability'!C878)/(CFD!F9*'Initial Estimates'!$C$5*'Initial Estimates'!$C$10)</f>
        <v>1.8652330839973634E-2</v>
      </c>
      <c r="D925" s="93"/>
      <c r="E925" s="93"/>
      <c r="F925" s="93"/>
      <c r="H925" s="93"/>
      <c r="I925" s="93"/>
      <c r="J925" s="93"/>
      <c r="K925" s="93"/>
      <c r="L925" s="93"/>
    </row>
    <row r="926" spans="1:12" ht="18" customHeight="1" x14ac:dyDescent="0.2">
      <c r="A926" s="91">
        <v>48000</v>
      </c>
      <c r="B926" s="47" t="s">
        <v>446</v>
      </c>
      <c r="C926" s="48">
        <f>(C807 + C816* 'Stability Constants Supersonic'!$C$16*'Supersonic Stability'!$C$4/'Initial Estimates'!$C$5)*'Stability Constants Supersonic'!$C$24/'Initial Estimates'!$C$10 - 'Supersonic Stability'!C816*'Stability Constants Supersonic'!$C$16*'Supersonic Stability'!$C$4/'Initial Estimates'!$C$5*'Stability Constants Supersonic'!$C$21/'Initial Estimates'!$C$10+'Supersonic Stability'!$C$5+('Supersonic Stability'!C870+'Stability Constants Supersonic'!$C$11*'Supersonic Stability'!C879)/(CFD!F10*'Initial Estimates'!$C$5*'Initial Estimates'!$C$10)</f>
        <v>2.1501130406161289E-2</v>
      </c>
      <c r="D926" s="93"/>
      <c r="E926" s="93"/>
      <c r="F926" s="93"/>
      <c r="H926" s="93"/>
      <c r="I926" s="93"/>
      <c r="J926" s="93"/>
      <c r="K926" s="93"/>
      <c r="L926" s="93"/>
    </row>
    <row r="927" spans="1:12" ht="18" customHeight="1" x14ac:dyDescent="0.2">
      <c r="A927" s="91">
        <v>49000</v>
      </c>
      <c r="B927" s="47" t="s">
        <v>446</v>
      </c>
      <c r="C927" s="48">
        <f>(C808 + C817* 'Stability Constants Supersonic'!$C$16*'Supersonic Stability'!$C$4/'Initial Estimates'!$C$5)*'Stability Constants Supersonic'!$C$24/'Initial Estimates'!$C$10 - 'Supersonic Stability'!C817*'Stability Constants Supersonic'!$C$16*'Supersonic Stability'!$C$4/'Initial Estimates'!$C$5*'Stability Constants Supersonic'!$C$21/'Initial Estimates'!$C$10+'Supersonic Stability'!$C$5+('Supersonic Stability'!C871+'Stability Constants Supersonic'!$C$11*'Supersonic Stability'!C880)/(CFD!F11*'Initial Estimates'!$C$5*'Initial Estimates'!$C$10)</f>
        <v>2.4601417134047496E-2</v>
      </c>
      <c r="D927" s="93"/>
      <c r="E927" s="93"/>
      <c r="F927" s="93"/>
      <c r="H927" s="93"/>
      <c r="I927" s="93"/>
      <c r="J927" s="93"/>
      <c r="K927" s="93"/>
      <c r="L927" s="93"/>
    </row>
    <row r="928" spans="1:12" ht="18" customHeight="1" x14ac:dyDescent="0.2">
      <c r="A928" s="93" t="s">
        <v>505</v>
      </c>
      <c r="B928" s="47" t="s">
        <v>453</v>
      </c>
      <c r="C928" s="48">
        <f xml:space="preserve"> ( C836 + C845*(1 - C854)*'Stability Constants Supersonic'!$C$16*('Supersonic Stability'!$C$4/'Initial Estimates'!$C$5))*('Stability Constants Supersonic'!$C$24/'Initial Estimates'!$C$10) - C845*(1 -C854)*'Stability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0.84582140584913368</v>
      </c>
      <c r="D928" s="93"/>
      <c r="E928" s="93"/>
      <c r="F928" s="93"/>
      <c r="H928" s="93"/>
      <c r="I928" s="92"/>
      <c r="J928" s="92"/>
      <c r="K928" s="92"/>
      <c r="L928" s="92"/>
    </row>
    <row r="929" spans="1:12" ht="18" customHeight="1" x14ac:dyDescent="0.2">
      <c r="A929" s="91">
        <v>42000</v>
      </c>
      <c r="B929" s="47" t="s">
        <v>453</v>
      </c>
      <c r="C929" s="48">
        <f xml:space="preserve"> ( C837 + C846*(1 - C855)*'Stability Constants Supersonic'!$C$16*('Supersonic Stability'!$C$4/'Initial Estimates'!$C$5))*('Stability Constants Supersonic'!$C$24/'Initial Estimates'!$C$10) - C846*(1 -C855)*'Stability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0.83134835509015725</v>
      </c>
      <c r="D929" s="93"/>
      <c r="E929" s="93"/>
      <c r="F929" s="93"/>
      <c r="H929" s="93"/>
      <c r="I929" s="92"/>
      <c r="J929" s="92"/>
      <c r="K929" s="92"/>
      <c r="L929" s="92"/>
    </row>
    <row r="930" spans="1:12" ht="18" customHeight="1" x14ac:dyDescent="0.2">
      <c r="A930" s="91">
        <v>43000</v>
      </c>
      <c r="B930" s="47" t="s">
        <v>453</v>
      </c>
      <c r="C930" s="48">
        <f xml:space="preserve"> ( C838 + C847*(1 - C856)*'Stability Constants Supersonic'!$C$16*('Supersonic Stability'!$C$4/'Initial Estimates'!$C$5))*('Stability Constants Supersonic'!$C$24/'Initial Estimates'!$C$10) - C847*(1 -C856)*'Stability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0.81764467474133029</v>
      </c>
      <c r="D930" s="93"/>
      <c r="E930" s="93"/>
      <c r="F930" s="93"/>
      <c r="H930" s="93"/>
      <c r="I930" s="92"/>
      <c r="J930" s="92"/>
      <c r="K930" s="92"/>
      <c r="L930" s="92"/>
    </row>
    <row r="931" spans="1:12" ht="18" customHeight="1" x14ac:dyDescent="0.2">
      <c r="A931" s="91">
        <v>44000</v>
      </c>
      <c r="B931" s="47" t="s">
        <v>453</v>
      </c>
      <c r="C931" s="48">
        <f xml:space="preserve"> ( C839 + C848*(1 - C857)*'Stability Constants Supersonic'!$C$16*('Supersonic Stability'!$C$4/'Initial Estimates'!$C$5))*('Stability Constants Supersonic'!$C$24/'Initial Estimates'!$C$10) - C848*(1 -C857)*'Stability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0.80459286345510972</v>
      </c>
      <c r="D931" s="93"/>
      <c r="E931" s="93"/>
      <c r="F931" s="93"/>
      <c r="H931" s="93"/>
      <c r="I931" s="92"/>
      <c r="J931" s="92"/>
      <c r="K931" s="92"/>
      <c r="L931" s="92"/>
    </row>
    <row r="932" spans="1:12" ht="18" customHeight="1" x14ac:dyDescent="0.2">
      <c r="A932" s="91">
        <v>45000</v>
      </c>
      <c r="B932" s="47" t="s">
        <v>453</v>
      </c>
      <c r="C932" s="48">
        <f xml:space="preserve"> ( C840 + C849*(1 - C858)*'Stability Constants Supersonic'!$C$16*('Supersonic Stability'!$C$4/'Initial Estimates'!$C$5))*('Stability Constants Supersonic'!$C$24/'Initial Estimates'!$C$10) - C849*(1 -C858)*'Stability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0.79224101892009846</v>
      </c>
      <c r="D932" s="93"/>
      <c r="E932" s="93"/>
      <c r="F932" s="93"/>
      <c r="H932" s="93"/>
      <c r="I932" s="92"/>
      <c r="J932" s="92"/>
      <c r="K932" s="92"/>
      <c r="L932" s="92"/>
    </row>
    <row r="933" spans="1:12" ht="18" customHeight="1" x14ac:dyDescent="0.2">
      <c r="A933" s="91">
        <v>46000</v>
      </c>
      <c r="B933" s="47" t="s">
        <v>453</v>
      </c>
      <c r="C933" s="48">
        <f xml:space="preserve"> ( C841 + C850*(1 - C859)*'Stability Constants Supersonic'!$C$16*('Supersonic Stability'!$C$4/'Initial Estimates'!$C$5))*('Stability Constants Supersonic'!$C$24/'Initial Estimates'!$C$10) - C850*(1 -C859)*'Stability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0.78047371392428799</v>
      </c>
      <c r="D933" s="93"/>
      <c r="E933" s="93"/>
      <c r="F933" s="93"/>
      <c r="H933" s="93"/>
      <c r="I933" s="92"/>
      <c r="J933" s="92"/>
      <c r="K933" s="92"/>
      <c r="L933" s="92"/>
    </row>
    <row r="934" spans="1:12" ht="18" customHeight="1" x14ac:dyDescent="0.2">
      <c r="A934" s="91">
        <v>47000</v>
      </c>
      <c r="B934" s="47" t="s">
        <v>453</v>
      </c>
      <c r="C934" s="48">
        <f xml:space="preserve"> ( C842 + C851*(1 - C860)*'Stability Constants Supersonic'!$C$16*('Supersonic Stability'!$C$4/'Initial Estimates'!$C$5))*('Stability Constants Supersonic'!$C$24/'Initial Estimates'!$C$10) - C851*(1 -C860)*'Stability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0.76928566731945869</v>
      </c>
      <c r="D934" s="93"/>
      <c r="E934" s="93"/>
      <c r="F934" s="93"/>
      <c r="H934" s="93"/>
      <c r="I934" s="92"/>
      <c r="J934" s="92"/>
      <c r="K934" s="92"/>
      <c r="L934" s="92"/>
    </row>
    <row r="935" spans="1:12" ht="18" customHeight="1" x14ac:dyDescent="0.2">
      <c r="A935" s="91">
        <v>48000</v>
      </c>
      <c r="B935" s="47" t="s">
        <v>453</v>
      </c>
      <c r="C935" s="48">
        <f xml:space="preserve"> ( C843 + C852*(1 - C861)*'Stability Constants Supersonic'!$C$16*('Supersonic Stability'!$C$4/'Initial Estimates'!$C$5))*('Stability Constants Supersonic'!$C$24/'Initial Estimates'!$C$10) - C852*(1 -C861)*'Stability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0.75867187138501191</v>
      </c>
      <c r="D935" s="93"/>
      <c r="E935" s="93"/>
      <c r="F935" s="93"/>
      <c r="H935" s="93"/>
      <c r="I935" s="92"/>
      <c r="J935" s="92"/>
      <c r="K935" s="92"/>
      <c r="L935" s="92"/>
    </row>
    <row r="936" spans="1:12" ht="18" customHeight="1" x14ac:dyDescent="0.2">
      <c r="A936" s="91">
        <v>49000</v>
      </c>
      <c r="B936" s="47" t="s">
        <v>453</v>
      </c>
      <c r="C936" s="48">
        <f xml:space="preserve"> ( C844 + C853*(1 - C862)*'Stability Constants Supersonic'!$C$16*('Supersonic Stability'!$C$4/'Initial Estimates'!$C$5))*('Stability Constants Supersonic'!$C$24/'Initial Estimates'!$C$10) - C853*(1 -C862)*'Stability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0.74851973233407243</v>
      </c>
      <c r="D936" s="93"/>
      <c r="E936" s="93"/>
      <c r="F936" s="93"/>
      <c r="H936" s="93"/>
      <c r="I936" s="92"/>
      <c r="J936" s="92"/>
      <c r="K936" s="92"/>
      <c r="L936" s="92"/>
    </row>
    <row r="937" spans="1:12" ht="18" customHeight="1" x14ac:dyDescent="0.2">
      <c r="A937" s="129"/>
      <c r="B937" s="129"/>
      <c r="C937" s="129"/>
      <c r="D937" s="129"/>
      <c r="E937" s="129"/>
      <c r="F937" s="129"/>
      <c r="G937" s="129"/>
      <c r="H937" s="129"/>
      <c r="I937" s="129"/>
      <c r="J937" s="129"/>
      <c r="K937" s="129"/>
      <c r="L937" s="129"/>
    </row>
    <row r="938" spans="1:12" ht="18" customHeight="1" x14ac:dyDescent="0.2">
      <c r="A938" s="118" t="s">
        <v>581</v>
      </c>
      <c r="B938" s="119"/>
      <c r="C938" s="119"/>
      <c r="D938" s="119"/>
      <c r="E938" s="119"/>
      <c r="F938" s="119"/>
      <c r="G938" s="119"/>
      <c r="H938" s="121"/>
      <c r="I938" s="121"/>
      <c r="J938" s="121"/>
      <c r="K938" s="121"/>
      <c r="L938" s="125"/>
    </row>
    <row r="939" spans="1:12" ht="18" customHeight="1" x14ac:dyDescent="0.2">
      <c r="A939" s="23" t="s">
        <v>5</v>
      </c>
      <c r="B939" s="23" t="s">
        <v>96</v>
      </c>
      <c r="C939" s="94" t="s">
        <v>7</v>
      </c>
      <c r="D939" s="94" t="s">
        <v>125</v>
      </c>
      <c r="E939" s="94" t="s">
        <v>8</v>
      </c>
      <c r="F939" s="94" t="s">
        <v>9</v>
      </c>
      <c r="G939" s="31" t="s">
        <v>10</v>
      </c>
      <c r="H939" s="122" t="s">
        <v>11</v>
      </c>
      <c r="I939" s="123"/>
      <c r="J939" s="123"/>
      <c r="K939" s="123"/>
      <c r="L939" s="124"/>
    </row>
    <row r="940" spans="1:12" ht="18" customHeight="1" x14ac:dyDescent="0.2">
      <c r="A940" s="93" t="s">
        <v>379</v>
      </c>
      <c r="B940" s="93" t="s">
        <v>380</v>
      </c>
      <c r="C940" s="36">
        <v>1.6</v>
      </c>
      <c r="D940" s="93" t="s">
        <v>125</v>
      </c>
      <c r="E940" s="93" t="s">
        <v>137</v>
      </c>
      <c r="F940" s="93" t="s">
        <v>484</v>
      </c>
      <c r="G940" s="29" t="s">
        <v>137</v>
      </c>
      <c r="H940" s="126" t="s">
        <v>309</v>
      </c>
      <c r="I940" s="126"/>
      <c r="J940" s="126"/>
      <c r="K940" s="126"/>
      <c r="L940" s="126"/>
    </row>
    <row r="941" spans="1:12" ht="18" customHeight="1" x14ac:dyDescent="0.2">
      <c r="A941" s="93" t="s">
        <v>557</v>
      </c>
      <c r="B941" s="93" t="s">
        <v>406</v>
      </c>
      <c r="C941" s="36">
        <f>'Final Aircraft Checkouts'!C280</f>
        <v>8.5585150765832785E-2</v>
      </c>
      <c r="D941" s="93" t="s">
        <v>125</v>
      </c>
      <c r="E941" s="93" t="s">
        <v>137</v>
      </c>
      <c r="F941" s="93" t="s">
        <v>21</v>
      </c>
      <c r="G941" s="29" t="s">
        <v>550</v>
      </c>
      <c r="H941" s="127" t="s">
        <v>526</v>
      </c>
      <c r="I941" s="127"/>
      <c r="J941" s="127"/>
      <c r="K941" s="127"/>
      <c r="L941" s="127"/>
    </row>
    <row r="942" spans="1:12" ht="18" customHeight="1" x14ac:dyDescent="0.2">
      <c r="A942" s="91">
        <v>42000</v>
      </c>
      <c r="B942" s="93" t="s">
        <v>406</v>
      </c>
      <c r="C942" s="36">
        <f>'Final Aircraft Checkouts'!C281</f>
        <v>8.9787420162505974E-2</v>
      </c>
      <c r="D942" s="93" t="s">
        <v>125</v>
      </c>
      <c r="E942" s="93" t="s">
        <v>137</v>
      </c>
      <c r="F942" s="93" t="s">
        <v>21</v>
      </c>
      <c r="G942" s="29" t="s">
        <v>550</v>
      </c>
      <c r="H942" s="127" t="s">
        <v>526</v>
      </c>
      <c r="I942" s="127"/>
      <c r="J942" s="127"/>
      <c r="K942" s="127"/>
      <c r="L942" s="127"/>
    </row>
    <row r="943" spans="1:12" ht="18" customHeight="1" x14ac:dyDescent="0.2">
      <c r="A943" s="91">
        <v>43000</v>
      </c>
      <c r="B943" s="93" t="s">
        <v>406</v>
      </c>
      <c r="C943" s="36">
        <f>'Final Aircraft Checkouts'!C282</f>
        <v>9.4182361703780609E-2</v>
      </c>
      <c r="D943" s="93" t="s">
        <v>125</v>
      </c>
      <c r="E943" s="93" t="s">
        <v>137</v>
      </c>
      <c r="F943" s="93" t="s">
        <v>21</v>
      </c>
      <c r="G943" s="29" t="s">
        <v>550</v>
      </c>
      <c r="H943" s="127" t="s">
        <v>526</v>
      </c>
      <c r="I943" s="127"/>
      <c r="J943" s="127"/>
      <c r="K943" s="127"/>
      <c r="L943" s="127"/>
    </row>
    <row r="944" spans="1:12" ht="18" customHeight="1" x14ac:dyDescent="0.2">
      <c r="A944" s="91">
        <v>44000</v>
      </c>
      <c r="B944" s="93" t="s">
        <v>406</v>
      </c>
      <c r="C944" s="36">
        <f>'Final Aircraft Checkouts'!C283</f>
        <v>9.880504722357844E-2</v>
      </c>
      <c r="D944" s="93" t="s">
        <v>125</v>
      </c>
      <c r="E944" s="93" t="s">
        <v>137</v>
      </c>
      <c r="F944" s="93" t="s">
        <v>21</v>
      </c>
      <c r="G944" s="29" t="s">
        <v>550</v>
      </c>
      <c r="H944" s="127" t="s">
        <v>526</v>
      </c>
      <c r="I944" s="127"/>
      <c r="J944" s="127"/>
      <c r="K944" s="127"/>
      <c r="L944" s="127"/>
    </row>
    <row r="945" spans="1:12" ht="18" customHeight="1" x14ac:dyDescent="0.2">
      <c r="A945" s="91">
        <v>45000</v>
      </c>
      <c r="B945" s="93" t="s">
        <v>406</v>
      </c>
      <c r="C945" s="36">
        <f>'Final Aircraft Checkouts'!C284</f>
        <v>0.10363523123234521</v>
      </c>
      <c r="D945" s="93" t="s">
        <v>125</v>
      </c>
      <c r="E945" s="93" t="s">
        <v>137</v>
      </c>
      <c r="F945" s="93" t="s">
        <v>21</v>
      </c>
      <c r="G945" s="29" t="s">
        <v>550</v>
      </c>
      <c r="H945" s="127" t="s">
        <v>526</v>
      </c>
      <c r="I945" s="127"/>
      <c r="J945" s="127"/>
      <c r="K945" s="127"/>
      <c r="L945" s="127"/>
    </row>
    <row r="946" spans="1:12" ht="18" customHeight="1" x14ac:dyDescent="0.2">
      <c r="A946" s="91">
        <v>46000</v>
      </c>
      <c r="B946" s="93" t="s">
        <v>406</v>
      </c>
      <c r="C946" s="36">
        <f>'Final Aircraft Checkouts'!C285</f>
        <v>0.10871469797756568</v>
      </c>
      <c r="D946" s="93" t="s">
        <v>125</v>
      </c>
      <c r="E946" s="93" t="s">
        <v>137</v>
      </c>
      <c r="F946" s="93" t="s">
        <v>21</v>
      </c>
      <c r="G946" s="29" t="s">
        <v>550</v>
      </c>
      <c r="H946" s="127" t="s">
        <v>526</v>
      </c>
      <c r="I946" s="127"/>
      <c r="J946" s="127"/>
      <c r="K946" s="127"/>
      <c r="L946" s="127"/>
    </row>
    <row r="947" spans="1:12" ht="18" customHeight="1" x14ac:dyDescent="0.2">
      <c r="A947" s="91">
        <v>47000</v>
      </c>
      <c r="B947" s="93" t="s">
        <v>406</v>
      </c>
      <c r="C947" s="36">
        <f>'Final Aircraft Checkouts'!C286</f>
        <v>0.11404562580031703</v>
      </c>
      <c r="D947" s="93" t="s">
        <v>125</v>
      </c>
      <c r="E947" s="93" t="s">
        <v>137</v>
      </c>
      <c r="F947" s="93" t="s">
        <v>21</v>
      </c>
      <c r="G947" s="29" t="s">
        <v>550</v>
      </c>
      <c r="H947" s="127" t="s">
        <v>526</v>
      </c>
      <c r="I947" s="127"/>
      <c r="J947" s="127"/>
      <c r="K947" s="127"/>
      <c r="L947" s="127"/>
    </row>
    <row r="948" spans="1:12" ht="18" customHeight="1" x14ac:dyDescent="0.2">
      <c r="A948" s="91">
        <v>48000</v>
      </c>
      <c r="B948" s="93" t="s">
        <v>406</v>
      </c>
      <c r="C948" s="36">
        <f>'Final Aircraft Checkouts'!C287</f>
        <v>0.11962688489066965</v>
      </c>
      <c r="D948" s="93" t="s">
        <v>125</v>
      </c>
      <c r="E948" s="93" t="s">
        <v>137</v>
      </c>
      <c r="F948" s="93" t="s">
        <v>21</v>
      </c>
      <c r="G948" s="29" t="s">
        <v>550</v>
      </c>
      <c r="H948" s="127" t="s">
        <v>526</v>
      </c>
      <c r="I948" s="127"/>
      <c r="J948" s="127"/>
      <c r="K948" s="127"/>
      <c r="L948" s="127"/>
    </row>
    <row r="949" spans="1:12" ht="18" customHeight="1" x14ac:dyDescent="0.2">
      <c r="A949" s="91">
        <v>49000</v>
      </c>
      <c r="B949" s="93" t="s">
        <v>406</v>
      </c>
      <c r="C949" s="36">
        <f>'Final Aircraft Checkouts'!C288</f>
        <v>0.12551890856356612</v>
      </c>
      <c r="D949" s="93" t="s">
        <v>125</v>
      </c>
      <c r="E949" s="93" t="s">
        <v>137</v>
      </c>
      <c r="F949" s="93" t="s">
        <v>21</v>
      </c>
      <c r="G949" s="29" t="s">
        <v>550</v>
      </c>
      <c r="H949" s="127" t="s">
        <v>526</v>
      </c>
      <c r="I949" s="127"/>
      <c r="J949" s="127"/>
      <c r="K949" s="127"/>
      <c r="L949" s="127"/>
    </row>
    <row r="950" spans="1:12" ht="18" customHeight="1" x14ac:dyDescent="0.2">
      <c r="A950" s="93" t="s">
        <v>447</v>
      </c>
      <c r="B950" s="47" t="s">
        <v>448</v>
      </c>
      <c r="C950" s="48">
        <v>0.10158298411673315</v>
      </c>
      <c r="D950" s="93" t="s">
        <v>125</v>
      </c>
      <c r="E950" s="93" t="s">
        <v>137</v>
      </c>
      <c r="F950" s="93" t="s">
        <v>399</v>
      </c>
      <c r="G950" s="29" t="s">
        <v>137</v>
      </c>
      <c r="H950" s="127" t="s">
        <v>449</v>
      </c>
      <c r="I950" s="127"/>
      <c r="J950" s="127"/>
      <c r="K950" s="127"/>
      <c r="L950" s="127"/>
    </row>
    <row r="951" spans="1:12" ht="18" customHeight="1" x14ac:dyDescent="0.2">
      <c r="A951" s="93" t="s">
        <v>447</v>
      </c>
      <c r="B951" s="47" t="s">
        <v>448</v>
      </c>
      <c r="C951" s="48">
        <v>0.10158298411673315</v>
      </c>
      <c r="D951" s="93" t="s">
        <v>125</v>
      </c>
      <c r="E951" s="93" t="s">
        <v>137</v>
      </c>
      <c r="F951" s="93" t="s">
        <v>399</v>
      </c>
      <c r="G951" s="29" t="s">
        <v>137</v>
      </c>
      <c r="H951" s="127" t="s">
        <v>449</v>
      </c>
      <c r="I951" s="127"/>
      <c r="J951" s="127"/>
      <c r="K951" s="127"/>
      <c r="L951" s="127"/>
    </row>
    <row r="952" spans="1:12" ht="18" customHeight="1" x14ac:dyDescent="0.2">
      <c r="A952" s="93" t="s">
        <v>447</v>
      </c>
      <c r="B952" s="47" t="s">
        <v>448</v>
      </c>
      <c r="C952" s="48">
        <v>0.10158298411673315</v>
      </c>
      <c r="D952" s="93" t="s">
        <v>125</v>
      </c>
      <c r="E952" s="93" t="s">
        <v>137</v>
      </c>
      <c r="F952" s="93" t="s">
        <v>399</v>
      </c>
      <c r="G952" s="29" t="s">
        <v>137</v>
      </c>
      <c r="H952" s="127" t="s">
        <v>449</v>
      </c>
      <c r="I952" s="127"/>
      <c r="J952" s="127"/>
      <c r="K952" s="127"/>
      <c r="L952" s="127"/>
    </row>
    <row r="953" spans="1:12" ht="18" customHeight="1" x14ac:dyDescent="0.2">
      <c r="A953" s="93" t="s">
        <v>447</v>
      </c>
      <c r="B953" s="47" t="s">
        <v>448</v>
      </c>
      <c r="C953" s="48">
        <v>0.10158298411673315</v>
      </c>
      <c r="D953" s="93" t="s">
        <v>125</v>
      </c>
      <c r="E953" s="93" t="s">
        <v>137</v>
      </c>
      <c r="F953" s="93" t="s">
        <v>399</v>
      </c>
      <c r="G953" s="29" t="s">
        <v>137</v>
      </c>
      <c r="H953" s="127" t="s">
        <v>449</v>
      </c>
      <c r="I953" s="127"/>
      <c r="J953" s="127"/>
      <c r="K953" s="127"/>
      <c r="L953" s="127"/>
    </row>
    <row r="954" spans="1:12" ht="18" customHeight="1" x14ac:dyDescent="0.2">
      <c r="A954" s="93" t="s">
        <v>447</v>
      </c>
      <c r="B954" s="47" t="s">
        <v>448</v>
      </c>
      <c r="C954" s="48">
        <v>0.10158298411673315</v>
      </c>
      <c r="D954" s="93" t="s">
        <v>125</v>
      </c>
      <c r="E954" s="93" t="s">
        <v>137</v>
      </c>
      <c r="F954" s="93" t="s">
        <v>399</v>
      </c>
      <c r="G954" s="29" t="s">
        <v>137</v>
      </c>
      <c r="H954" s="127" t="s">
        <v>449</v>
      </c>
      <c r="I954" s="127"/>
      <c r="J954" s="127"/>
      <c r="K954" s="127"/>
      <c r="L954" s="127"/>
    </row>
    <row r="955" spans="1:12" ht="18" customHeight="1" x14ac:dyDescent="0.2">
      <c r="A955" s="93" t="s">
        <v>447</v>
      </c>
      <c r="B955" s="47" t="s">
        <v>448</v>
      </c>
      <c r="C955" s="48">
        <v>0.10158298411673315</v>
      </c>
      <c r="D955" s="93" t="s">
        <v>125</v>
      </c>
      <c r="E955" s="93" t="s">
        <v>137</v>
      </c>
      <c r="F955" s="93" t="s">
        <v>399</v>
      </c>
      <c r="G955" s="29" t="s">
        <v>137</v>
      </c>
      <c r="H955" s="127" t="s">
        <v>449</v>
      </c>
      <c r="I955" s="127"/>
      <c r="J955" s="127"/>
      <c r="K955" s="127"/>
      <c r="L955" s="127"/>
    </row>
    <row r="956" spans="1:12" ht="18" customHeight="1" x14ac:dyDescent="0.2">
      <c r="A956" s="93" t="s">
        <v>447</v>
      </c>
      <c r="B956" s="47" t="s">
        <v>448</v>
      </c>
      <c r="C956" s="48">
        <v>0.10158298411673315</v>
      </c>
      <c r="D956" s="93" t="s">
        <v>125</v>
      </c>
      <c r="E956" s="93" t="s">
        <v>137</v>
      </c>
      <c r="F956" s="93" t="s">
        <v>399</v>
      </c>
      <c r="G956" s="29" t="s">
        <v>137</v>
      </c>
      <c r="H956" s="127" t="s">
        <v>449</v>
      </c>
      <c r="I956" s="127"/>
      <c r="J956" s="127"/>
      <c r="K956" s="127"/>
      <c r="L956" s="127"/>
    </row>
    <row r="957" spans="1:12" ht="18" customHeight="1" x14ac:dyDescent="0.2">
      <c r="A957" s="93" t="s">
        <v>447</v>
      </c>
      <c r="B957" s="47" t="s">
        <v>448</v>
      </c>
      <c r="C957" s="48">
        <v>0.10158298411673315</v>
      </c>
      <c r="D957" s="93" t="s">
        <v>125</v>
      </c>
      <c r="E957" s="93" t="s">
        <v>137</v>
      </c>
      <c r="F957" s="93" t="s">
        <v>399</v>
      </c>
      <c r="G957" s="29" t="s">
        <v>137</v>
      </c>
      <c r="H957" s="127" t="s">
        <v>449</v>
      </c>
      <c r="I957" s="127"/>
      <c r="J957" s="127"/>
      <c r="K957" s="127"/>
      <c r="L957" s="127"/>
    </row>
    <row r="958" spans="1:12" ht="18" customHeight="1" x14ac:dyDescent="0.2">
      <c r="A958" s="93" t="s">
        <v>447</v>
      </c>
      <c r="B958" s="47" t="s">
        <v>448</v>
      </c>
      <c r="C958" s="48">
        <v>0.10158298411673315</v>
      </c>
      <c r="D958" s="93" t="s">
        <v>125</v>
      </c>
      <c r="E958" s="93" t="s">
        <v>137</v>
      </c>
      <c r="F958" s="93" t="s">
        <v>399</v>
      </c>
      <c r="G958" s="29" t="s">
        <v>137</v>
      </c>
      <c r="H958" s="127" t="s">
        <v>449</v>
      </c>
      <c r="I958" s="127"/>
      <c r="J958" s="127"/>
      <c r="K958" s="127"/>
      <c r="L958" s="127"/>
    </row>
    <row r="959" spans="1:12" ht="18" customHeight="1" x14ac:dyDescent="0.2">
      <c r="A959" s="93" t="s">
        <v>558</v>
      </c>
      <c r="B959" s="93" t="s">
        <v>436</v>
      </c>
      <c r="C959" s="36">
        <f xml:space="preserve"> ABS((C941-CFD!$B$19)/(CFD!$B$20-CFD!$B$19)*(CFD!$A$20-CFD!$A$19) + CFD!$A$19)*PI()/180</f>
        <v>2.9964435203017819E-2</v>
      </c>
      <c r="D959" s="93" t="s">
        <v>125</v>
      </c>
      <c r="E959" s="93" t="s">
        <v>407</v>
      </c>
      <c r="F959" s="93" t="s">
        <v>21</v>
      </c>
      <c r="G959" s="29" t="s">
        <v>550</v>
      </c>
      <c r="H959" s="127" t="s">
        <v>526</v>
      </c>
      <c r="I959" s="127"/>
      <c r="J959" s="127"/>
      <c r="K959" s="127"/>
      <c r="L959" s="127"/>
    </row>
    <row r="960" spans="1:12" ht="18" customHeight="1" x14ac:dyDescent="0.2">
      <c r="A960" s="91">
        <v>42000</v>
      </c>
      <c r="B960" s="93" t="s">
        <v>436</v>
      </c>
      <c r="C960" s="36">
        <f xml:space="preserve"> ABS((C942-CFD!$B$19)/(CFD!$B$20-CFD!$B$19)*(CFD!$A$20-CFD!$A$19) + CFD!$A$19)*PI()/180</f>
        <v>3.1425459845004729E-2</v>
      </c>
      <c r="D960" s="93"/>
      <c r="E960" s="93" t="s">
        <v>407</v>
      </c>
      <c r="F960" s="93" t="s">
        <v>21</v>
      </c>
      <c r="G960" s="29" t="s">
        <v>550</v>
      </c>
      <c r="H960" s="127" t="s">
        <v>526</v>
      </c>
      <c r="I960" s="127"/>
      <c r="J960" s="127"/>
      <c r="K960" s="127"/>
      <c r="L960" s="127"/>
    </row>
    <row r="961" spans="1:12" ht="18" customHeight="1" x14ac:dyDescent="0.2">
      <c r="A961" s="91">
        <v>43000</v>
      </c>
      <c r="B961" s="93" t="s">
        <v>436</v>
      </c>
      <c r="C961" s="36">
        <f xml:space="preserve"> ABS((C943-CFD!$B$19)/(CFD!$B$20-CFD!$B$19)*(CFD!$A$20-CFD!$A$19) + CFD!$A$19)*PI()/180</f>
        <v>3.2953471803728165E-2</v>
      </c>
      <c r="D961" s="93"/>
      <c r="E961" s="93" t="s">
        <v>407</v>
      </c>
      <c r="F961" s="93" t="s">
        <v>21</v>
      </c>
      <c r="G961" s="29" t="s">
        <v>550</v>
      </c>
      <c r="H961" s="127" t="s">
        <v>526</v>
      </c>
      <c r="I961" s="127"/>
      <c r="J961" s="127"/>
      <c r="K961" s="127"/>
      <c r="L961" s="127"/>
    </row>
    <row r="962" spans="1:12" ht="18" customHeight="1" x14ac:dyDescent="0.2">
      <c r="A962" s="91">
        <v>44000</v>
      </c>
      <c r="B962" s="93" t="s">
        <v>436</v>
      </c>
      <c r="C962" s="36">
        <f xml:space="preserve"> ABS((C944-CFD!$B$19)/(CFD!$B$20-CFD!$B$19)*(CFD!$A$20-CFD!$A$19) + CFD!$A$19)*PI()/180</f>
        <v>3.4560664684300628E-2</v>
      </c>
      <c r="D962" s="93"/>
      <c r="E962" s="93" t="s">
        <v>407</v>
      </c>
      <c r="F962" s="93" t="s">
        <v>21</v>
      </c>
      <c r="G962" s="29" t="s">
        <v>550</v>
      </c>
      <c r="H962" s="127" t="s">
        <v>526</v>
      </c>
      <c r="I962" s="127"/>
      <c r="J962" s="127"/>
      <c r="K962" s="127"/>
      <c r="L962" s="127"/>
    </row>
    <row r="963" spans="1:12" ht="18" customHeight="1" x14ac:dyDescent="0.2">
      <c r="A963" s="91">
        <v>45000</v>
      </c>
      <c r="B963" s="93" t="s">
        <v>436</v>
      </c>
      <c r="C963" s="36">
        <f xml:space="preserve"> ABS((C945-CFD!$B$19)/(CFD!$B$20-CFD!$B$19)*(CFD!$A$20-CFD!$A$19) + CFD!$A$19)*PI()/180</f>
        <v>3.6239999633108567E-2</v>
      </c>
      <c r="D963" s="93"/>
      <c r="E963" s="93" t="s">
        <v>407</v>
      </c>
      <c r="F963" s="93" t="s">
        <v>21</v>
      </c>
      <c r="G963" s="29" t="s">
        <v>550</v>
      </c>
      <c r="H963" s="127" t="s">
        <v>526</v>
      </c>
      <c r="I963" s="127"/>
      <c r="J963" s="127"/>
      <c r="K963" s="127"/>
      <c r="L963" s="127"/>
    </row>
    <row r="964" spans="1:12" ht="18" customHeight="1" x14ac:dyDescent="0.2">
      <c r="A964" s="91">
        <v>46000</v>
      </c>
      <c r="B964" s="93" t="s">
        <v>436</v>
      </c>
      <c r="C964" s="36">
        <f xml:space="preserve"> ABS((C946-CFD!$B$19)/(CFD!$B$20-CFD!$B$19)*(CFD!$A$20-CFD!$A$19) + CFD!$A$19)*PI()/180</f>
        <v>3.8006003994655535E-2</v>
      </c>
      <c r="D964" s="93"/>
      <c r="E964" s="93" t="s">
        <v>407</v>
      </c>
      <c r="F964" s="93" t="s">
        <v>21</v>
      </c>
      <c r="G964" s="29" t="s">
        <v>550</v>
      </c>
      <c r="H964" s="127" t="s">
        <v>526</v>
      </c>
      <c r="I964" s="127"/>
      <c r="J964" s="127"/>
      <c r="K964" s="127"/>
      <c r="L964" s="127"/>
    </row>
    <row r="965" spans="1:12" ht="18" customHeight="1" x14ac:dyDescent="0.2">
      <c r="A965" s="91">
        <v>47000</v>
      </c>
      <c r="B965" s="93" t="s">
        <v>436</v>
      </c>
      <c r="C965" s="36">
        <f xml:space="preserve"> ABS((C947-CFD!$B$19)/(CFD!$B$20-CFD!$B$19)*(CFD!$A$20-CFD!$A$19) + CFD!$A$19)*PI()/180</f>
        <v>3.9859435124001821E-2</v>
      </c>
      <c r="D965" s="93"/>
      <c r="E965" s="93" t="s">
        <v>407</v>
      </c>
      <c r="F965" s="93" t="s">
        <v>21</v>
      </c>
      <c r="G965" s="29" t="s">
        <v>550</v>
      </c>
      <c r="H965" s="127" t="s">
        <v>526</v>
      </c>
      <c r="I965" s="127"/>
      <c r="J965" s="127"/>
      <c r="K965" s="127"/>
      <c r="L965" s="127"/>
    </row>
    <row r="966" spans="1:12" ht="18" customHeight="1" x14ac:dyDescent="0.2">
      <c r="A966" s="91">
        <v>48000</v>
      </c>
      <c r="B966" s="93" t="s">
        <v>436</v>
      </c>
      <c r="C966" s="36">
        <f xml:space="preserve"> ABS((C948-CFD!$B$19)/(CFD!$B$20-CFD!$B$19)*(CFD!$A$20-CFD!$A$19) + CFD!$A$19)*PI()/180</f>
        <v>4.1799900214310917E-2</v>
      </c>
      <c r="D966" s="93"/>
      <c r="E966" s="93" t="s">
        <v>407</v>
      </c>
      <c r="F966" s="93" t="s">
        <v>21</v>
      </c>
      <c r="G966" s="29" t="s">
        <v>550</v>
      </c>
      <c r="H966" s="127" t="s">
        <v>526</v>
      </c>
      <c r="I966" s="127"/>
      <c r="J966" s="127"/>
      <c r="K966" s="127"/>
      <c r="L966" s="127"/>
    </row>
    <row r="967" spans="1:12" ht="18" customHeight="1" x14ac:dyDescent="0.2">
      <c r="A967" s="91">
        <v>49000</v>
      </c>
      <c r="B967" s="93" t="s">
        <v>436</v>
      </c>
      <c r="C967" s="36">
        <f xml:space="preserve"> ABS((C949-CFD!$B$19)/(CFD!$B$20-CFD!$B$19)*(CFD!$A$20-CFD!$A$19) + CFD!$A$19)*PI()/180</f>
        <v>4.3848410427408391E-2</v>
      </c>
      <c r="D967" s="93"/>
      <c r="E967" s="93" t="s">
        <v>407</v>
      </c>
      <c r="F967" s="93" t="s">
        <v>21</v>
      </c>
      <c r="G967" s="29" t="s">
        <v>550</v>
      </c>
      <c r="H967" s="127" t="s">
        <v>526</v>
      </c>
      <c r="I967" s="127"/>
      <c r="J967" s="127"/>
      <c r="K967" s="127"/>
      <c r="L967" s="127"/>
    </row>
    <row r="968" spans="1:12" ht="18" customHeight="1" x14ac:dyDescent="0.2">
      <c r="A968" s="93" t="s">
        <v>560</v>
      </c>
      <c r="B968" s="47" t="s">
        <v>481</v>
      </c>
      <c r="C968" s="48">
        <f>C950/C986</f>
        <v>3.5565477399500146E-2</v>
      </c>
      <c r="D968" s="93" t="s">
        <v>125</v>
      </c>
      <c r="E968" s="93" t="s">
        <v>407</v>
      </c>
      <c r="F968" s="93" t="s">
        <v>21</v>
      </c>
      <c r="G968" s="29" t="s">
        <v>482</v>
      </c>
      <c r="H968" s="127" t="s">
        <v>483</v>
      </c>
      <c r="I968" s="127"/>
      <c r="J968" s="127"/>
      <c r="K968" s="127"/>
      <c r="L968" s="127"/>
    </row>
    <row r="969" spans="1:12" ht="18" customHeight="1" x14ac:dyDescent="0.2">
      <c r="A969" s="91">
        <v>42000</v>
      </c>
      <c r="B969" s="47" t="s">
        <v>481</v>
      </c>
      <c r="C969" s="48">
        <f>C951/C987</f>
        <v>3.5553889203169348E-2</v>
      </c>
      <c r="D969" s="93" t="s">
        <v>125</v>
      </c>
      <c r="E969" s="93" t="s">
        <v>407</v>
      </c>
      <c r="F969" s="93" t="s">
        <v>21</v>
      </c>
      <c r="G969" s="29" t="s">
        <v>482</v>
      </c>
      <c r="H969" s="127" t="s">
        <v>483</v>
      </c>
      <c r="I969" s="127"/>
      <c r="J969" s="127"/>
      <c r="K969" s="127"/>
      <c r="L969" s="127"/>
    </row>
    <row r="970" spans="1:12" ht="18" customHeight="1" x14ac:dyDescent="0.2">
      <c r="A970" s="91">
        <v>43000</v>
      </c>
      <c r="B970" s="47" t="s">
        <v>481</v>
      </c>
      <c r="C970" s="48">
        <f t="shared" ref="C970:C976" si="36">C952/C988</f>
        <v>3.5542875993679383E-2</v>
      </c>
      <c r="D970" s="93" t="s">
        <v>125</v>
      </c>
      <c r="E970" s="93" t="s">
        <v>407</v>
      </c>
      <c r="F970" s="93" t="s">
        <v>21</v>
      </c>
      <c r="G970" s="29" t="s">
        <v>482</v>
      </c>
      <c r="H970" s="127" t="s">
        <v>483</v>
      </c>
      <c r="I970" s="127"/>
      <c r="J970" s="127"/>
      <c r="K970" s="127"/>
      <c r="L970" s="127"/>
    </row>
    <row r="971" spans="1:12" ht="18" customHeight="1" x14ac:dyDescent="0.2">
      <c r="A971" s="91">
        <v>44000</v>
      </c>
      <c r="B971" s="47" t="s">
        <v>481</v>
      </c>
      <c r="C971" s="48">
        <f t="shared" si="36"/>
        <v>3.5532349311516283E-2</v>
      </c>
      <c r="D971" s="93" t="s">
        <v>125</v>
      </c>
      <c r="E971" s="93" t="s">
        <v>407</v>
      </c>
      <c r="F971" s="93" t="s">
        <v>21</v>
      </c>
      <c r="G971" s="29" t="s">
        <v>482</v>
      </c>
      <c r="H971" s="127" t="s">
        <v>483</v>
      </c>
      <c r="I971" s="127"/>
      <c r="J971" s="127"/>
      <c r="K971" s="127"/>
      <c r="L971" s="127"/>
    </row>
    <row r="972" spans="1:12" ht="18" customHeight="1" x14ac:dyDescent="0.2">
      <c r="A972" s="91">
        <v>45000</v>
      </c>
      <c r="B972" s="47" t="s">
        <v>481</v>
      </c>
      <c r="C972" s="48">
        <f t="shared" si="36"/>
        <v>3.5522353386437035E-2</v>
      </c>
      <c r="D972" s="93" t="s">
        <v>125</v>
      </c>
      <c r="E972" s="93" t="s">
        <v>407</v>
      </c>
      <c r="F972" s="93" t="s">
        <v>21</v>
      </c>
      <c r="G972" s="29" t="s">
        <v>482</v>
      </c>
      <c r="H972" s="127" t="s">
        <v>483</v>
      </c>
      <c r="I972" s="127"/>
      <c r="J972" s="127"/>
      <c r="K972" s="127"/>
      <c r="L972" s="127"/>
    </row>
    <row r="973" spans="1:12" ht="18" customHeight="1" x14ac:dyDescent="0.2">
      <c r="A973" s="91">
        <v>46000</v>
      </c>
      <c r="B973" s="47" t="s">
        <v>481</v>
      </c>
      <c r="C973" s="48">
        <f t="shared" si="36"/>
        <v>3.5512799758927675E-2</v>
      </c>
      <c r="D973" s="93" t="s">
        <v>125</v>
      </c>
      <c r="E973" s="93" t="s">
        <v>407</v>
      </c>
      <c r="F973" s="93" t="s">
        <v>21</v>
      </c>
      <c r="G973" s="29" t="s">
        <v>482</v>
      </c>
      <c r="H973" s="127" t="s">
        <v>483</v>
      </c>
      <c r="I973" s="127"/>
      <c r="J973" s="127"/>
      <c r="K973" s="127"/>
      <c r="L973" s="127"/>
    </row>
    <row r="974" spans="1:12" ht="18" customHeight="1" x14ac:dyDescent="0.2">
      <c r="A974" s="91">
        <v>47000</v>
      </c>
      <c r="B974" s="47" t="s">
        <v>481</v>
      </c>
      <c r="C974" s="48">
        <f t="shared" si="36"/>
        <v>3.5503688428988184E-2</v>
      </c>
      <c r="D974" s="93" t="s">
        <v>125</v>
      </c>
      <c r="E974" s="93" t="s">
        <v>407</v>
      </c>
      <c r="F974" s="93" t="s">
        <v>21</v>
      </c>
      <c r="G974" s="29" t="s">
        <v>482</v>
      </c>
      <c r="H974" s="127" t="s">
        <v>483</v>
      </c>
      <c r="I974" s="127"/>
      <c r="J974" s="127"/>
      <c r="K974" s="127"/>
      <c r="L974" s="127"/>
    </row>
    <row r="975" spans="1:12" ht="18" customHeight="1" x14ac:dyDescent="0.2">
      <c r="A975" s="91">
        <v>48000</v>
      </c>
      <c r="B975" s="47" t="s">
        <v>481</v>
      </c>
      <c r="C975" s="48">
        <f t="shared" si="36"/>
        <v>3.5495019396618567E-2</v>
      </c>
      <c r="D975" s="93" t="s">
        <v>125</v>
      </c>
      <c r="E975" s="93" t="s">
        <v>407</v>
      </c>
      <c r="F975" s="93" t="s">
        <v>21</v>
      </c>
      <c r="G975" s="29" t="s">
        <v>482</v>
      </c>
      <c r="H975" s="127" t="s">
        <v>483</v>
      </c>
      <c r="I975" s="127"/>
      <c r="J975" s="127"/>
      <c r="K975" s="127"/>
      <c r="L975" s="127"/>
    </row>
    <row r="976" spans="1:12" ht="18" customHeight="1" x14ac:dyDescent="0.2">
      <c r="A976" s="91">
        <v>49000</v>
      </c>
      <c r="B976" s="47" t="s">
        <v>481</v>
      </c>
      <c r="C976" s="48">
        <f t="shared" si="36"/>
        <v>3.5486704202304868E-2</v>
      </c>
      <c r="D976" s="93" t="s">
        <v>125</v>
      </c>
      <c r="E976" s="93" t="s">
        <v>407</v>
      </c>
      <c r="F976" s="93" t="s">
        <v>21</v>
      </c>
      <c r="G976" s="29" t="s">
        <v>482</v>
      </c>
      <c r="H976" s="127" t="s">
        <v>483</v>
      </c>
      <c r="I976" s="127"/>
      <c r="J976" s="127"/>
      <c r="K976" s="127"/>
      <c r="L976" s="127"/>
    </row>
    <row r="977" spans="1:12" ht="18" customHeight="1" x14ac:dyDescent="0.2">
      <c r="A977" s="93" t="s">
        <v>559</v>
      </c>
      <c r="B977" s="93" t="s">
        <v>420</v>
      </c>
      <c r="C977" s="36">
        <f t="shared" ref="C977:C985" si="37">C941/C959</f>
        <v>2.8562243935508325</v>
      </c>
      <c r="D977" s="93" t="s">
        <v>125</v>
      </c>
      <c r="E977" s="93" t="s">
        <v>421</v>
      </c>
      <c r="F977" s="93" t="s">
        <v>21</v>
      </c>
      <c r="G977" s="29" t="s">
        <v>422</v>
      </c>
      <c r="H977" s="110" t="s">
        <v>423</v>
      </c>
      <c r="I977" s="110"/>
      <c r="J977" s="110"/>
      <c r="K977" s="110"/>
      <c r="L977" s="110"/>
    </row>
    <row r="978" spans="1:12" ht="18" customHeight="1" x14ac:dyDescent="0.2">
      <c r="A978" s="91">
        <v>42000</v>
      </c>
      <c r="B978" s="93" t="s">
        <v>420</v>
      </c>
      <c r="C978" s="36">
        <f t="shared" si="37"/>
        <v>2.8571553321845262</v>
      </c>
      <c r="D978" s="93" t="s">
        <v>125</v>
      </c>
      <c r="E978" s="93" t="s">
        <v>421</v>
      </c>
      <c r="F978" s="93" t="s">
        <v>21</v>
      </c>
      <c r="G978" s="29" t="s">
        <v>422</v>
      </c>
      <c r="H978" s="110" t="s">
        <v>423</v>
      </c>
      <c r="I978" s="110"/>
      <c r="J978" s="110"/>
      <c r="K978" s="110"/>
      <c r="L978" s="110"/>
    </row>
    <row r="979" spans="1:12" ht="18" customHeight="1" x14ac:dyDescent="0.2">
      <c r="A979" s="91">
        <v>43000</v>
      </c>
      <c r="B979" s="93" t="s">
        <v>420</v>
      </c>
      <c r="C979" s="36">
        <f t="shared" si="37"/>
        <v>2.8580406418095636</v>
      </c>
      <c r="D979" s="93" t="s">
        <v>125</v>
      </c>
      <c r="E979" s="93" t="s">
        <v>421</v>
      </c>
      <c r="F979" s="93" t="s">
        <v>21</v>
      </c>
      <c r="G979" s="29" t="s">
        <v>422</v>
      </c>
      <c r="H979" s="110" t="s">
        <v>423</v>
      </c>
      <c r="I979" s="110"/>
      <c r="J979" s="110"/>
      <c r="K979" s="110"/>
      <c r="L979" s="110"/>
    </row>
    <row r="980" spans="1:12" ht="18" customHeight="1" x14ac:dyDescent="0.2">
      <c r="A980" s="91">
        <v>44000</v>
      </c>
      <c r="B980" s="93" t="s">
        <v>420</v>
      </c>
      <c r="C980" s="36">
        <f t="shared" si="37"/>
        <v>2.8588873543413409</v>
      </c>
      <c r="D980" s="93" t="s">
        <v>125</v>
      </c>
      <c r="E980" s="93" t="s">
        <v>421</v>
      </c>
      <c r="F980" s="93" t="s">
        <v>21</v>
      </c>
      <c r="G980" s="29" t="s">
        <v>422</v>
      </c>
      <c r="H980" s="110" t="s">
        <v>423</v>
      </c>
      <c r="I980" s="110"/>
      <c r="J980" s="110"/>
      <c r="K980" s="110"/>
      <c r="L980" s="110"/>
    </row>
    <row r="981" spans="1:12" ht="18" customHeight="1" x14ac:dyDescent="0.2">
      <c r="A981" s="91">
        <v>45000</v>
      </c>
      <c r="B981" s="93" t="s">
        <v>420</v>
      </c>
      <c r="C981" s="36">
        <f t="shared" si="37"/>
        <v>2.8596918399983897</v>
      </c>
      <c r="D981" s="93" t="s">
        <v>125</v>
      </c>
      <c r="E981" s="93" t="s">
        <v>421</v>
      </c>
      <c r="F981" s="93" t="s">
        <v>21</v>
      </c>
      <c r="G981" s="29" t="s">
        <v>422</v>
      </c>
      <c r="H981" s="110" t="s">
        <v>423</v>
      </c>
      <c r="I981" s="110"/>
      <c r="J981" s="110"/>
      <c r="K981" s="110"/>
      <c r="L981" s="110"/>
    </row>
    <row r="982" spans="1:12" ht="18" customHeight="1" x14ac:dyDescent="0.2">
      <c r="A982" s="91">
        <v>46000</v>
      </c>
      <c r="B982" s="93" t="s">
        <v>420</v>
      </c>
      <c r="C982" s="36">
        <f t="shared" si="37"/>
        <v>2.8604611522130376</v>
      </c>
      <c r="D982" s="93" t="s">
        <v>125</v>
      </c>
      <c r="E982" s="93" t="s">
        <v>421</v>
      </c>
      <c r="F982" s="93" t="s">
        <v>21</v>
      </c>
      <c r="G982" s="29" t="s">
        <v>422</v>
      </c>
      <c r="H982" s="110" t="s">
        <v>423</v>
      </c>
      <c r="I982" s="110"/>
      <c r="J982" s="110"/>
      <c r="K982" s="110"/>
      <c r="L982" s="110"/>
    </row>
    <row r="983" spans="1:12" ht="18" customHeight="1" x14ac:dyDescent="0.2">
      <c r="A983" s="91">
        <v>47000</v>
      </c>
      <c r="B983" s="93" t="s">
        <v>420</v>
      </c>
      <c r="C983" s="36">
        <f t="shared" si="37"/>
        <v>2.8611952338392057</v>
      </c>
      <c r="D983" s="93" t="s">
        <v>125</v>
      </c>
      <c r="E983" s="93" t="s">
        <v>421</v>
      </c>
      <c r="F983" s="93" t="s">
        <v>21</v>
      </c>
      <c r="G983" s="29" t="s">
        <v>422</v>
      </c>
      <c r="H983" s="110" t="s">
        <v>423</v>
      </c>
      <c r="I983" s="110"/>
      <c r="J983" s="110"/>
      <c r="K983" s="110"/>
      <c r="L983" s="110"/>
    </row>
    <row r="984" spans="1:12" ht="18" customHeight="1" x14ac:dyDescent="0.2">
      <c r="A984" s="91">
        <v>48000</v>
      </c>
      <c r="B984" s="93" t="s">
        <v>420</v>
      </c>
      <c r="C984" s="36">
        <f t="shared" si="37"/>
        <v>2.8618940303047262</v>
      </c>
      <c r="D984" s="93" t="s">
        <v>125</v>
      </c>
      <c r="E984" s="93" t="s">
        <v>421</v>
      </c>
      <c r="F984" s="93" t="s">
        <v>21</v>
      </c>
      <c r="G984" s="29" t="s">
        <v>422</v>
      </c>
      <c r="H984" s="110" t="s">
        <v>423</v>
      </c>
      <c r="I984" s="110"/>
      <c r="J984" s="110"/>
      <c r="K984" s="110"/>
      <c r="L984" s="110"/>
    </row>
    <row r="985" spans="1:12" ht="18" customHeight="1" x14ac:dyDescent="0.2">
      <c r="A985" s="91">
        <v>49000</v>
      </c>
      <c r="B985" s="93" t="s">
        <v>420</v>
      </c>
      <c r="C985" s="36">
        <f t="shared" si="37"/>
        <v>2.8625646252642225</v>
      </c>
      <c r="D985" s="93" t="s">
        <v>125</v>
      </c>
      <c r="E985" s="93" t="s">
        <v>421</v>
      </c>
      <c r="F985" s="93" t="s">
        <v>21</v>
      </c>
      <c r="G985" s="29" t="s">
        <v>422</v>
      </c>
      <c r="H985" s="110" t="s">
        <v>423</v>
      </c>
      <c r="I985" s="110"/>
      <c r="J985" s="110"/>
      <c r="K985" s="110"/>
      <c r="L985" s="110"/>
    </row>
    <row r="986" spans="1:12" ht="18" customHeight="1" x14ac:dyDescent="0.2">
      <c r="A986" s="93" t="s">
        <v>425</v>
      </c>
      <c r="B986" s="93" t="s">
        <v>426</v>
      </c>
      <c r="C986" s="36">
        <f>C977</f>
        <v>2.8562243935508325</v>
      </c>
      <c r="D986" s="93" t="s">
        <v>125</v>
      </c>
      <c r="E986" s="93" t="s">
        <v>421</v>
      </c>
      <c r="F986" s="93" t="s">
        <v>21</v>
      </c>
      <c r="G986" s="29" t="s">
        <v>427</v>
      </c>
      <c r="H986" s="110" t="s">
        <v>428</v>
      </c>
      <c r="I986" s="110"/>
      <c r="J986" s="110"/>
      <c r="K986" s="110"/>
      <c r="L986" s="110"/>
    </row>
    <row r="987" spans="1:12" ht="18" customHeight="1" x14ac:dyDescent="0.2">
      <c r="A987" s="91">
        <v>42000</v>
      </c>
      <c r="B987" s="93" t="s">
        <v>426</v>
      </c>
      <c r="C987" s="36">
        <f t="shared" ref="C987:C994" si="38">C978</f>
        <v>2.8571553321845262</v>
      </c>
      <c r="D987" s="93" t="s">
        <v>125</v>
      </c>
      <c r="E987" s="93" t="s">
        <v>421</v>
      </c>
      <c r="F987" s="93" t="s">
        <v>21</v>
      </c>
      <c r="G987" s="29" t="s">
        <v>427</v>
      </c>
      <c r="H987" s="110" t="s">
        <v>428</v>
      </c>
      <c r="I987" s="110"/>
      <c r="J987" s="110"/>
      <c r="K987" s="110"/>
      <c r="L987" s="110"/>
    </row>
    <row r="988" spans="1:12" ht="18" customHeight="1" x14ac:dyDescent="0.2">
      <c r="A988" s="91">
        <v>43000</v>
      </c>
      <c r="B988" s="93" t="s">
        <v>426</v>
      </c>
      <c r="C988" s="36">
        <f t="shared" si="38"/>
        <v>2.8580406418095636</v>
      </c>
      <c r="D988" s="93" t="s">
        <v>125</v>
      </c>
      <c r="E988" s="93" t="s">
        <v>421</v>
      </c>
      <c r="F988" s="93" t="s">
        <v>21</v>
      </c>
      <c r="G988" s="29" t="s">
        <v>427</v>
      </c>
      <c r="H988" s="110" t="s">
        <v>428</v>
      </c>
      <c r="I988" s="110"/>
      <c r="J988" s="110"/>
      <c r="K988" s="110"/>
      <c r="L988" s="110"/>
    </row>
    <row r="989" spans="1:12" ht="18" customHeight="1" x14ac:dyDescent="0.2">
      <c r="A989" s="91">
        <v>44000</v>
      </c>
      <c r="B989" s="93" t="s">
        <v>426</v>
      </c>
      <c r="C989" s="36">
        <f t="shared" si="38"/>
        <v>2.8588873543413409</v>
      </c>
      <c r="D989" s="93" t="s">
        <v>125</v>
      </c>
      <c r="E989" s="93" t="s">
        <v>421</v>
      </c>
      <c r="F989" s="93" t="s">
        <v>21</v>
      </c>
      <c r="G989" s="29" t="s">
        <v>427</v>
      </c>
      <c r="H989" s="110" t="s">
        <v>428</v>
      </c>
      <c r="I989" s="110"/>
      <c r="J989" s="110"/>
      <c r="K989" s="110"/>
      <c r="L989" s="110"/>
    </row>
    <row r="990" spans="1:12" ht="18" customHeight="1" x14ac:dyDescent="0.2">
      <c r="A990" s="91">
        <v>45000</v>
      </c>
      <c r="B990" s="93" t="s">
        <v>426</v>
      </c>
      <c r="C990" s="36">
        <f t="shared" si="38"/>
        <v>2.8596918399983897</v>
      </c>
      <c r="D990" s="93" t="s">
        <v>125</v>
      </c>
      <c r="E990" s="93" t="s">
        <v>421</v>
      </c>
      <c r="F990" s="93" t="s">
        <v>21</v>
      </c>
      <c r="G990" s="29" t="s">
        <v>427</v>
      </c>
      <c r="H990" s="110" t="s">
        <v>428</v>
      </c>
      <c r="I990" s="110"/>
      <c r="J990" s="110"/>
      <c r="K990" s="110"/>
      <c r="L990" s="110"/>
    </row>
    <row r="991" spans="1:12" ht="18" customHeight="1" x14ac:dyDescent="0.2">
      <c r="A991" s="91">
        <v>46000</v>
      </c>
      <c r="B991" s="93" t="s">
        <v>426</v>
      </c>
      <c r="C991" s="36">
        <f t="shared" si="38"/>
        <v>2.8604611522130376</v>
      </c>
      <c r="D991" s="93" t="s">
        <v>125</v>
      </c>
      <c r="E991" s="93" t="s">
        <v>421</v>
      </c>
      <c r="F991" s="93" t="s">
        <v>21</v>
      </c>
      <c r="G991" s="29" t="s">
        <v>427</v>
      </c>
      <c r="H991" s="110" t="s">
        <v>428</v>
      </c>
      <c r="I991" s="110"/>
      <c r="J991" s="110"/>
      <c r="K991" s="110"/>
      <c r="L991" s="110"/>
    </row>
    <row r="992" spans="1:12" ht="18" customHeight="1" x14ac:dyDescent="0.2">
      <c r="A992" s="91">
        <v>47000</v>
      </c>
      <c r="B992" s="93" t="s">
        <v>426</v>
      </c>
      <c r="C992" s="36">
        <f t="shared" si="38"/>
        <v>2.8611952338392057</v>
      </c>
      <c r="D992" s="93" t="s">
        <v>125</v>
      </c>
      <c r="E992" s="93" t="s">
        <v>421</v>
      </c>
      <c r="F992" s="93" t="s">
        <v>21</v>
      </c>
      <c r="G992" s="29" t="s">
        <v>427</v>
      </c>
      <c r="H992" s="110" t="s">
        <v>428</v>
      </c>
      <c r="I992" s="110"/>
      <c r="J992" s="110"/>
      <c r="K992" s="110"/>
      <c r="L992" s="110"/>
    </row>
    <row r="993" spans="1:12" ht="18" customHeight="1" x14ac:dyDescent="0.2">
      <c r="A993" s="91">
        <v>48000</v>
      </c>
      <c r="B993" s="93" t="s">
        <v>426</v>
      </c>
      <c r="C993" s="36">
        <f t="shared" si="38"/>
        <v>2.8618940303047262</v>
      </c>
      <c r="D993" s="93" t="s">
        <v>125</v>
      </c>
      <c r="E993" s="93" t="s">
        <v>421</v>
      </c>
      <c r="F993" s="93" t="s">
        <v>21</v>
      </c>
      <c r="G993" s="29" t="s">
        <v>427</v>
      </c>
      <c r="H993" s="110" t="s">
        <v>428</v>
      </c>
      <c r="I993" s="110"/>
      <c r="J993" s="110"/>
      <c r="K993" s="110"/>
      <c r="L993" s="110"/>
    </row>
    <row r="994" spans="1:12" ht="18" customHeight="1" x14ac:dyDescent="0.2">
      <c r="A994" s="91">
        <v>49000</v>
      </c>
      <c r="B994" s="93" t="s">
        <v>426</v>
      </c>
      <c r="C994" s="36">
        <f t="shared" si="38"/>
        <v>2.8625646252642225</v>
      </c>
      <c r="D994" s="93" t="s">
        <v>125</v>
      </c>
      <c r="E994" s="93" t="s">
        <v>421</v>
      </c>
      <c r="F994" s="93" t="s">
        <v>21</v>
      </c>
      <c r="G994" s="29" t="s">
        <v>427</v>
      </c>
      <c r="H994" s="110" t="s">
        <v>428</v>
      </c>
      <c r="I994" s="110"/>
      <c r="J994" s="110"/>
      <c r="K994" s="110"/>
      <c r="L994" s="110"/>
    </row>
    <row r="995" spans="1:12" ht="18" customHeight="1" x14ac:dyDescent="0.2">
      <c r="A995" s="96" t="s">
        <v>429</v>
      </c>
      <c r="B995" s="93" t="s">
        <v>430</v>
      </c>
      <c r="C995" s="36">
        <f>$C$7/C959</f>
        <v>0.61098585138530048</v>
      </c>
      <c r="D995" s="93" t="s">
        <v>125</v>
      </c>
      <c r="E995" s="93" t="s">
        <v>431</v>
      </c>
      <c r="F995" s="93" t="s">
        <v>21</v>
      </c>
      <c r="G995" s="29" t="s">
        <v>432</v>
      </c>
      <c r="H995" s="110" t="s">
        <v>433</v>
      </c>
      <c r="I995" s="110"/>
      <c r="J995" s="110"/>
      <c r="K995" s="110"/>
      <c r="L995" s="110"/>
    </row>
    <row r="996" spans="1:12" ht="18" customHeight="1" x14ac:dyDescent="0.2">
      <c r="A996" s="91">
        <v>42000</v>
      </c>
      <c r="B996" s="93" t="s">
        <v>430</v>
      </c>
      <c r="C996" s="36">
        <f t="shared" ref="C996:C1003" si="39">$C$7/C960</f>
        <v>0.5825800495551271</v>
      </c>
      <c r="D996" s="93" t="s">
        <v>125</v>
      </c>
      <c r="E996" s="93" t="s">
        <v>431</v>
      </c>
      <c r="F996" s="93" t="s">
        <v>21</v>
      </c>
      <c r="G996" s="29" t="s">
        <v>432</v>
      </c>
      <c r="H996" s="110" t="s">
        <v>433</v>
      </c>
      <c r="I996" s="110"/>
      <c r="J996" s="110"/>
      <c r="K996" s="110"/>
      <c r="L996" s="110"/>
    </row>
    <row r="997" spans="1:12" ht="18" customHeight="1" x14ac:dyDescent="0.2">
      <c r="A997" s="91">
        <v>43000</v>
      </c>
      <c r="B997" s="93" t="s">
        <v>430</v>
      </c>
      <c r="C997" s="36">
        <f t="shared" si="39"/>
        <v>0.55556652916079896</v>
      </c>
      <c r="D997" s="93" t="s">
        <v>125</v>
      </c>
      <c r="E997" s="93" t="s">
        <v>431</v>
      </c>
      <c r="F997" s="93" t="s">
        <v>21</v>
      </c>
      <c r="G997" s="29" t="s">
        <v>432</v>
      </c>
      <c r="H997" s="110" t="s">
        <v>433</v>
      </c>
      <c r="I997" s="110"/>
      <c r="J997" s="110"/>
      <c r="K997" s="110"/>
      <c r="L997" s="110"/>
    </row>
    <row r="998" spans="1:12" ht="18" customHeight="1" x14ac:dyDescent="0.2">
      <c r="A998" s="91">
        <v>44000</v>
      </c>
      <c r="B998" s="93" t="s">
        <v>430</v>
      </c>
      <c r="C998" s="36">
        <f t="shared" si="39"/>
        <v>0.52973072482925798</v>
      </c>
      <c r="D998" s="93" t="s">
        <v>125</v>
      </c>
      <c r="E998" s="93" t="s">
        <v>431</v>
      </c>
      <c r="F998" s="93" t="s">
        <v>21</v>
      </c>
      <c r="G998" s="29" t="s">
        <v>432</v>
      </c>
      <c r="H998" s="110" t="s">
        <v>433</v>
      </c>
      <c r="I998" s="110"/>
      <c r="J998" s="110"/>
      <c r="K998" s="110"/>
      <c r="L998" s="110"/>
    </row>
    <row r="999" spans="1:12" ht="18" customHeight="1" x14ac:dyDescent="0.2">
      <c r="A999" s="91">
        <v>45000</v>
      </c>
      <c r="B999" s="93" t="s">
        <v>430</v>
      </c>
      <c r="C999" s="36">
        <f t="shared" si="39"/>
        <v>0.50518339236045717</v>
      </c>
      <c r="D999" s="93" t="s">
        <v>125</v>
      </c>
      <c r="E999" s="93" t="s">
        <v>431</v>
      </c>
      <c r="F999" s="93" t="s">
        <v>21</v>
      </c>
      <c r="G999" s="29" t="s">
        <v>432</v>
      </c>
      <c r="H999" s="110" t="s">
        <v>433</v>
      </c>
      <c r="I999" s="110"/>
      <c r="J999" s="110"/>
      <c r="K999" s="110"/>
      <c r="L999" s="110"/>
    </row>
    <row r="1000" spans="1:12" ht="18" customHeight="1" x14ac:dyDescent="0.2">
      <c r="A1000" s="91">
        <v>46000</v>
      </c>
      <c r="B1000" s="93" t="s">
        <v>430</v>
      </c>
      <c r="C1000" s="36">
        <f t="shared" si="39"/>
        <v>0.48170930983351973</v>
      </c>
      <c r="D1000" s="93" t="s">
        <v>125</v>
      </c>
      <c r="E1000" s="93" t="s">
        <v>431</v>
      </c>
      <c r="F1000" s="93" t="s">
        <v>21</v>
      </c>
      <c r="G1000" s="29" t="s">
        <v>432</v>
      </c>
      <c r="H1000" s="110" t="s">
        <v>433</v>
      </c>
      <c r="I1000" s="110"/>
      <c r="J1000" s="110"/>
      <c r="K1000" s="110"/>
      <c r="L1000" s="110"/>
    </row>
    <row r="1001" spans="1:12" ht="18" customHeight="1" x14ac:dyDescent="0.2">
      <c r="A1001" s="91">
        <v>47000</v>
      </c>
      <c r="B1001" s="93" t="s">
        <v>430</v>
      </c>
      <c r="C1001" s="36">
        <f t="shared" si="39"/>
        <v>0.45931022095120533</v>
      </c>
      <c r="D1001" s="93" t="s">
        <v>125</v>
      </c>
      <c r="E1001" s="93" t="s">
        <v>431</v>
      </c>
      <c r="F1001" s="93" t="s">
        <v>21</v>
      </c>
      <c r="G1001" s="29" t="s">
        <v>432</v>
      </c>
      <c r="H1001" s="110" t="s">
        <v>433</v>
      </c>
      <c r="I1001" s="110"/>
      <c r="J1001" s="110"/>
      <c r="K1001" s="110"/>
      <c r="L1001" s="110"/>
    </row>
    <row r="1002" spans="1:12" ht="18" customHeight="1" x14ac:dyDescent="0.2">
      <c r="A1002" s="91">
        <v>48000</v>
      </c>
      <c r="B1002" s="93" t="s">
        <v>430</v>
      </c>
      <c r="C1002" s="36">
        <f t="shared" si="39"/>
        <v>0.43798779087820655</v>
      </c>
      <c r="D1002" s="93" t="s">
        <v>125</v>
      </c>
      <c r="E1002" s="93" t="s">
        <v>431</v>
      </c>
      <c r="F1002" s="93" t="s">
        <v>21</v>
      </c>
      <c r="G1002" s="29" t="s">
        <v>432</v>
      </c>
      <c r="H1002" s="110" t="s">
        <v>433</v>
      </c>
      <c r="I1002" s="110"/>
      <c r="J1002" s="110"/>
      <c r="K1002" s="110"/>
      <c r="L1002" s="110"/>
    </row>
    <row r="1003" spans="1:12" ht="18" customHeight="1" x14ac:dyDescent="0.2">
      <c r="A1003" s="91">
        <v>49000</v>
      </c>
      <c r="B1003" s="93" t="s">
        <v>430</v>
      </c>
      <c r="C1003" s="36">
        <f t="shared" si="39"/>
        <v>0.41752587551843839</v>
      </c>
      <c r="D1003" s="93" t="s">
        <v>125</v>
      </c>
      <c r="E1003" s="93" t="s">
        <v>431</v>
      </c>
      <c r="F1003" s="93" t="s">
        <v>21</v>
      </c>
      <c r="G1003" s="29" t="s">
        <v>432</v>
      </c>
      <c r="H1003" s="110" t="s">
        <v>433</v>
      </c>
      <c r="I1003" s="110"/>
      <c r="J1003" s="110"/>
      <c r="K1003" s="110"/>
      <c r="L1003" s="110"/>
    </row>
    <row r="1004" spans="1:12" ht="18" customHeight="1" x14ac:dyDescent="0.2">
      <c r="A1004" s="93" t="s">
        <v>434</v>
      </c>
      <c r="B1004" s="93" t="s">
        <v>435</v>
      </c>
      <c r="C1004" s="36">
        <f>2*'Stability Constants Subsonic'!$C$13*('Stability Constants Subsonic'!$C$4-'Stability Constants Subsonic'!$C$3)*'Stability Constants Subsonic'!$C$14*'Supersonic Stability'!C959</f>
        <v>58685.657356196185</v>
      </c>
      <c r="D1004" s="93" t="s">
        <v>125</v>
      </c>
      <c r="E1004" s="93" t="s">
        <v>224</v>
      </c>
      <c r="F1004" s="93" t="s">
        <v>21</v>
      </c>
      <c r="G1004" s="29" t="s">
        <v>437</v>
      </c>
      <c r="H1004" s="110" t="s">
        <v>438</v>
      </c>
      <c r="I1004" s="110"/>
      <c r="J1004" s="110"/>
      <c r="K1004" s="110"/>
      <c r="L1004" s="110"/>
    </row>
    <row r="1005" spans="1:12" ht="18" customHeight="1" x14ac:dyDescent="0.2">
      <c r="A1005" s="91">
        <v>42000</v>
      </c>
      <c r="B1005" s="93" t="s">
        <v>435</v>
      </c>
      <c r="C1005" s="36">
        <f>2*'Stability Constants Subsonic'!$C$13*('Stability Constants Subsonic'!$C$4-'Stability Constants Subsonic'!$C$3)*'Stability Constants Subsonic'!$C$14*'Supersonic Stability'!C960</f>
        <v>61547.08928200027</v>
      </c>
      <c r="D1005" s="93" t="s">
        <v>125</v>
      </c>
      <c r="E1005" s="93" t="s">
        <v>224</v>
      </c>
      <c r="F1005" s="93" t="s">
        <v>21</v>
      </c>
      <c r="G1005" s="29" t="s">
        <v>437</v>
      </c>
      <c r="H1005" s="110" t="s">
        <v>438</v>
      </c>
      <c r="I1005" s="110"/>
      <c r="J1005" s="110"/>
      <c r="K1005" s="110"/>
      <c r="L1005" s="110"/>
    </row>
    <row r="1006" spans="1:12" ht="18" customHeight="1" x14ac:dyDescent="0.2">
      <c r="A1006" s="91">
        <v>43000</v>
      </c>
      <c r="B1006" s="93" t="s">
        <v>435</v>
      </c>
      <c r="C1006" s="36">
        <f>2*'Stability Constants Subsonic'!$C$13*('Stability Constants Subsonic'!$C$4-'Stability Constants Subsonic'!$C$3)*'Stability Constants Subsonic'!$C$14*'Supersonic Stability'!C961</f>
        <v>64539.716562917034</v>
      </c>
      <c r="D1006" s="93" t="s">
        <v>125</v>
      </c>
      <c r="E1006" s="93" t="s">
        <v>224</v>
      </c>
      <c r="F1006" s="93" t="s">
        <v>21</v>
      </c>
      <c r="G1006" s="29" t="s">
        <v>437</v>
      </c>
      <c r="H1006" s="110" t="s">
        <v>438</v>
      </c>
      <c r="I1006" s="110"/>
      <c r="J1006" s="110"/>
      <c r="K1006" s="110"/>
      <c r="L1006" s="110"/>
    </row>
    <row r="1007" spans="1:12" ht="18" customHeight="1" x14ac:dyDescent="0.2">
      <c r="A1007" s="91">
        <v>44000</v>
      </c>
      <c r="B1007" s="93" t="s">
        <v>435</v>
      </c>
      <c r="C1007" s="36">
        <f>2*'Stability Constants Subsonic'!$C$13*('Stability Constants Subsonic'!$C$4-'Stability Constants Subsonic'!$C$3)*'Stability Constants Subsonic'!$C$14*'Supersonic Stability'!C962</f>
        <v>67687.420501120898</v>
      </c>
      <c r="D1007" s="93" t="s">
        <v>125</v>
      </c>
      <c r="E1007" s="93" t="s">
        <v>224</v>
      </c>
      <c r="F1007" s="93" t="s">
        <v>21</v>
      </c>
      <c r="G1007" s="29" t="s">
        <v>437</v>
      </c>
      <c r="H1007" s="110" t="s">
        <v>438</v>
      </c>
      <c r="I1007" s="110"/>
      <c r="J1007" s="110"/>
      <c r="K1007" s="110"/>
      <c r="L1007" s="110"/>
    </row>
    <row r="1008" spans="1:12" ht="18" customHeight="1" x14ac:dyDescent="0.2">
      <c r="A1008" s="91">
        <v>45000</v>
      </c>
      <c r="B1008" s="93" t="s">
        <v>435</v>
      </c>
      <c r="C1008" s="36">
        <f>2*'Stability Constants Subsonic'!$C$13*('Stability Constants Subsonic'!$C$4-'Stability Constants Subsonic'!$C$3)*'Stability Constants Subsonic'!$C$14*'Supersonic Stability'!C963</f>
        <v>70976.415428751046</v>
      </c>
      <c r="D1008" s="93" t="s">
        <v>125</v>
      </c>
      <c r="E1008" s="93" t="s">
        <v>224</v>
      </c>
      <c r="F1008" s="93" t="s">
        <v>21</v>
      </c>
      <c r="G1008" s="29" t="s">
        <v>437</v>
      </c>
      <c r="H1008" s="110" t="s">
        <v>438</v>
      </c>
      <c r="I1008" s="110"/>
      <c r="J1008" s="110"/>
      <c r="K1008" s="110"/>
      <c r="L1008" s="110"/>
    </row>
    <row r="1009" spans="1:12" ht="18" customHeight="1" x14ac:dyDescent="0.2">
      <c r="A1009" s="91">
        <v>46000</v>
      </c>
      <c r="B1009" s="93" t="s">
        <v>435</v>
      </c>
      <c r="C1009" s="36">
        <f>2*'Stability Constants Subsonic'!$C$13*('Stability Constants Subsonic'!$C$4-'Stability Constants Subsonic'!$C$3)*'Stability Constants Subsonic'!$C$14*'Supersonic Stability'!C964</f>
        <v>74435.153300801961</v>
      </c>
      <c r="D1009" s="93" t="s">
        <v>125</v>
      </c>
      <c r="E1009" s="93" t="s">
        <v>224</v>
      </c>
      <c r="F1009" s="93" t="s">
        <v>21</v>
      </c>
      <c r="G1009" s="29" t="s">
        <v>437</v>
      </c>
      <c r="H1009" s="110" t="s">
        <v>438</v>
      </c>
      <c r="I1009" s="110"/>
      <c r="J1009" s="110"/>
      <c r="K1009" s="110"/>
      <c r="L1009" s="110"/>
    </row>
    <row r="1010" spans="1:12" ht="18" customHeight="1" x14ac:dyDescent="0.2">
      <c r="A1010" s="91">
        <v>47000</v>
      </c>
      <c r="B1010" s="93" t="s">
        <v>435</v>
      </c>
      <c r="C1010" s="36">
        <f>2*'Stability Constants Subsonic'!$C$13*('Stability Constants Subsonic'!$C$4-'Stability Constants Subsonic'!$C$3)*'Stability Constants Subsonic'!$C$14*'Supersonic Stability'!C965</f>
        <v>78065.117405020064</v>
      </c>
      <c r="D1010" s="93" t="s">
        <v>125</v>
      </c>
      <c r="E1010" s="93" t="s">
        <v>224</v>
      </c>
      <c r="F1010" s="93" t="s">
        <v>21</v>
      </c>
      <c r="G1010" s="29" t="s">
        <v>437</v>
      </c>
      <c r="H1010" s="110" t="s">
        <v>438</v>
      </c>
      <c r="I1010" s="110"/>
      <c r="J1010" s="110"/>
      <c r="K1010" s="110"/>
      <c r="L1010" s="110"/>
    </row>
    <row r="1011" spans="1:12" ht="18" customHeight="1" x14ac:dyDescent="0.2">
      <c r="A1011" s="91">
        <v>48000</v>
      </c>
      <c r="B1011" s="93" t="s">
        <v>435</v>
      </c>
      <c r="C1011" s="36">
        <f>2*'Stability Constants Subsonic'!$C$13*('Stability Constants Subsonic'!$C$4-'Stability Constants Subsonic'!$C$3)*'Stability Constants Subsonic'!$C$14*'Supersonic Stability'!C966</f>
        <v>81865.538425138962</v>
      </c>
      <c r="D1011" s="93" t="s">
        <v>125</v>
      </c>
      <c r="E1011" s="93" t="s">
        <v>224</v>
      </c>
      <c r="F1011" s="93" t="s">
        <v>21</v>
      </c>
      <c r="G1011" s="29" t="s">
        <v>437</v>
      </c>
      <c r="H1011" s="110" t="s">
        <v>438</v>
      </c>
      <c r="I1011" s="110"/>
      <c r="J1011" s="110"/>
      <c r="K1011" s="110"/>
      <c r="L1011" s="110"/>
    </row>
    <row r="1012" spans="1:12" ht="18" customHeight="1" x14ac:dyDescent="0.2">
      <c r="A1012" s="91">
        <v>49000</v>
      </c>
      <c r="B1012" s="93" t="s">
        <v>435</v>
      </c>
      <c r="C1012" s="36">
        <f>2*'Stability Constants Subsonic'!$C$13*('Stability Constants Subsonic'!$C$4-'Stability Constants Subsonic'!$C$3)*'Stability Constants Subsonic'!$C$14*'Supersonic Stability'!C967</f>
        <v>85877.566939676064</v>
      </c>
      <c r="D1012" s="93" t="s">
        <v>125</v>
      </c>
      <c r="E1012" s="93" t="s">
        <v>224</v>
      </c>
      <c r="F1012" s="93" t="s">
        <v>21</v>
      </c>
      <c r="G1012" s="29" t="s">
        <v>437</v>
      </c>
      <c r="H1012" s="110" t="s">
        <v>438</v>
      </c>
      <c r="I1012" s="110"/>
      <c r="J1012" s="110"/>
      <c r="K1012" s="110"/>
      <c r="L1012" s="110"/>
    </row>
    <row r="1013" spans="1:12" ht="18" customHeight="1" x14ac:dyDescent="0.2">
      <c r="A1013" s="93" t="s">
        <v>439</v>
      </c>
      <c r="B1013" s="93" t="s">
        <v>440</v>
      </c>
      <c r="C1013" s="36">
        <f>2*'Stability Constants Subsonic'!$C$13*('Stability Constants Subsonic'!$C$6-'Stability Constants Subsonic'!$C$5)*'Stability Constants Subsonic'!$C$15*'Supersonic Stability'!C959</f>
        <v>36712.810430540754</v>
      </c>
      <c r="D1013" s="93" t="s">
        <v>125</v>
      </c>
      <c r="E1013" s="93" t="s">
        <v>224</v>
      </c>
      <c r="F1013" s="93" t="s">
        <v>21</v>
      </c>
      <c r="G1013" s="29" t="s">
        <v>442</v>
      </c>
      <c r="H1013" s="110" t="s">
        <v>438</v>
      </c>
      <c r="I1013" s="110"/>
      <c r="J1013" s="110"/>
      <c r="K1013" s="110"/>
      <c r="L1013" s="110"/>
    </row>
    <row r="1014" spans="1:12" ht="18" customHeight="1" x14ac:dyDescent="0.2">
      <c r="A1014" s="91">
        <v>42000</v>
      </c>
      <c r="B1014" s="93" t="s">
        <v>440</v>
      </c>
      <c r="C1014" s="36">
        <f>2*'Stability Constants Subsonic'!$C$13*('Stability Constants Subsonic'!$C$6-'Stability Constants Subsonic'!$C$5)*'Stability Constants Subsonic'!$C$15*'Supersonic Stability'!C960</f>
        <v>38502.876565683931</v>
      </c>
      <c r="D1014" s="93" t="s">
        <v>125</v>
      </c>
      <c r="E1014" s="93" t="s">
        <v>224</v>
      </c>
      <c r="F1014" s="93" t="s">
        <v>21</v>
      </c>
      <c r="G1014" s="29" t="s">
        <v>442</v>
      </c>
      <c r="H1014" s="110" t="s">
        <v>438</v>
      </c>
      <c r="I1014" s="110"/>
      <c r="J1014" s="110"/>
      <c r="K1014" s="110"/>
      <c r="L1014" s="110"/>
    </row>
    <row r="1015" spans="1:12" ht="18" customHeight="1" x14ac:dyDescent="0.2">
      <c r="A1015" s="91">
        <v>43000</v>
      </c>
      <c r="B1015" s="93" t="s">
        <v>440</v>
      </c>
      <c r="C1015" s="36">
        <f>2*'Stability Constants Subsonic'!$C$13*('Stability Constants Subsonic'!$C$6-'Stability Constants Subsonic'!$C$5)*'Stability Constants Subsonic'!$C$15*'Supersonic Stability'!C961</f>
        <v>40375.016420686537</v>
      </c>
      <c r="D1015" s="93" t="s">
        <v>125</v>
      </c>
      <c r="E1015" s="93" t="s">
        <v>224</v>
      </c>
      <c r="F1015" s="93" t="s">
        <v>21</v>
      </c>
      <c r="G1015" s="29" t="s">
        <v>442</v>
      </c>
      <c r="H1015" s="110" t="s">
        <v>438</v>
      </c>
      <c r="I1015" s="110"/>
      <c r="J1015" s="110"/>
      <c r="K1015" s="110"/>
      <c r="L1015" s="110"/>
    </row>
    <row r="1016" spans="1:12" ht="18" customHeight="1" x14ac:dyDescent="0.2">
      <c r="A1016" s="91">
        <v>44000</v>
      </c>
      <c r="B1016" s="93" t="s">
        <v>440</v>
      </c>
      <c r="C1016" s="36">
        <f>2*'Stability Constants Subsonic'!$C$13*('Stability Constants Subsonic'!$C$6-'Stability Constants Subsonic'!$C$5)*'Stability Constants Subsonic'!$C$15*'Supersonic Stability'!C962</f>
        <v>42344.169756966643</v>
      </c>
      <c r="D1016" s="93" t="s">
        <v>125</v>
      </c>
      <c r="E1016" s="93" t="s">
        <v>224</v>
      </c>
      <c r="F1016" s="93" t="s">
        <v>21</v>
      </c>
      <c r="G1016" s="29" t="s">
        <v>442</v>
      </c>
      <c r="H1016" s="110" t="s">
        <v>438</v>
      </c>
      <c r="I1016" s="110"/>
      <c r="J1016" s="110"/>
      <c r="K1016" s="110"/>
      <c r="L1016" s="110"/>
    </row>
    <row r="1017" spans="1:12" ht="18" customHeight="1" x14ac:dyDescent="0.2">
      <c r="A1017" s="91">
        <v>45000</v>
      </c>
      <c r="B1017" s="93" t="s">
        <v>440</v>
      </c>
      <c r="C1017" s="36">
        <f>2*'Stability Constants Subsonic'!$C$13*('Stability Constants Subsonic'!$C$6-'Stability Constants Subsonic'!$C$5)*'Stability Constants Subsonic'!$C$15*'Supersonic Stability'!C963</f>
        <v>44401.712480774047</v>
      </c>
      <c r="D1017" s="93" t="s">
        <v>125</v>
      </c>
      <c r="E1017" s="93" t="s">
        <v>224</v>
      </c>
      <c r="F1017" s="93" t="s">
        <v>21</v>
      </c>
      <c r="G1017" s="29" t="s">
        <v>442</v>
      </c>
      <c r="H1017" s="110" t="s">
        <v>438</v>
      </c>
      <c r="I1017" s="110"/>
      <c r="J1017" s="110"/>
      <c r="K1017" s="110"/>
      <c r="L1017" s="110"/>
    </row>
    <row r="1018" spans="1:12" ht="18" customHeight="1" x14ac:dyDescent="0.2">
      <c r="A1018" s="91">
        <v>46000</v>
      </c>
      <c r="B1018" s="93" t="s">
        <v>440</v>
      </c>
      <c r="C1018" s="36">
        <f>2*'Stability Constants Subsonic'!$C$13*('Stability Constants Subsonic'!$C$6-'Stability Constants Subsonic'!$C$5)*'Stability Constants Subsonic'!$C$15*'Supersonic Stability'!C964</f>
        <v>46565.443680968739</v>
      </c>
      <c r="D1018" s="93" t="s">
        <v>125</v>
      </c>
      <c r="E1018" s="93" t="s">
        <v>224</v>
      </c>
      <c r="F1018" s="93" t="s">
        <v>21</v>
      </c>
      <c r="G1018" s="29" t="s">
        <v>442</v>
      </c>
      <c r="H1018" s="110" t="s">
        <v>438</v>
      </c>
      <c r="I1018" s="110"/>
      <c r="J1018" s="110"/>
      <c r="K1018" s="110"/>
      <c r="L1018" s="110"/>
    </row>
    <row r="1019" spans="1:12" ht="18" customHeight="1" x14ac:dyDescent="0.2">
      <c r="A1019" s="91">
        <v>47000</v>
      </c>
      <c r="B1019" s="93" t="s">
        <v>440</v>
      </c>
      <c r="C1019" s="36">
        <f>2*'Stability Constants Subsonic'!$C$13*('Stability Constants Subsonic'!$C$6-'Stability Constants Subsonic'!$C$5)*'Stability Constants Subsonic'!$C$15*'Supersonic Stability'!C965</f>
        <v>48836.291278686862</v>
      </c>
      <c r="D1019" s="93" t="s">
        <v>125</v>
      </c>
      <c r="E1019" s="93" t="s">
        <v>224</v>
      </c>
      <c r="F1019" s="93" t="s">
        <v>21</v>
      </c>
      <c r="G1019" s="29" t="s">
        <v>442</v>
      </c>
      <c r="H1019" s="110" t="s">
        <v>438</v>
      </c>
      <c r="I1019" s="110"/>
      <c r="J1019" s="110"/>
      <c r="K1019" s="110"/>
      <c r="L1019" s="110"/>
    </row>
    <row r="1020" spans="1:12" ht="18" customHeight="1" x14ac:dyDescent="0.2">
      <c r="A1020" s="91">
        <v>48000</v>
      </c>
      <c r="B1020" s="93" t="s">
        <v>440</v>
      </c>
      <c r="C1020" s="36">
        <f>2*'Stability Constants Subsonic'!$C$13*('Stability Constants Subsonic'!$C$6-'Stability Constants Subsonic'!$C$5)*'Stability Constants Subsonic'!$C$15*'Supersonic Stability'!C966</f>
        <v>51213.774001952916</v>
      </c>
      <c r="D1020" s="93" t="s">
        <v>125</v>
      </c>
      <c r="E1020" s="93" t="s">
        <v>224</v>
      </c>
      <c r="F1020" s="93" t="s">
        <v>21</v>
      </c>
      <c r="G1020" s="29" t="s">
        <v>442</v>
      </c>
      <c r="H1020" s="110" t="s">
        <v>438</v>
      </c>
      <c r="I1020" s="110"/>
      <c r="J1020" s="110"/>
      <c r="K1020" s="110"/>
      <c r="L1020" s="110"/>
    </row>
    <row r="1021" spans="1:12" ht="18" customHeight="1" x14ac:dyDescent="0.2">
      <c r="A1021" s="91">
        <v>49000</v>
      </c>
      <c r="B1021" s="93" t="s">
        <v>440</v>
      </c>
      <c r="C1021" s="36">
        <f>2*'Stability Constants Subsonic'!$C$13*('Stability Constants Subsonic'!$C$6-'Stability Constants Subsonic'!$C$5)*'Stability Constants Subsonic'!$C$15*'Supersonic Stability'!C967</f>
        <v>53723.634995792032</v>
      </c>
      <c r="D1021" s="93" t="s">
        <v>125</v>
      </c>
      <c r="E1021" s="93" t="s">
        <v>224</v>
      </c>
      <c r="F1021" s="93" t="s">
        <v>21</v>
      </c>
      <c r="G1021" s="29" t="s">
        <v>442</v>
      </c>
      <c r="H1021" s="110" t="s">
        <v>438</v>
      </c>
      <c r="I1021" s="110"/>
      <c r="J1021" s="110"/>
      <c r="K1021" s="110"/>
      <c r="L1021" s="110"/>
    </row>
    <row r="1022" spans="1:12" ht="18" customHeight="1" x14ac:dyDescent="0.2">
      <c r="A1022" s="118" t="s">
        <v>503</v>
      </c>
      <c r="B1022" s="119"/>
      <c r="C1022" s="119"/>
      <c r="D1022" s="119"/>
      <c r="E1022" s="119"/>
      <c r="F1022" s="119"/>
      <c r="G1022" s="119"/>
      <c r="H1022" s="121"/>
      <c r="I1022" s="121"/>
      <c r="J1022" s="121"/>
      <c r="K1022" s="121"/>
      <c r="L1022" s="125"/>
    </row>
    <row r="1023" spans="1:12" ht="18" customHeight="1" x14ac:dyDescent="0.2">
      <c r="A1023" s="23" t="s">
        <v>5</v>
      </c>
      <c r="B1023" s="23" t="s">
        <v>96</v>
      </c>
      <c r="C1023" s="94" t="s">
        <v>7</v>
      </c>
      <c r="D1023" s="94" t="s">
        <v>125</v>
      </c>
      <c r="E1023" s="94" t="s">
        <v>8</v>
      </c>
      <c r="F1023" s="94" t="s">
        <v>9</v>
      </c>
      <c r="G1023" s="31" t="s">
        <v>10</v>
      </c>
      <c r="H1023" s="122" t="s">
        <v>11</v>
      </c>
      <c r="I1023" s="123"/>
      <c r="J1023" s="123"/>
      <c r="K1023" s="123"/>
      <c r="L1023" s="124"/>
    </row>
    <row r="1024" spans="1:12" ht="18" customHeight="1" x14ac:dyDescent="0.2">
      <c r="A1024" s="93" t="s">
        <v>379</v>
      </c>
      <c r="B1024" s="93" t="s">
        <v>380</v>
      </c>
      <c r="C1024" s="36">
        <v>1.7</v>
      </c>
      <c r="D1024" s="93" t="s">
        <v>125</v>
      </c>
      <c r="E1024" s="93" t="s">
        <v>137</v>
      </c>
      <c r="F1024" s="93" t="s">
        <v>484</v>
      </c>
      <c r="G1024" s="29" t="s">
        <v>137</v>
      </c>
      <c r="H1024" s="126" t="s">
        <v>309</v>
      </c>
      <c r="I1024" s="126"/>
      <c r="J1024" s="126"/>
      <c r="K1024" s="126"/>
      <c r="L1024" s="126"/>
    </row>
    <row r="1025" spans="1:12" ht="18" customHeight="1" x14ac:dyDescent="0.2">
      <c r="A1025" s="93" t="s">
        <v>557</v>
      </c>
      <c r="B1025" s="93" t="s">
        <v>406</v>
      </c>
      <c r="C1025" s="36">
        <f>'Final Aircraft Checkouts'!C310</f>
        <v>7.5812451889457441E-2</v>
      </c>
      <c r="D1025" s="93" t="s">
        <v>125</v>
      </c>
      <c r="E1025" s="93" t="s">
        <v>137</v>
      </c>
      <c r="F1025" s="93" t="s">
        <v>21</v>
      </c>
      <c r="G1025" s="29" t="s">
        <v>550</v>
      </c>
      <c r="H1025" s="127" t="s">
        <v>526</v>
      </c>
      <c r="I1025" s="127"/>
      <c r="J1025" s="127"/>
      <c r="K1025" s="127"/>
      <c r="L1025" s="127"/>
    </row>
    <row r="1026" spans="1:12" ht="18" customHeight="1" x14ac:dyDescent="0.2">
      <c r="A1026" s="91">
        <v>42000</v>
      </c>
      <c r="B1026" s="93" t="s">
        <v>406</v>
      </c>
      <c r="C1026" s="36">
        <f>'Final Aircraft Checkouts'!C311</f>
        <v>7.9534877375783852E-2</v>
      </c>
      <c r="D1026" s="93" t="s">
        <v>125</v>
      </c>
      <c r="E1026" s="93" t="s">
        <v>137</v>
      </c>
      <c r="F1026" s="93" t="s">
        <v>21</v>
      </c>
      <c r="G1026" s="29" t="s">
        <v>550</v>
      </c>
      <c r="H1026" s="127" t="s">
        <v>526</v>
      </c>
      <c r="I1026" s="127"/>
      <c r="J1026" s="127"/>
      <c r="K1026" s="127"/>
      <c r="L1026" s="127"/>
    </row>
    <row r="1027" spans="1:12" ht="18" customHeight="1" x14ac:dyDescent="0.2">
      <c r="A1027" s="91">
        <v>43000</v>
      </c>
      <c r="B1027" s="93" t="s">
        <v>406</v>
      </c>
      <c r="C1027" s="36">
        <f>'Final Aircraft Checkouts'!C312</f>
        <v>8.3427974381203598E-2</v>
      </c>
      <c r="D1027" s="93" t="s">
        <v>125</v>
      </c>
      <c r="E1027" s="93" t="s">
        <v>137</v>
      </c>
      <c r="F1027" s="93" t="s">
        <v>21</v>
      </c>
      <c r="G1027" s="29" t="s">
        <v>550</v>
      </c>
      <c r="H1027" s="127" t="s">
        <v>526</v>
      </c>
      <c r="I1027" s="127"/>
      <c r="J1027" s="127"/>
      <c r="K1027" s="127"/>
      <c r="L1027" s="127"/>
    </row>
    <row r="1028" spans="1:12" ht="18" customHeight="1" x14ac:dyDescent="0.2">
      <c r="A1028" s="91">
        <v>44000</v>
      </c>
      <c r="B1028" s="93" t="s">
        <v>406</v>
      </c>
      <c r="C1028" s="36">
        <f>'Final Aircraft Checkouts'!C313</f>
        <v>8.7522809997356704E-2</v>
      </c>
      <c r="D1028" s="93" t="s">
        <v>125</v>
      </c>
      <c r="E1028" s="93" t="s">
        <v>137</v>
      </c>
      <c r="F1028" s="93" t="s">
        <v>21</v>
      </c>
      <c r="G1028" s="29" t="s">
        <v>550</v>
      </c>
      <c r="H1028" s="127" t="s">
        <v>526</v>
      </c>
      <c r="I1028" s="127"/>
      <c r="J1028" s="127"/>
      <c r="K1028" s="127"/>
      <c r="L1028" s="127"/>
    </row>
    <row r="1029" spans="1:12" ht="18" customHeight="1" x14ac:dyDescent="0.2">
      <c r="A1029" s="91">
        <v>45000</v>
      </c>
      <c r="B1029" s="93" t="s">
        <v>406</v>
      </c>
      <c r="C1029" s="36">
        <f>'Final Aircraft Checkouts'!C314</f>
        <v>9.1801450503392321E-2</v>
      </c>
      <c r="D1029" s="93" t="s">
        <v>125</v>
      </c>
      <c r="E1029" s="93" t="s">
        <v>137</v>
      </c>
      <c r="F1029" s="93" t="s">
        <v>21</v>
      </c>
      <c r="G1029" s="29" t="s">
        <v>550</v>
      </c>
      <c r="H1029" s="127" t="s">
        <v>526</v>
      </c>
      <c r="I1029" s="127"/>
      <c r="J1029" s="127"/>
      <c r="K1029" s="127"/>
      <c r="L1029" s="127"/>
    </row>
    <row r="1030" spans="1:12" ht="18" customHeight="1" x14ac:dyDescent="0.2">
      <c r="A1030" s="91">
        <v>46000</v>
      </c>
      <c r="B1030" s="93" t="s">
        <v>406</v>
      </c>
      <c r="C1030" s="36">
        <f>'Final Aircraft Checkouts'!C315</f>
        <v>9.6300908935144702E-2</v>
      </c>
      <c r="D1030" s="93" t="s">
        <v>125</v>
      </c>
      <c r="E1030" s="93" t="s">
        <v>137</v>
      </c>
      <c r="F1030" s="93" t="s">
        <v>21</v>
      </c>
      <c r="G1030" s="29" t="s">
        <v>550</v>
      </c>
      <c r="H1030" s="127" t="s">
        <v>526</v>
      </c>
      <c r="I1030" s="127"/>
      <c r="J1030" s="127"/>
      <c r="K1030" s="127"/>
      <c r="L1030" s="127"/>
    </row>
    <row r="1031" spans="1:12" ht="18" customHeight="1" x14ac:dyDescent="0.2">
      <c r="A1031" s="91">
        <v>47000</v>
      </c>
      <c r="B1031" s="93" t="s">
        <v>406</v>
      </c>
      <c r="C1031" s="36">
        <f>'Final Aircraft Checkouts'!C316</f>
        <v>0.1010231148957826</v>
      </c>
      <c r="D1031" s="93" t="s">
        <v>125</v>
      </c>
      <c r="E1031" s="93" t="s">
        <v>137</v>
      </c>
      <c r="F1031" s="93" t="s">
        <v>21</v>
      </c>
      <c r="G1031" s="29" t="s">
        <v>550</v>
      </c>
      <c r="H1031" s="127" t="s">
        <v>526</v>
      </c>
      <c r="I1031" s="127"/>
      <c r="J1031" s="127"/>
      <c r="K1031" s="127"/>
      <c r="L1031" s="127"/>
    </row>
    <row r="1032" spans="1:12" ht="18" customHeight="1" x14ac:dyDescent="0.2">
      <c r="A1032" s="91">
        <v>48000</v>
      </c>
      <c r="B1032" s="93" t="s">
        <v>406</v>
      </c>
      <c r="C1032" s="36">
        <f>'Final Aircraft Checkouts'!C317</f>
        <v>0.10596706758481465</v>
      </c>
      <c r="D1032" s="93" t="s">
        <v>125</v>
      </c>
      <c r="E1032" s="93" t="s">
        <v>137</v>
      </c>
      <c r="F1032" s="93" t="s">
        <v>21</v>
      </c>
      <c r="G1032" s="29" t="s">
        <v>550</v>
      </c>
      <c r="H1032" s="127" t="s">
        <v>526</v>
      </c>
      <c r="I1032" s="127"/>
      <c r="J1032" s="127"/>
      <c r="K1032" s="127"/>
      <c r="L1032" s="127"/>
    </row>
    <row r="1033" spans="1:12" ht="18" customHeight="1" x14ac:dyDescent="0.2">
      <c r="A1033" s="91">
        <v>49000</v>
      </c>
      <c r="B1033" s="93" t="s">
        <v>406</v>
      </c>
      <c r="C1033" s="36">
        <f>'Final Aircraft Checkouts'!C318</f>
        <v>0.11118629962724198</v>
      </c>
      <c r="D1033" s="93" t="s">
        <v>125</v>
      </c>
      <c r="E1033" s="93" t="s">
        <v>137</v>
      </c>
      <c r="F1033" s="93" t="s">
        <v>21</v>
      </c>
      <c r="G1033" s="29" t="s">
        <v>550</v>
      </c>
      <c r="H1033" s="127" t="s">
        <v>526</v>
      </c>
      <c r="I1033" s="127"/>
      <c r="J1033" s="127"/>
      <c r="K1033" s="127"/>
      <c r="L1033" s="127"/>
    </row>
    <row r="1034" spans="1:12" ht="18" customHeight="1" x14ac:dyDescent="0.2">
      <c r="A1034" s="93" t="s">
        <v>447</v>
      </c>
      <c r="B1034" s="47" t="s">
        <v>448</v>
      </c>
      <c r="C1034" s="48">
        <v>0.10158298411673315</v>
      </c>
      <c r="D1034" s="93" t="s">
        <v>125</v>
      </c>
      <c r="E1034" s="93" t="s">
        <v>137</v>
      </c>
      <c r="F1034" s="93" t="s">
        <v>399</v>
      </c>
      <c r="G1034" s="29" t="s">
        <v>137</v>
      </c>
      <c r="H1034" s="127" t="s">
        <v>449</v>
      </c>
      <c r="I1034" s="127"/>
      <c r="J1034" s="127"/>
      <c r="K1034" s="127"/>
      <c r="L1034" s="127"/>
    </row>
    <row r="1035" spans="1:12" ht="18" customHeight="1" x14ac:dyDescent="0.2">
      <c r="A1035" s="93" t="s">
        <v>447</v>
      </c>
      <c r="B1035" s="47" t="s">
        <v>448</v>
      </c>
      <c r="C1035" s="48">
        <v>0.10158298411673315</v>
      </c>
      <c r="D1035" s="93" t="s">
        <v>125</v>
      </c>
      <c r="E1035" s="93" t="s">
        <v>137</v>
      </c>
      <c r="F1035" s="93" t="s">
        <v>399</v>
      </c>
      <c r="G1035" s="29" t="s">
        <v>137</v>
      </c>
      <c r="H1035" s="127" t="s">
        <v>449</v>
      </c>
      <c r="I1035" s="127"/>
      <c r="J1035" s="127"/>
      <c r="K1035" s="127"/>
      <c r="L1035" s="127"/>
    </row>
    <row r="1036" spans="1:12" ht="18" customHeight="1" x14ac:dyDescent="0.2">
      <c r="A1036" s="93" t="s">
        <v>447</v>
      </c>
      <c r="B1036" s="47" t="s">
        <v>448</v>
      </c>
      <c r="C1036" s="48">
        <v>0.10158298411673315</v>
      </c>
      <c r="D1036" s="93" t="s">
        <v>125</v>
      </c>
      <c r="E1036" s="93" t="s">
        <v>137</v>
      </c>
      <c r="F1036" s="93" t="s">
        <v>399</v>
      </c>
      <c r="G1036" s="29" t="s">
        <v>137</v>
      </c>
      <c r="H1036" s="127" t="s">
        <v>449</v>
      </c>
      <c r="I1036" s="127"/>
      <c r="J1036" s="127"/>
      <c r="K1036" s="127"/>
      <c r="L1036" s="127"/>
    </row>
    <row r="1037" spans="1:12" ht="18" customHeight="1" x14ac:dyDescent="0.2">
      <c r="A1037" s="93" t="s">
        <v>447</v>
      </c>
      <c r="B1037" s="47" t="s">
        <v>448</v>
      </c>
      <c r="C1037" s="48">
        <v>0.10158298411673315</v>
      </c>
      <c r="D1037" s="93" t="s">
        <v>125</v>
      </c>
      <c r="E1037" s="93" t="s">
        <v>137</v>
      </c>
      <c r="F1037" s="93" t="s">
        <v>399</v>
      </c>
      <c r="G1037" s="29" t="s">
        <v>137</v>
      </c>
      <c r="H1037" s="127" t="s">
        <v>449</v>
      </c>
      <c r="I1037" s="127"/>
      <c r="J1037" s="127"/>
      <c r="K1037" s="127"/>
      <c r="L1037" s="127"/>
    </row>
    <row r="1038" spans="1:12" ht="18" customHeight="1" x14ac:dyDescent="0.2">
      <c r="A1038" s="93" t="s">
        <v>447</v>
      </c>
      <c r="B1038" s="47" t="s">
        <v>448</v>
      </c>
      <c r="C1038" s="48">
        <v>0.10158298411673315</v>
      </c>
      <c r="D1038" s="93" t="s">
        <v>125</v>
      </c>
      <c r="E1038" s="93" t="s">
        <v>137</v>
      </c>
      <c r="F1038" s="93" t="s">
        <v>399</v>
      </c>
      <c r="G1038" s="29" t="s">
        <v>137</v>
      </c>
      <c r="H1038" s="127" t="s">
        <v>449</v>
      </c>
      <c r="I1038" s="127"/>
      <c r="J1038" s="127"/>
      <c r="K1038" s="127"/>
      <c r="L1038" s="127"/>
    </row>
    <row r="1039" spans="1:12" ht="18" customHeight="1" x14ac:dyDescent="0.2">
      <c r="A1039" s="93" t="s">
        <v>447</v>
      </c>
      <c r="B1039" s="47" t="s">
        <v>448</v>
      </c>
      <c r="C1039" s="48">
        <v>0.10158298411673315</v>
      </c>
      <c r="D1039" s="93" t="s">
        <v>125</v>
      </c>
      <c r="E1039" s="93" t="s">
        <v>137</v>
      </c>
      <c r="F1039" s="93" t="s">
        <v>399</v>
      </c>
      <c r="G1039" s="29" t="s">
        <v>137</v>
      </c>
      <c r="H1039" s="127" t="s">
        <v>449</v>
      </c>
      <c r="I1039" s="127"/>
      <c r="J1039" s="127"/>
      <c r="K1039" s="127"/>
      <c r="L1039" s="127"/>
    </row>
    <row r="1040" spans="1:12" ht="18" customHeight="1" x14ac:dyDescent="0.2">
      <c r="A1040" s="93" t="s">
        <v>447</v>
      </c>
      <c r="B1040" s="47" t="s">
        <v>448</v>
      </c>
      <c r="C1040" s="48">
        <v>0.10158298411673315</v>
      </c>
      <c r="D1040" s="93" t="s">
        <v>125</v>
      </c>
      <c r="E1040" s="93" t="s">
        <v>137</v>
      </c>
      <c r="F1040" s="93" t="s">
        <v>399</v>
      </c>
      <c r="G1040" s="29" t="s">
        <v>137</v>
      </c>
      <c r="H1040" s="127" t="s">
        <v>449</v>
      </c>
      <c r="I1040" s="127"/>
      <c r="J1040" s="127"/>
      <c r="K1040" s="127"/>
      <c r="L1040" s="127"/>
    </row>
    <row r="1041" spans="1:12" ht="18" customHeight="1" x14ac:dyDescent="0.2">
      <c r="A1041" s="93" t="s">
        <v>447</v>
      </c>
      <c r="B1041" s="47" t="s">
        <v>448</v>
      </c>
      <c r="C1041" s="48">
        <v>0.10158298411673315</v>
      </c>
      <c r="D1041" s="93" t="s">
        <v>125</v>
      </c>
      <c r="E1041" s="93" t="s">
        <v>137</v>
      </c>
      <c r="F1041" s="93" t="s">
        <v>399</v>
      </c>
      <c r="G1041" s="29" t="s">
        <v>137</v>
      </c>
      <c r="H1041" s="127" t="s">
        <v>449</v>
      </c>
      <c r="I1041" s="127"/>
      <c r="J1041" s="127"/>
      <c r="K1041" s="127"/>
      <c r="L1041" s="127"/>
    </row>
    <row r="1042" spans="1:12" ht="18" customHeight="1" x14ac:dyDescent="0.2">
      <c r="A1042" s="93" t="s">
        <v>447</v>
      </c>
      <c r="B1042" s="47" t="s">
        <v>448</v>
      </c>
      <c r="C1042" s="48">
        <v>0.10158298411673315</v>
      </c>
      <c r="D1042" s="93" t="s">
        <v>125</v>
      </c>
      <c r="E1042" s="93" t="s">
        <v>137</v>
      </c>
      <c r="F1042" s="93" t="s">
        <v>399</v>
      </c>
      <c r="G1042" s="29" t="s">
        <v>137</v>
      </c>
      <c r="H1042" s="127" t="s">
        <v>449</v>
      </c>
      <c r="I1042" s="127"/>
      <c r="J1042" s="127"/>
      <c r="K1042" s="127"/>
      <c r="L1042" s="127"/>
    </row>
    <row r="1043" spans="1:12" ht="18" customHeight="1" x14ac:dyDescent="0.2">
      <c r="A1043" s="93" t="s">
        <v>558</v>
      </c>
      <c r="B1043" s="93" t="s">
        <v>436</v>
      </c>
      <c r="C1043" s="36">
        <f xml:space="preserve"> ABS((C1025-CFD!$B$26)/(CFD!$B$27-CFD!$B$26)*(CFD!$A$27-CFD!$A$26) + CFD!$A$26)*PI()/180</f>
        <v>2.8370925668797068E-2</v>
      </c>
      <c r="D1043" s="93" t="s">
        <v>125</v>
      </c>
      <c r="E1043" s="93" t="s">
        <v>407</v>
      </c>
      <c r="F1043" s="93" t="s">
        <v>21</v>
      </c>
      <c r="G1043" s="29" t="s">
        <v>550</v>
      </c>
      <c r="H1043" s="127" t="s">
        <v>526</v>
      </c>
      <c r="I1043" s="127"/>
      <c r="J1043" s="127"/>
      <c r="K1043" s="127"/>
      <c r="L1043" s="127"/>
    </row>
    <row r="1044" spans="1:12" ht="18" customHeight="1" x14ac:dyDescent="0.2">
      <c r="A1044" s="91">
        <v>42000</v>
      </c>
      <c r="B1044" s="93" t="s">
        <v>436</v>
      </c>
      <c r="C1044" s="36">
        <f xml:space="preserve"> ABS((C1026-CFD!$B$26)/(CFD!$B$27-CFD!$B$26)*(CFD!$A$27-CFD!$A$26) + CFD!$A$26)*PI()/180</f>
        <v>2.9762115837888011E-2</v>
      </c>
      <c r="D1044" s="93"/>
      <c r="E1044" s="93" t="s">
        <v>407</v>
      </c>
      <c r="F1044" s="93" t="s">
        <v>21</v>
      </c>
      <c r="G1044" s="29" t="s">
        <v>550</v>
      </c>
      <c r="H1044" s="127" t="s">
        <v>526</v>
      </c>
      <c r="I1044" s="127"/>
      <c r="J1044" s="127"/>
      <c r="K1044" s="127"/>
      <c r="L1044" s="127"/>
    </row>
    <row r="1045" spans="1:12" ht="18" customHeight="1" x14ac:dyDescent="0.2">
      <c r="A1045" s="91">
        <v>43000</v>
      </c>
      <c r="B1045" s="93" t="s">
        <v>436</v>
      </c>
      <c r="C1045" s="36">
        <f xml:space="preserve"> ABS((C1027-CFD!$B$26)/(CFD!$B$27-CFD!$B$26)*(CFD!$A$27-CFD!$A$26) + CFD!$A$26)*PI()/180</f>
        <v>3.1217091444828184E-2</v>
      </c>
      <c r="D1045" s="93"/>
      <c r="E1045" s="93" t="s">
        <v>407</v>
      </c>
      <c r="F1045" s="93" t="s">
        <v>21</v>
      </c>
      <c r="G1045" s="29" t="s">
        <v>550</v>
      </c>
      <c r="H1045" s="127" t="s">
        <v>526</v>
      </c>
      <c r="I1045" s="127"/>
      <c r="J1045" s="127"/>
      <c r="K1045" s="127"/>
      <c r="L1045" s="127"/>
    </row>
    <row r="1046" spans="1:12" ht="18" customHeight="1" x14ac:dyDescent="0.2">
      <c r="A1046" s="91">
        <v>44000</v>
      </c>
      <c r="B1046" s="93" t="s">
        <v>436</v>
      </c>
      <c r="C1046" s="36">
        <f xml:space="preserve"> ABS((C1028-CFD!$B$26)/(CFD!$B$27-CFD!$B$26)*(CFD!$A$27-CFD!$A$26) + CFD!$A$26)*PI()/180</f>
        <v>3.2747463261312171E-2</v>
      </c>
      <c r="D1046" s="93"/>
      <c r="E1046" s="93" t="s">
        <v>407</v>
      </c>
      <c r="F1046" s="93" t="s">
        <v>21</v>
      </c>
      <c r="G1046" s="29" t="s">
        <v>550</v>
      </c>
      <c r="H1046" s="127" t="s">
        <v>526</v>
      </c>
      <c r="I1046" s="127"/>
      <c r="J1046" s="127"/>
      <c r="K1046" s="127"/>
      <c r="L1046" s="127"/>
    </row>
    <row r="1047" spans="1:12" ht="18" customHeight="1" x14ac:dyDescent="0.2">
      <c r="A1047" s="91">
        <v>45000</v>
      </c>
      <c r="B1047" s="93" t="s">
        <v>436</v>
      </c>
      <c r="C1047" s="36">
        <f xml:space="preserve"> ABS((C1029-CFD!$B$26)/(CFD!$B$27-CFD!$B$26)*(CFD!$A$27-CFD!$A$26) + CFD!$A$26)*PI()/180</f>
        <v>3.4346528878860735E-2</v>
      </c>
      <c r="D1047" s="93"/>
      <c r="E1047" s="93" t="s">
        <v>407</v>
      </c>
      <c r="F1047" s="93" t="s">
        <v>21</v>
      </c>
      <c r="G1047" s="29" t="s">
        <v>550</v>
      </c>
      <c r="H1047" s="127" t="s">
        <v>526</v>
      </c>
      <c r="I1047" s="127"/>
      <c r="J1047" s="127"/>
      <c r="K1047" s="127"/>
      <c r="L1047" s="127"/>
    </row>
    <row r="1048" spans="1:12" ht="18" customHeight="1" x14ac:dyDescent="0.2">
      <c r="A1048" s="91">
        <v>46000</v>
      </c>
      <c r="B1048" s="93" t="s">
        <v>436</v>
      </c>
      <c r="C1048" s="36">
        <f xml:space="preserve"> ABS((C1030-CFD!$B$26)/(CFD!$B$27-CFD!$B$26)*(CFD!$A$27-CFD!$A$26) + CFD!$A$26)*PI()/180</f>
        <v>3.60281212598179E-2</v>
      </c>
      <c r="D1048" s="93"/>
      <c r="E1048" s="93" t="s">
        <v>407</v>
      </c>
      <c r="F1048" s="93" t="s">
        <v>21</v>
      </c>
      <c r="G1048" s="29" t="s">
        <v>550</v>
      </c>
      <c r="H1048" s="127" t="s">
        <v>526</v>
      </c>
      <c r="I1048" s="127"/>
      <c r="J1048" s="127"/>
      <c r="K1048" s="127"/>
      <c r="L1048" s="127"/>
    </row>
    <row r="1049" spans="1:12" ht="18" customHeight="1" x14ac:dyDescent="0.2">
      <c r="A1049" s="91">
        <v>47000</v>
      </c>
      <c r="B1049" s="93" t="s">
        <v>436</v>
      </c>
      <c r="C1049" s="36">
        <f xml:space="preserve"> ABS((C1031-CFD!$B$26)/(CFD!$B$27-CFD!$B$26)*(CFD!$A$27-CFD!$A$26) + CFD!$A$26)*PI()/180</f>
        <v>3.7792961558970641E-2</v>
      </c>
      <c r="D1049" s="93"/>
      <c r="E1049" s="93" t="s">
        <v>407</v>
      </c>
      <c r="F1049" s="93" t="s">
        <v>21</v>
      </c>
      <c r="G1049" s="29" t="s">
        <v>550</v>
      </c>
      <c r="H1049" s="127" t="s">
        <v>526</v>
      </c>
      <c r="I1049" s="127"/>
      <c r="J1049" s="127"/>
      <c r="K1049" s="127"/>
      <c r="L1049" s="127"/>
    </row>
    <row r="1050" spans="1:12" ht="18" customHeight="1" x14ac:dyDescent="0.2">
      <c r="A1050" s="91">
        <v>48000</v>
      </c>
      <c r="B1050" s="93" t="s">
        <v>436</v>
      </c>
      <c r="C1050" s="36">
        <f xml:space="preserve"> ABS((C1032-CFD!$B$26)/(CFD!$B$27-CFD!$B$26)*(CFD!$A$27-CFD!$A$26) + CFD!$A$26)*PI()/180</f>
        <v>3.9640675744975706E-2</v>
      </c>
      <c r="D1050" s="93"/>
      <c r="E1050" s="93" t="s">
        <v>407</v>
      </c>
      <c r="F1050" s="93" t="s">
        <v>21</v>
      </c>
      <c r="G1050" s="29" t="s">
        <v>550</v>
      </c>
      <c r="H1050" s="127" t="s">
        <v>526</v>
      </c>
      <c r="I1050" s="127"/>
      <c r="J1050" s="127"/>
      <c r="K1050" s="127"/>
      <c r="L1050" s="127"/>
    </row>
    <row r="1051" spans="1:12" ht="18" customHeight="1" x14ac:dyDescent="0.2">
      <c r="A1051" s="91">
        <v>49000</v>
      </c>
      <c r="B1051" s="93" t="s">
        <v>436</v>
      </c>
      <c r="C1051" s="36">
        <f xml:space="preserve"> ABS((C1033-CFD!$B$26)/(CFD!$B$27-CFD!$B$26)*(CFD!$A$27-CFD!$A$26) + CFD!$A$26)*PI()/180</f>
        <v>4.1591270682147984E-2</v>
      </c>
      <c r="D1051" s="93"/>
      <c r="E1051" s="93" t="s">
        <v>407</v>
      </c>
      <c r="F1051" s="93" t="s">
        <v>21</v>
      </c>
      <c r="G1051" s="29" t="s">
        <v>550</v>
      </c>
      <c r="H1051" s="127" t="s">
        <v>526</v>
      </c>
      <c r="I1051" s="127"/>
      <c r="J1051" s="127"/>
      <c r="K1051" s="127"/>
      <c r="L1051" s="127"/>
    </row>
    <row r="1052" spans="1:12" ht="18" customHeight="1" x14ac:dyDescent="0.2">
      <c r="A1052" s="93" t="s">
        <v>560</v>
      </c>
      <c r="B1052" s="47" t="s">
        <v>481</v>
      </c>
      <c r="C1052" s="48">
        <f>C1034/C1070</f>
        <v>3.8014906783290614E-2</v>
      </c>
      <c r="D1052" s="93" t="s">
        <v>125</v>
      </c>
      <c r="E1052" s="93" t="s">
        <v>407</v>
      </c>
      <c r="F1052" s="93" t="s">
        <v>21</v>
      </c>
      <c r="G1052" s="29" t="s">
        <v>482</v>
      </c>
      <c r="H1052" s="127" t="s">
        <v>483</v>
      </c>
      <c r="I1052" s="127"/>
      <c r="J1052" s="127"/>
      <c r="K1052" s="127"/>
      <c r="L1052" s="127"/>
    </row>
    <row r="1053" spans="1:12" ht="18" customHeight="1" x14ac:dyDescent="0.2">
      <c r="A1053" s="91">
        <v>42000</v>
      </c>
      <c r="B1053" s="47" t="s">
        <v>481</v>
      </c>
      <c r="C1053" s="48">
        <f t="shared" ref="C1053:C1060" si="40">C1035/C1071</f>
        <v>3.8012563043959224E-2</v>
      </c>
      <c r="D1053" s="93" t="s">
        <v>125</v>
      </c>
      <c r="E1053" s="93" t="s">
        <v>407</v>
      </c>
      <c r="F1053" s="93" t="s">
        <v>21</v>
      </c>
      <c r="G1053" s="29" t="s">
        <v>482</v>
      </c>
      <c r="H1053" s="127" t="s">
        <v>483</v>
      </c>
      <c r="I1053" s="127"/>
      <c r="J1053" s="127"/>
      <c r="K1053" s="127"/>
      <c r="L1053" s="127"/>
    </row>
    <row r="1054" spans="1:12" ht="18" customHeight="1" x14ac:dyDescent="0.2">
      <c r="A1054" s="91">
        <v>43000</v>
      </c>
      <c r="B1054" s="47" t="s">
        <v>481</v>
      </c>
      <c r="C1054" s="48">
        <f t="shared" si="40"/>
        <v>3.8010335597037405E-2</v>
      </c>
      <c r="D1054" s="93" t="s">
        <v>125</v>
      </c>
      <c r="E1054" s="93" t="s">
        <v>407</v>
      </c>
      <c r="F1054" s="93" t="s">
        <v>21</v>
      </c>
      <c r="G1054" s="29" t="s">
        <v>482</v>
      </c>
      <c r="H1054" s="127" t="s">
        <v>483</v>
      </c>
      <c r="I1054" s="127"/>
      <c r="J1054" s="127"/>
      <c r="K1054" s="127"/>
      <c r="L1054" s="127"/>
    </row>
    <row r="1055" spans="1:12" ht="18" customHeight="1" x14ac:dyDescent="0.2">
      <c r="A1055" s="91">
        <v>44000</v>
      </c>
      <c r="B1055" s="47" t="s">
        <v>481</v>
      </c>
      <c r="C1055" s="48">
        <f t="shared" si="40"/>
        <v>3.8008206551385218E-2</v>
      </c>
      <c r="D1055" s="93" t="s">
        <v>125</v>
      </c>
      <c r="E1055" s="93" t="s">
        <v>407</v>
      </c>
      <c r="F1055" s="93" t="s">
        <v>21</v>
      </c>
      <c r="G1055" s="29" t="s">
        <v>482</v>
      </c>
      <c r="H1055" s="127" t="s">
        <v>483</v>
      </c>
      <c r="I1055" s="127"/>
      <c r="J1055" s="127"/>
      <c r="K1055" s="127"/>
      <c r="L1055" s="127"/>
    </row>
    <row r="1056" spans="1:12" ht="18" customHeight="1" x14ac:dyDescent="0.2">
      <c r="A1056" s="91">
        <v>45000</v>
      </c>
      <c r="B1056" s="47" t="s">
        <v>481</v>
      </c>
      <c r="C1056" s="48">
        <f t="shared" si="40"/>
        <v>3.8006184852572643E-2</v>
      </c>
      <c r="D1056" s="93" t="s">
        <v>125</v>
      </c>
      <c r="E1056" s="93" t="s">
        <v>407</v>
      </c>
      <c r="F1056" s="93" t="s">
        <v>21</v>
      </c>
      <c r="G1056" s="29" t="s">
        <v>482</v>
      </c>
      <c r="H1056" s="127" t="s">
        <v>483</v>
      </c>
      <c r="I1056" s="127"/>
      <c r="J1056" s="127"/>
      <c r="K1056" s="127"/>
      <c r="L1056" s="127"/>
    </row>
    <row r="1057" spans="1:12" ht="18" customHeight="1" x14ac:dyDescent="0.2">
      <c r="A1057" s="91">
        <v>46000</v>
      </c>
      <c r="B1057" s="47" t="s">
        <v>481</v>
      </c>
      <c r="C1057" s="48">
        <f t="shared" si="40"/>
        <v>3.8004252609459742E-2</v>
      </c>
      <c r="D1057" s="93" t="s">
        <v>125</v>
      </c>
      <c r="E1057" s="93" t="s">
        <v>407</v>
      </c>
      <c r="F1057" s="93" t="s">
        <v>21</v>
      </c>
      <c r="G1057" s="29" t="s">
        <v>482</v>
      </c>
      <c r="H1057" s="127" t="s">
        <v>483</v>
      </c>
      <c r="I1057" s="127"/>
      <c r="J1057" s="127"/>
      <c r="K1057" s="127"/>
      <c r="L1057" s="127"/>
    </row>
    <row r="1058" spans="1:12" ht="18" customHeight="1" x14ac:dyDescent="0.2">
      <c r="A1058" s="91">
        <v>47000</v>
      </c>
      <c r="B1058" s="47" t="s">
        <v>481</v>
      </c>
      <c r="C1058" s="48">
        <f t="shared" si="40"/>
        <v>3.8002409822046501E-2</v>
      </c>
      <c r="D1058" s="93" t="s">
        <v>125</v>
      </c>
      <c r="E1058" s="93" t="s">
        <v>407</v>
      </c>
      <c r="F1058" s="93" t="s">
        <v>21</v>
      </c>
      <c r="G1058" s="29" t="s">
        <v>482</v>
      </c>
      <c r="H1058" s="127" t="s">
        <v>483</v>
      </c>
      <c r="I1058" s="127"/>
      <c r="J1058" s="127"/>
      <c r="K1058" s="127"/>
      <c r="L1058" s="127"/>
    </row>
    <row r="1059" spans="1:12" ht="18" customHeight="1" x14ac:dyDescent="0.2">
      <c r="A1059" s="91">
        <v>48000</v>
      </c>
      <c r="B1059" s="47" t="s">
        <v>481</v>
      </c>
      <c r="C1059" s="48">
        <f t="shared" si="40"/>
        <v>3.8000656490332942E-2</v>
      </c>
      <c r="D1059" s="93" t="s">
        <v>125</v>
      </c>
      <c r="E1059" s="93" t="s">
        <v>407</v>
      </c>
      <c r="F1059" s="93" t="s">
        <v>21</v>
      </c>
      <c r="G1059" s="29" t="s">
        <v>482</v>
      </c>
      <c r="H1059" s="127" t="s">
        <v>483</v>
      </c>
      <c r="I1059" s="127"/>
      <c r="J1059" s="127"/>
      <c r="K1059" s="127"/>
      <c r="L1059" s="127"/>
    </row>
    <row r="1060" spans="1:12" ht="18" customHeight="1" x14ac:dyDescent="0.2">
      <c r="A1060" s="91">
        <v>49000</v>
      </c>
      <c r="B1060" s="47" t="s">
        <v>481</v>
      </c>
      <c r="C1060" s="48">
        <f t="shared" si="40"/>
        <v>3.7998974723179119E-2</v>
      </c>
      <c r="D1060" s="93" t="s">
        <v>125</v>
      </c>
      <c r="E1060" s="93" t="s">
        <v>407</v>
      </c>
      <c r="F1060" s="93" t="s">
        <v>21</v>
      </c>
      <c r="G1060" s="29" t="s">
        <v>482</v>
      </c>
      <c r="H1060" s="127" t="s">
        <v>483</v>
      </c>
      <c r="I1060" s="127"/>
      <c r="J1060" s="127"/>
      <c r="K1060" s="127"/>
      <c r="L1060" s="127"/>
    </row>
    <row r="1061" spans="1:12" ht="18" customHeight="1" x14ac:dyDescent="0.2">
      <c r="A1061" s="93" t="s">
        <v>559</v>
      </c>
      <c r="B1061" s="93" t="s">
        <v>420</v>
      </c>
      <c r="C1061" s="36">
        <f t="shared" ref="C1061:C1069" si="41">C1025/C1043</f>
        <v>2.6721881680736823</v>
      </c>
      <c r="D1061" s="93" t="s">
        <v>125</v>
      </c>
      <c r="E1061" s="93" t="s">
        <v>421</v>
      </c>
      <c r="F1061" s="93" t="s">
        <v>21</v>
      </c>
      <c r="G1061" s="29" t="s">
        <v>422</v>
      </c>
      <c r="H1061" s="110" t="s">
        <v>423</v>
      </c>
      <c r="I1061" s="110"/>
      <c r="J1061" s="110"/>
      <c r="K1061" s="110"/>
      <c r="L1061" s="110"/>
    </row>
    <row r="1062" spans="1:12" ht="18" customHeight="1" x14ac:dyDescent="0.2">
      <c r="A1062" s="91">
        <v>42000</v>
      </c>
      <c r="B1062" s="93" t="s">
        <v>420</v>
      </c>
      <c r="C1062" s="36">
        <f t="shared" si="41"/>
        <v>2.6723529270904094</v>
      </c>
      <c r="D1062" s="93" t="s">
        <v>125</v>
      </c>
      <c r="E1062" s="93" t="s">
        <v>421</v>
      </c>
      <c r="F1062" s="93" t="s">
        <v>21</v>
      </c>
      <c r="G1062" s="29" t="s">
        <v>422</v>
      </c>
      <c r="H1062" s="110" t="s">
        <v>423</v>
      </c>
      <c r="I1062" s="110"/>
      <c r="J1062" s="110"/>
      <c r="K1062" s="110"/>
      <c r="L1062" s="110"/>
    </row>
    <row r="1063" spans="1:12" ht="18" customHeight="1" x14ac:dyDescent="0.2">
      <c r="A1063" s="91">
        <v>43000</v>
      </c>
      <c r="B1063" s="93" t="s">
        <v>420</v>
      </c>
      <c r="C1063" s="36">
        <f t="shared" si="41"/>
        <v>2.6725095298724675</v>
      </c>
      <c r="D1063" s="93" t="s">
        <v>125</v>
      </c>
      <c r="E1063" s="93" t="s">
        <v>421</v>
      </c>
      <c r="F1063" s="93" t="s">
        <v>21</v>
      </c>
      <c r="G1063" s="29" t="s">
        <v>422</v>
      </c>
      <c r="H1063" s="110" t="s">
        <v>423</v>
      </c>
      <c r="I1063" s="110"/>
      <c r="J1063" s="110"/>
      <c r="K1063" s="110"/>
      <c r="L1063" s="110"/>
    </row>
    <row r="1064" spans="1:12" ht="18" customHeight="1" x14ac:dyDescent="0.2">
      <c r="A1064" s="91">
        <v>44000</v>
      </c>
      <c r="B1064" s="93" t="s">
        <v>420</v>
      </c>
      <c r="C1064" s="36">
        <f t="shared" si="41"/>
        <v>2.6726592316161506</v>
      </c>
      <c r="D1064" s="93" t="s">
        <v>125</v>
      </c>
      <c r="E1064" s="93" t="s">
        <v>421</v>
      </c>
      <c r="F1064" s="93" t="s">
        <v>21</v>
      </c>
      <c r="G1064" s="29" t="s">
        <v>422</v>
      </c>
      <c r="H1064" s="110" t="s">
        <v>423</v>
      </c>
      <c r="I1064" s="110"/>
      <c r="J1064" s="110"/>
      <c r="K1064" s="110"/>
      <c r="L1064" s="110"/>
    </row>
    <row r="1065" spans="1:12" ht="18" customHeight="1" x14ac:dyDescent="0.2">
      <c r="A1065" s="91">
        <v>45000</v>
      </c>
      <c r="B1065" s="93" t="s">
        <v>420</v>
      </c>
      <c r="C1065" s="36">
        <f t="shared" si="41"/>
        <v>2.672801400897701</v>
      </c>
      <c r="D1065" s="93" t="s">
        <v>125</v>
      </c>
      <c r="E1065" s="93" t="s">
        <v>421</v>
      </c>
      <c r="F1065" s="93" t="s">
        <v>21</v>
      </c>
      <c r="G1065" s="29" t="s">
        <v>422</v>
      </c>
      <c r="H1065" s="110" t="s">
        <v>423</v>
      </c>
      <c r="I1065" s="110"/>
      <c r="J1065" s="110"/>
      <c r="K1065" s="110"/>
      <c r="L1065" s="110"/>
    </row>
    <row r="1066" spans="1:12" ht="18" customHeight="1" x14ac:dyDescent="0.2">
      <c r="A1066" s="91">
        <v>46000</v>
      </c>
      <c r="B1066" s="93" t="s">
        <v>420</v>
      </c>
      <c r="C1066" s="36">
        <f t="shared" si="41"/>
        <v>2.6729372936398139</v>
      </c>
      <c r="D1066" s="93" t="s">
        <v>125</v>
      </c>
      <c r="E1066" s="93" t="s">
        <v>421</v>
      </c>
      <c r="F1066" s="93" t="s">
        <v>21</v>
      </c>
      <c r="G1066" s="29" t="s">
        <v>422</v>
      </c>
      <c r="H1066" s="110" t="s">
        <v>423</v>
      </c>
      <c r="I1066" s="110"/>
      <c r="J1066" s="110"/>
      <c r="K1066" s="110"/>
      <c r="L1066" s="110"/>
    </row>
    <row r="1067" spans="1:12" ht="18" customHeight="1" x14ac:dyDescent="0.2">
      <c r="A1067" s="91">
        <v>47000</v>
      </c>
      <c r="B1067" s="93" t="s">
        <v>420</v>
      </c>
      <c r="C1067" s="36">
        <f t="shared" si="41"/>
        <v>2.6730669079254383</v>
      </c>
      <c r="D1067" s="93" t="s">
        <v>125</v>
      </c>
      <c r="E1067" s="93" t="s">
        <v>421</v>
      </c>
      <c r="F1067" s="93" t="s">
        <v>21</v>
      </c>
      <c r="G1067" s="29" t="s">
        <v>422</v>
      </c>
      <c r="H1067" s="110" t="s">
        <v>423</v>
      </c>
      <c r="I1067" s="110"/>
      <c r="J1067" s="110"/>
      <c r="K1067" s="110"/>
      <c r="L1067" s="110"/>
    </row>
    <row r="1068" spans="1:12" ht="18" customHeight="1" x14ac:dyDescent="0.2">
      <c r="A1068" s="91">
        <v>48000</v>
      </c>
      <c r="B1068" s="93" t="s">
        <v>420</v>
      </c>
      <c r="C1068" s="36">
        <f t="shared" si="41"/>
        <v>2.6731902419258216</v>
      </c>
      <c r="D1068" s="93" t="s">
        <v>125</v>
      </c>
      <c r="E1068" s="93" t="s">
        <v>421</v>
      </c>
      <c r="F1068" s="93" t="s">
        <v>21</v>
      </c>
      <c r="G1068" s="29" t="s">
        <v>422</v>
      </c>
      <c r="H1068" s="110" t="s">
        <v>423</v>
      </c>
      <c r="I1068" s="110"/>
      <c r="J1068" s="110"/>
      <c r="K1068" s="110"/>
      <c r="L1068" s="110"/>
    </row>
    <row r="1069" spans="1:12" ht="18" customHeight="1" x14ac:dyDescent="0.2">
      <c r="A1069" s="91">
        <v>49000</v>
      </c>
      <c r="B1069" s="93" t="s">
        <v>420</v>
      </c>
      <c r="C1069" s="36">
        <f t="shared" si="41"/>
        <v>2.6733085525796625</v>
      </c>
      <c r="D1069" s="93" t="s">
        <v>125</v>
      </c>
      <c r="E1069" s="93" t="s">
        <v>421</v>
      </c>
      <c r="F1069" s="93" t="s">
        <v>21</v>
      </c>
      <c r="G1069" s="29" t="s">
        <v>422</v>
      </c>
      <c r="H1069" s="110" t="s">
        <v>423</v>
      </c>
      <c r="I1069" s="110"/>
      <c r="J1069" s="110"/>
      <c r="K1069" s="110"/>
      <c r="L1069" s="110"/>
    </row>
    <row r="1070" spans="1:12" ht="18" customHeight="1" x14ac:dyDescent="0.2">
      <c r="A1070" s="93" t="s">
        <v>425</v>
      </c>
      <c r="B1070" s="93" t="s">
        <v>426</v>
      </c>
      <c r="C1070" s="36">
        <f>C1061</f>
        <v>2.6721881680736823</v>
      </c>
      <c r="D1070" s="93" t="s">
        <v>125</v>
      </c>
      <c r="E1070" s="93" t="s">
        <v>421</v>
      </c>
      <c r="F1070" s="93" t="s">
        <v>21</v>
      </c>
      <c r="G1070" s="29" t="s">
        <v>427</v>
      </c>
      <c r="H1070" s="110" t="s">
        <v>428</v>
      </c>
      <c r="I1070" s="110"/>
      <c r="J1070" s="110"/>
      <c r="K1070" s="110"/>
      <c r="L1070" s="110"/>
    </row>
    <row r="1071" spans="1:12" ht="18" customHeight="1" x14ac:dyDescent="0.2">
      <c r="A1071" s="91">
        <v>42000</v>
      </c>
      <c r="B1071" s="93" t="s">
        <v>426</v>
      </c>
      <c r="C1071" s="36">
        <f t="shared" ref="C1071:C1078" si="42">C1062</f>
        <v>2.6723529270904094</v>
      </c>
      <c r="D1071" s="93" t="s">
        <v>125</v>
      </c>
      <c r="E1071" s="93" t="s">
        <v>421</v>
      </c>
      <c r="F1071" s="93" t="s">
        <v>21</v>
      </c>
      <c r="G1071" s="29" t="s">
        <v>427</v>
      </c>
      <c r="H1071" s="110" t="s">
        <v>428</v>
      </c>
      <c r="I1071" s="110"/>
      <c r="J1071" s="110"/>
      <c r="K1071" s="110"/>
      <c r="L1071" s="110"/>
    </row>
    <row r="1072" spans="1:12" ht="18" customHeight="1" x14ac:dyDescent="0.2">
      <c r="A1072" s="91">
        <v>43000</v>
      </c>
      <c r="B1072" s="93" t="s">
        <v>426</v>
      </c>
      <c r="C1072" s="36">
        <f t="shared" si="42"/>
        <v>2.6725095298724675</v>
      </c>
      <c r="D1072" s="93" t="s">
        <v>125</v>
      </c>
      <c r="E1072" s="93" t="s">
        <v>421</v>
      </c>
      <c r="F1072" s="93" t="s">
        <v>21</v>
      </c>
      <c r="G1072" s="29" t="s">
        <v>427</v>
      </c>
      <c r="H1072" s="110" t="s">
        <v>428</v>
      </c>
      <c r="I1072" s="110"/>
      <c r="J1072" s="110"/>
      <c r="K1072" s="110"/>
      <c r="L1072" s="110"/>
    </row>
    <row r="1073" spans="1:12" ht="18" customHeight="1" x14ac:dyDescent="0.2">
      <c r="A1073" s="91">
        <v>44000</v>
      </c>
      <c r="B1073" s="93" t="s">
        <v>426</v>
      </c>
      <c r="C1073" s="36">
        <f t="shared" si="42"/>
        <v>2.6726592316161506</v>
      </c>
      <c r="D1073" s="93" t="s">
        <v>125</v>
      </c>
      <c r="E1073" s="93" t="s">
        <v>421</v>
      </c>
      <c r="F1073" s="93" t="s">
        <v>21</v>
      </c>
      <c r="G1073" s="29" t="s">
        <v>427</v>
      </c>
      <c r="H1073" s="110" t="s">
        <v>428</v>
      </c>
      <c r="I1073" s="110"/>
      <c r="J1073" s="110"/>
      <c r="K1073" s="110"/>
      <c r="L1073" s="110"/>
    </row>
    <row r="1074" spans="1:12" ht="18" customHeight="1" x14ac:dyDescent="0.2">
      <c r="A1074" s="91">
        <v>45000</v>
      </c>
      <c r="B1074" s="93" t="s">
        <v>426</v>
      </c>
      <c r="C1074" s="36">
        <f t="shared" si="42"/>
        <v>2.672801400897701</v>
      </c>
      <c r="D1074" s="93" t="s">
        <v>125</v>
      </c>
      <c r="E1074" s="93" t="s">
        <v>421</v>
      </c>
      <c r="F1074" s="93" t="s">
        <v>21</v>
      </c>
      <c r="G1074" s="29" t="s">
        <v>427</v>
      </c>
      <c r="H1074" s="110" t="s">
        <v>428</v>
      </c>
      <c r="I1074" s="110"/>
      <c r="J1074" s="110"/>
      <c r="K1074" s="110"/>
      <c r="L1074" s="110"/>
    </row>
    <row r="1075" spans="1:12" ht="18" customHeight="1" x14ac:dyDescent="0.2">
      <c r="A1075" s="91">
        <v>46000</v>
      </c>
      <c r="B1075" s="93" t="s">
        <v>426</v>
      </c>
      <c r="C1075" s="36">
        <f t="shared" si="42"/>
        <v>2.6729372936398139</v>
      </c>
      <c r="D1075" s="93" t="s">
        <v>125</v>
      </c>
      <c r="E1075" s="93" t="s">
        <v>421</v>
      </c>
      <c r="F1075" s="93" t="s">
        <v>21</v>
      </c>
      <c r="G1075" s="29" t="s">
        <v>427</v>
      </c>
      <c r="H1075" s="110" t="s">
        <v>428</v>
      </c>
      <c r="I1075" s="110"/>
      <c r="J1075" s="110"/>
      <c r="K1075" s="110"/>
      <c r="L1075" s="110"/>
    </row>
    <row r="1076" spans="1:12" ht="18" customHeight="1" x14ac:dyDescent="0.2">
      <c r="A1076" s="91">
        <v>47000</v>
      </c>
      <c r="B1076" s="93" t="s">
        <v>426</v>
      </c>
      <c r="C1076" s="36">
        <f t="shared" si="42"/>
        <v>2.6730669079254383</v>
      </c>
      <c r="D1076" s="93" t="s">
        <v>125</v>
      </c>
      <c r="E1076" s="93" t="s">
        <v>421</v>
      </c>
      <c r="F1076" s="93" t="s">
        <v>21</v>
      </c>
      <c r="G1076" s="29" t="s">
        <v>427</v>
      </c>
      <c r="H1076" s="110" t="s">
        <v>428</v>
      </c>
      <c r="I1076" s="110"/>
      <c r="J1076" s="110"/>
      <c r="K1076" s="110"/>
      <c r="L1076" s="110"/>
    </row>
    <row r="1077" spans="1:12" ht="18" customHeight="1" x14ac:dyDescent="0.2">
      <c r="A1077" s="91">
        <v>48000</v>
      </c>
      <c r="B1077" s="93" t="s">
        <v>426</v>
      </c>
      <c r="C1077" s="36">
        <f t="shared" si="42"/>
        <v>2.6731902419258216</v>
      </c>
      <c r="D1077" s="93" t="s">
        <v>125</v>
      </c>
      <c r="E1077" s="93" t="s">
        <v>421</v>
      </c>
      <c r="F1077" s="93" t="s">
        <v>21</v>
      </c>
      <c r="G1077" s="29" t="s">
        <v>427</v>
      </c>
      <c r="H1077" s="110" t="s">
        <v>428</v>
      </c>
      <c r="I1077" s="110"/>
      <c r="J1077" s="110"/>
      <c r="K1077" s="110"/>
      <c r="L1077" s="110"/>
    </row>
    <row r="1078" spans="1:12" ht="18" customHeight="1" x14ac:dyDescent="0.2">
      <c r="A1078" s="91">
        <v>49000</v>
      </c>
      <c r="B1078" s="93" t="s">
        <v>426</v>
      </c>
      <c r="C1078" s="36">
        <f t="shared" si="42"/>
        <v>2.6733085525796625</v>
      </c>
      <c r="D1078" s="93" t="s">
        <v>125</v>
      </c>
      <c r="E1078" s="93" t="s">
        <v>421</v>
      </c>
      <c r="F1078" s="93" t="s">
        <v>21</v>
      </c>
      <c r="G1078" s="29" t="s">
        <v>427</v>
      </c>
      <c r="H1078" s="110" t="s">
        <v>428</v>
      </c>
      <c r="I1078" s="110"/>
      <c r="J1078" s="110"/>
      <c r="K1078" s="110"/>
      <c r="L1078" s="110"/>
    </row>
    <row r="1079" spans="1:12" ht="18" customHeight="1" x14ac:dyDescent="0.2">
      <c r="A1079" s="96" t="s">
        <v>429</v>
      </c>
      <c r="B1079" s="93" t="s">
        <v>430</v>
      </c>
      <c r="C1079" s="36">
        <f>$C$7/C1043</f>
        <v>0.64530308836312866</v>
      </c>
      <c r="D1079" s="93" t="s">
        <v>125</v>
      </c>
      <c r="E1079" s="93" t="s">
        <v>431</v>
      </c>
      <c r="F1079" s="93" t="s">
        <v>21</v>
      </c>
      <c r="G1079" s="29" t="s">
        <v>432</v>
      </c>
      <c r="H1079" s="110" t="s">
        <v>433</v>
      </c>
      <c r="I1079" s="110"/>
      <c r="J1079" s="110"/>
      <c r="K1079" s="110"/>
      <c r="L1079" s="110"/>
    </row>
    <row r="1080" spans="1:12" ht="18" customHeight="1" x14ac:dyDescent="0.2">
      <c r="A1080" s="91">
        <v>42000</v>
      </c>
      <c r="B1080" s="93" t="s">
        <v>430</v>
      </c>
      <c r="C1080" s="36">
        <f t="shared" ref="C1080:C1087" si="43">$C$7/C1044</f>
        <v>0.61513926138574826</v>
      </c>
      <c r="D1080" s="93" t="s">
        <v>125</v>
      </c>
      <c r="E1080" s="93" t="s">
        <v>431</v>
      </c>
      <c r="F1080" s="93" t="s">
        <v>21</v>
      </c>
      <c r="G1080" s="29" t="s">
        <v>432</v>
      </c>
      <c r="H1080" s="110" t="s">
        <v>433</v>
      </c>
      <c r="I1080" s="110"/>
      <c r="J1080" s="110"/>
      <c r="K1080" s="110"/>
      <c r="L1080" s="110"/>
    </row>
    <row r="1081" spans="1:12" ht="18" customHeight="1" x14ac:dyDescent="0.2">
      <c r="A1081" s="91">
        <v>43000</v>
      </c>
      <c r="B1081" s="93" t="s">
        <v>430</v>
      </c>
      <c r="C1081" s="36">
        <f t="shared" si="43"/>
        <v>0.58646866528715691</v>
      </c>
      <c r="D1081" s="93" t="s">
        <v>125</v>
      </c>
      <c r="E1081" s="93" t="s">
        <v>431</v>
      </c>
      <c r="F1081" s="93" t="s">
        <v>21</v>
      </c>
      <c r="G1081" s="29" t="s">
        <v>432</v>
      </c>
      <c r="H1081" s="110" t="s">
        <v>433</v>
      </c>
      <c r="I1081" s="110"/>
      <c r="J1081" s="110"/>
      <c r="K1081" s="110"/>
      <c r="L1081" s="110"/>
    </row>
    <row r="1082" spans="1:12" ht="18" customHeight="1" x14ac:dyDescent="0.2">
      <c r="A1082" s="91">
        <v>44000</v>
      </c>
      <c r="B1082" s="93" t="s">
        <v>430</v>
      </c>
      <c r="C1082" s="36">
        <f t="shared" si="43"/>
        <v>0.55906150066360671</v>
      </c>
      <c r="D1082" s="93" t="s">
        <v>125</v>
      </c>
      <c r="E1082" s="93" t="s">
        <v>431</v>
      </c>
      <c r="F1082" s="93" t="s">
        <v>21</v>
      </c>
      <c r="G1082" s="29" t="s">
        <v>432</v>
      </c>
      <c r="H1082" s="110" t="s">
        <v>433</v>
      </c>
      <c r="I1082" s="110"/>
      <c r="J1082" s="110"/>
      <c r="K1082" s="110"/>
      <c r="L1082" s="110"/>
    </row>
    <row r="1083" spans="1:12" ht="18" customHeight="1" x14ac:dyDescent="0.2">
      <c r="A1083" s="91">
        <v>45000</v>
      </c>
      <c r="B1083" s="93" t="s">
        <v>430</v>
      </c>
      <c r="C1083" s="36">
        <f t="shared" si="43"/>
        <v>0.53303336760366038</v>
      </c>
      <c r="D1083" s="93" t="s">
        <v>125</v>
      </c>
      <c r="E1083" s="93" t="s">
        <v>431</v>
      </c>
      <c r="F1083" s="93" t="s">
        <v>21</v>
      </c>
      <c r="G1083" s="29" t="s">
        <v>432</v>
      </c>
      <c r="H1083" s="110" t="s">
        <v>433</v>
      </c>
      <c r="I1083" s="110"/>
      <c r="J1083" s="110"/>
      <c r="K1083" s="110"/>
      <c r="L1083" s="110"/>
    </row>
    <row r="1084" spans="1:12" ht="18" customHeight="1" x14ac:dyDescent="0.2">
      <c r="A1084" s="91">
        <v>46000</v>
      </c>
      <c r="B1084" s="93" t="s">
        <v>430</v>
      </c>
      <c r="C1084" s="36">
        <f t="shared" si="43"/>
        <v>0.50815433371526419</v>
      </c>
      <c r="D1084" s="93" t="s">
        <v>125</v>
      </c>
      <c r="E1084" s="93" t="s">
        <v>431</v>
      </c>
      <c r="F1084" s="93" t="s">
        <v>21</v>
      </c>
      <c r="G1084" s="29" t="s">
        <v>432</v>
      </c>
      <c r="H1084" s="110" t="s">
        <v>433</v>
      </c>
      <c r="I1084" s="110"/>
      <c r="J1084" s="110"/>
      <c r="K1084" s="110"/>
      <c r="L1084" s="110"/>
    </row>
    <row r="1085" spans="1:12" ht="18" customHeight="1" x14ac:dyDescent="0.2">
      <c r="A1085" s="91">
        <v>47000</v>
      </c>
      <c r="B1085" s="93" t="s">
        <v>430</v>
      </c>
      <c r="C1085" s="36">
        <f t="shared" si="43"/>
        <v>0.4844247499690828</v>
      </c>
      <c r="D1085" s="93" t="s">
        <v>125</v>
      </c>
      <c r="E1085" s="93" t="s">
        <v>431</v>
      </c>
      <c r="F1085" s="93" t="s">
        <v>21</v>
      </c>
      <c r="G1085" s="29" t="s">
        <v>432</v>
      </c>
      <c r="H1085" s="110" t="s">
        <v>433</v>
      </c>
      <c r="I1085" s="110"/>
      <c r="J1085" s="110"/>
      <c r="K1085" s="110"/>
      <c r="L1085" s="110"/>
    </row>
    <row r="1086" spans="1:12" ht="18" customHeight="1" x14ac:dyDescent="0.2">
      <c r="A1086" s="91">
        <v>48000</v>
      </c>
      <c r="B1086" s="93" t="s">
        <v>430</v>
      </c>
      <c r="C1086" s="36">
        <f t="shared" si="43"/>
        <v>0.46184495117028762</v>
      </c>
      <c r="D1086" s="93" t="s">
        <v>125</v>
      </c>
      <c r="E1086" s="93" t="s">
        <v>431</v>
      </c>
      <c r="F1086" s="93" t="s">
        <v>21</v>
      </c>
      <c r="G1086" s="29" t="s">
        <v>432</v>
      </c>
      <c r="H1086" s="110" t="s">
        <v>433</v>
      </c>
      <c r="I1086" s="110"/>
      <c r="J1086" s="110"/>
      <c r="K1086" s="110"/>
      <c r="L1086" s="110"/>
    </row>
    <row r="1087" spans="1:12" ht="18" customHeight="1" x14ac:dyDescent="0.2">
      <c r="A1087" s="91">
        <v>49000</v>
      </c>
      <c r="B1087" s="93" t="s">
        <v>430</v>
      </c>
      <c r="C1087" s="36">
        <f t="shared" si="43"/>
        <v>0.44018481891811251</v>
      </c>
      <c r="D1087" s="93" t="s">
        <v>125</v>
      </c>
      <c r="E1087" s="93" t="s">
        <v>431</v>
      </c>
      <c r="F1087" s="93" t="s">
        <v>21</v>
      </c>
      <c r="G1087" s="29" t="s">
        <v>432</v>
      </c>
      <c r="H1087" s="110" t="s">
        <v>433</v>
      </c>
      <c r="I1087" s="110"/>
      <c r="J1087" s="110"/>
      <c r="K1087" s="110"/>
      <c r="L1087" s="110"/>
    </row>
    <row r="1088" spans="1:12" ht="18" customHeight="1" x14ac:dyDescent="0.2">
      <c r="A1088" s="93" t="s">
        <v>434</v>
      </c>
      <c r="B1088" s="93" t="s">
        <v>435</v>
      </c>
      <c r="C1088" s="36">
        <f>2*'Stability Constants Subsonic'!$C$13*('Stability Constants Subsonic'!$C$4-'Stability Constants Subsonic'!$C$3)*'Stability Constants Subsonic'!$C$14*'Supersonic Stability'!C1043</f>
        <v>55564.752393846269</v>
      </c>
      <c r="D1088" s="93" t="s">
        <v>125</v>
      </c>
      <c r="E1088" s="93" t="s">
        <v>224</v>
      </c>
      <c r="F1088" s="93" t="s">
        <v>21</v>
      </c>
      <c r="G1088" s="29" t="s">
        <v>437</v>
      </c>
      <c r="H1088" s="110" t="s">
        <v>438</v>
      </c>
      <c r="I1088" s="110"/>
      <c r="J1088" s="110"/>
      <c r="K1088" s="110"/>
      <c r="L1088" s="110"/>
    </row>
    <row r="1089" spans="1:12" ht="18" customHeight="1" x14ac:dyDescent="0.2">
      <c r="A1089" s="91">
        <v>42000</v>
      </c>
      <c r="B1089" s="93" t="s">
        <v>435</v>
      </c>
      <c r="C1089" s="36">
        <f>2*'Stability Constants Subsonic'!$C$13*('Stability Constants Subsonic'!$C$4-'Stability Constants Subsonic'!$C$3)*'Stability Constants Subsonic'!$C$14*'Supersonic Stability'!C1044</f>
        <v>58289.412779647806</v>
      </c>
      <c r="D1089" s="93" t="s">
        <v>125</v>
      </c>
      <c r="E1089" s="93" t="s">
        <v>224</v>
      </c>
      <c r="F1089" s="93" t="s">
        <v>21</v>
      </c>
      <c r="G1089" s="29" t="s">
        <v>437</v>
      </c>
      <c r="H1089" s="110" t="s">
        <v>438</v>
      </c>
      <c r="I1089" s="110"/>
      <c r="J1089" s="110"/>
      <c r="K1089" s="110"/>
      <c r="L1089" s="110"/>
    </row>
    <row r="1090" spans="1:12" ht="18" customHeight="1" x14ac:dyDescent="0.2">
      <c r="A1090" s="91">
        <v>43000</v>
      </c>
      <c r="B1090" s="93" t="s">
        <v>435</v>
      </c>
      <c r="C1090" s="36">
        <f>2*'Stability Constants Subsonic'!$C$13*('Stability Constants Subsonic'!$C$4-'Stability Constants Subsonic'!$C$3)*'Stability Constants Subsonic'!$C$14*'Supersonic Stability'!C1045</f>
        <v>61138.997607527861</v>
      </c>
      <c r="D1090" s="93" t="s">
        <v>125</v>
      </c>
      <c r="E1090" s="93" t="s">
        <v>224</v>
      </c>
      <c r="F1090" s="93" t="s">
        <v>21</v>
      </c>
      <c r="G1090" s="29" t="s">
        <v>437</v>
      </c>
      <c r="H1090" s="110" t="s">
        <v>438</v>
      </c>
      <c r="I1090" s="110"/>
      <c r="J1090" s="110"/>
      <c r="K1090" s="110"/>
      <c r="L1090" s="110"/>
    </row>
    <row r="1091" spans="1:12" ht="18" customHeight="1" x14ac:dyDescent="0.2">
      <c r="A1091" s="91">
        <v>44000</v>
      </c>
      <c r="B1091" s="93" t="s">
        <v>435</v>
      </c>
      <c r="C1091" s="36">
        <f>2*'Stability Constants Subsonic'!$C$13*('Stability Constants Subsonic'!$C$4-'Stability Constants Subsonic'!$C$3)*'Stability Constants Subsonic'!$C$14*'Supersonic Stability'!C1046</f>
        <v>64136.246694362431</v>
      </c>
      <c r="D1091" s="93" t="s">
        <v>125</v>
      </c>
      <c r="E1091" s="93" t="s">
        <v>224</v>
      </c>
      <c r="F1091" s="93" t="s">
        <v>21</v>
      </c>
      <c r="G1091" s="29" t="s">
        <v>437</v>
      </c>
      <c r="H1091" s="110" t="s">
        <v>438</v>
      </c>
      <c r="I1091" s="110"/>
      <c r="J1091" s="110"/>
      <c r="K1091" s="110"/>
      <c r="L1091" s="110"/>
    </row>
    <row r="1092" spans="1:12" ht="18" customHeight="1" x14ac:dyDescent="0.2">
      <c r="A1092" s="91">
        <v>45000</v>
      </c>
      <c r="B1092" s="93" t="s">
        <v>435</v>
      </c>
      <c r="C1092" s="36">
        <f>2*'Stability Constants Subsonic'!$C$13*('Stability Constants Subsonic'!$C$4-'Stability Constants Subsonic'!$C$3)*'Stability Constants Subsonic'!$C$14*'Supersonic Stability'!C1047</f>
        <v>67268.033303578355</v>
      </c>
      <c r="D1092" s="93" t="s">
        <v>125</v>
      </c>
      <c r="E1092" s="93" t="s">
        <v>224</v>
      </c>
      <c r="F1092" s="93" t="s">
        <v>21</v>
      </c>
      <c r="G1092" s="29" t="s">
        <v>437</v>
      </c>
      <c r="H1092" s="110" t="s">
        <v>438</v>
      </c>
      <c r="I1092" s="110"/>
      <c r="J1092" s="110"/>
      <c r="K1092" s="110"/>
      <c r="L1092" s="110"/>
    </row>
    <row r="1093" spans="1:12" ht="18" customHeight="1" x14ac:dyDescent="0.2">
      <c r="A1093" s="91">
        <v>46000</v>
      </c>
      <c r="B1093" s="93" t="s">
        <v>435</v>
      </c>
      <c r="C1093" s="36">
        <f>2*'Stability Constants Subsonic'!$C$13*('Stability Constants Subsonic'!$C$4-'Stability Constants Subsonic'!$C$3)*'Stability Constants Subsonic'!$C$14*'Supersonic Stability'!C1048</f>
        <v>70561.449435503426</v>
      </c>
      <c r="D1093" s="93" t="s">
        <v>125</v>
      </c>
      <c r="E1093" s="93" t="s">
        <v>224</v>
      </c>
      <c r="F1093" s="93" t="s">
        <v>21</v>
      </c>
      <c r="G1093" s="29" t="s">
        <v>437</v>
      </c>
      <c r="H1093" s="110" t="s">
        <v>438</v>
      </c>
      <c r="I1093" s="110"/>
      <c r="J1093" s="110"/>
      <c r="K1093" s="110"/>
      <c r="L1093" s="110"/>
    </row>
    <row r="1094" spans="1:12" ht="18" customHeight="1" x14ac:dyDescent="0.2">
      <c r="A1094" s="91">
        <v>47000</v>
      </c>
      <c r="B1094" s="93" t="s">
        <v>435</v>
      </c>
      <c r="C1094" s="36">
        <f>2*'Stability Constants Subsonic'!$C$13*('Stability Constants Subsonic'!$C$4-'Stability Constants Subsonic'!$C$3)*'Stability Constants Subsonic'!$C$14*'Supersonic Stability'!C1049</f>
        <v>74017.907479273039</v>
      </c>
      <c r="D1094" s="93" t="s">
        <v>125</v>
      </c>
      <c r="E1094" s="93" t="s">
        <v>224</v>
      </c>
      <c r="F1094" s="93" t="s">
        <v>21</v>
      </c>
      <c r="G1094" s="29" t="s">
        <v>437</v>
      </c>
      <c r="H1094" s="110" t="s">
        <v>438</v>
      </c>
      <c r="I1094" s="110"/>
      <c r="J1094" s="110"/>
      <c r="K1094" s="110"/>
      <c r="L1094" s="110"/>
    </row>
    <row r="1095" spans="1:12" ht="18" customHeight="1" x14ac:dyDescent="0.2">
      <c r="A1095" s="91">
        <v>48000</v>
      </c>
      <c r="B1095" s="93" t="s">
        <v>435</v>
      </c>
      <c r="C1095" s="36">
        <f>2*'Stability Constants Subsonic'!$C$13*('Stability Constants Subsonic'!$C$4-'Stability Constants Subsonic'!$C$3)*'Stability Constants Subsonic'!$C$14*'Supersonic Stability'!C1050</f>
        <v>77636.674890619252</v>
      </c>
      <c r="D1095" s="93" t="s">
        <v>125</v>
      </c>
      <c r="E1095" s="93" t="s">
        <v>224</v>
      </c>
      <c r="F1095" s="93" t="s">
        <v>21</v>
      </c>
      <c r="G1095" s="29" t="s">
        <v>437</v>
      </c>
      <c r="H1095" s="110" t="s">
        <v>438</v>
      </c>
      <c r="I1095" s="110"/>
      <c r="J1095" s="110"/>
      <c r="K1095" s="110"/>
      <c r="L1095" s="110"/>
    </row>
    <row r="1096" spans="1:12" ht="18" customHeight="1" x14ac:dyDescent="0.2">
      <c r="A1096" s="91">
        <v>49000</v>
      </c>
      <c r="B1096" s="93" t="s">
        <v>435</v>
      </c>
      <c r="C1096" s="36">
        <f>2*'Stability Constants Subsonic'!$C$13*('Stability Constants Subsonic'!$C$4-'Stability Constants Subsonic'!$C$3)*'Stability Constants Subsonic'!$C$14*'Supersonic Stability'!C1051</f>
        <v>81456.935320960838</v>
      </c>
      <c r="D1096" s="93" t="s">
        <v>125</v>
      </c>
      <c r="E1096" s="93" t="s">
        <v>224</v>
      </c>
      <c r="F1096" s="93" t="s">
        <v>21</v>
      </c>
      <c r="G1096" s="29" t="s">
        <v>437</v>
      </c>
      <c r="H1096" s="110" t="s">
        <v>438</v>
      </c>
      <c r="I1096" s="110"/>
      <c r="J1096" s="110"/>
      <c r="K1096" s="110"/>
      <c r="L1096" s="110"/>
    </row>
    <row r="1097" spans="1:12" ht="18" customHeight="1" x14ac:dyDescent="0.2">
      <c r="A1097" s="93" t="s">
        <v>439</v>
      </c>
      <c r="B1097" s="93" t="s">
        <v>440</v>
      </c>
      <c r="C1097" s="36">
        <f>2*'Stability Constants Subsonic'!$C$13*('Stability Constants Subsonic'!$C$6-'Stability Constants Subsonic'!$C$5)*'Stability Constants Subsonic'!$C$15*'Supersonic Stability'!C1043</f>
        <v>34760.422105757192</v>
      </c>
      <c r="D1097" s="93" t="s">
        <v>125</v>
      </c>
      <c r="E1097" s="93" t="s">
        <v>224</v>
      </c>
      <c r="F1097" s="93" t="s">
        <v>21</v>
      </c>
      <c r="G1097" s="29" t="s">
        <v>442</v>
      </c>
      <c r="H1097" s="110" t="s">
        <v>438</v>
      </c>
      <c r="I1097" s="110"/>
      <c r="J1097" s="110"/>
      <c r="K1097" s="110"/>
      <c r="L1097" s="110"/>
    </row>
    <row r="1098" spans="1:12" ht="18" customHeight="1" x14ac:dyDescent="0.2">
      <c r="A1098" s="91">
        <v>42000</v>
      </c>
      <c r="B1098" s="93" t="s">
        <v>440</v>
      </c>
      <c r="C1098" s="36">
        <f>2*'Stability Constants Subsonic'!$C$13*('Stability Constants Subsonic'!$C$6-'Stability Constants Subsonic'!$C$5)*'Stability Constants Subsonic'!$C$15*'Supersonic Stability'!C1044</f>
        <v>36464.926148787636</v>
      </c>
      <c r="D1098" s="93" t="s">
        <v>125</v>
      </c>
      <c r="E1098" s="93" t="s">
        <v>224</v>
      </c>
      <c r="F1098" s="93" t="s">
        <v>21</v>
      </c>
      <c r="G1098" s="29" t="s">
        <v>442</v>
      </c>
      <c r="H1098" s="110" t="s">
        <v>438</v>
      </c>
      <c r="I1098" s="110"/>
      <c r="J1098" s="110"/>
      <c r="K1098" s="110"/>
      <c r="L1098" s="110"/>
    </row>
    <row r="1099" spans="1:12" ht="18" customHeight="1" x14ac:dyDescent="0.2">
      <c r="A1099" s="91">
        <v>43000</v>
      </c>
      <c r="B1099" s="93" t="s">
        <v>440</v>
      </c>
      <c r="C1099" s="36">
        <f>2*'Stability Constants Subsonic'!$C$13*('Stability Constants Subsonic'!$C$6-'Stability Constants Subsonic'!$C$5)*'Stability Constants Subsonic'!$C$15*'Supersonic Stability'!C1045</f>
        <v>38247.580928587253</v>
      </c>
      <c r="D1099" s="93" t="s">
        <v>125</v>
      </c>
      <c r="E1099" s="93" t="s">
        <v>224</v>
      </c>
      <c r="F1099" s="93" t="s">
        <v>21</v>
      </c>
      <c r="G1099" s="29" t="s">
        <v>442</v>
      </c>
      <c r="H1099" s="110" t="s">
        <v>438</v>
      </c>
      <c r="I1099" s="110"/>
      <c r="J1099" s="110"/>
      <c r="K1099" s="110"/>
      <c r="L1099" s="110"/>
    </row>
    <row r="1100" spans="1:12" ht="18" customHeight="1" x14ac:dyDescent="0.2">
      <c r="A1100" s="91">
        <v>44000</v>
      </c>
      <c r="B1100" s="93" t="s">
        <v>440</v>
      </c>
      <c r="C1100" s="36">
        <f>2*'Stability Constants Subsonic'!$C$13*('Stability Constants Subsonic'!$C$6-'Stability Constants Subsonic'!$C$5)*'Stability Constants Subsonic'!$C$15*'Supersonic Stability'!C1046</f>
        <v>40122.612111593175</v>
      </c>
      <c r="D1100" s="93" t="s">
        <v>125</v>
      </c>
      <c r="E1100" s="93" t="s">
        <v>224</v>
      </c>
      <c r="F1100" s="93" t="s">
        <v>21</v>
      </c>
      <c r="G1100" s="29" t="s">
        <v>442</v>
      </c>
      <c r="H1100" s="110" t="s">
        <v>438</v>
      </c>
      <c r="I1100" s="110"/>
      <c r="J1100" s="110"/>
      <c r="K1100" s="110"/>
      <c r="L1100" s="110"/>
    </row>
    <row r="1101" spans="1:12" ht="18" customHeight="1" x14ac:dyDescent="0.2">
      <c r="A1101" s="91">
        <v>45000</v>
      </c>
      <c r="B1101" s="93" t="s">
        <v>440</v>
      </c>
      <c r="C1101" s="36">
        <f>2*'Stability Constants Subsonic'!$C$13*('Stability Constants Subsonic'!$C$6-'Stability Constants Subsonic'!$C$5)*'Stability Constants Subsonic'!$C$15*'Supersonic Stability'!C1047</f>
        <v>42081.807820950096</v>
      </c>
      <c r="D1101" s="93" t="s">
        <v>125</v>
      </c>
      <c r="E1101" s="93" t="s">
        <v>224</v>
      </c>
      <c r="F1101" s="93" t="s">
        <v>21</v>
      </c>
      <c r="G1101" s="29" t="s">
        <v>442</v>
      </c>
      <c r="H1101" s="110" t="s">
        <v>438</v>
      </c>
      <c r="I1101" s="110"/>
      <c r="J1101" s="110"/>
      <c r="K1101" s="110"/>
      <c r="L1101" s="110"/>
    </row>
    <row r="1102" spans="1:12" ht="18" customHeight="1" x14ac:dyDescent="0.2">
      <c r="A1102" s="91">
        <v>46000</v>
      </c>
      <c r="B1102" s="93" t="s">
        <v>440</v>
      </c>
      <c r="C1102" s="36">
        <f>2*'Stability Constants Subsonic'!$C$13*('Stability Constants Subsonic'!$C$6-'Stability Constants Subsonic'!$C$5)*'Stability Constants Subsonic'!$C$15*'Supersonic Stability'!C1048</f>
        <v>44142.116379587787</v>
      </c>
      <c r="D1102" s="93" t="s">
        <v>125</v>
      </c>
      <c r="E1102" s="93" t="s">
        <v>224</v>
      </c>
      <c r="F1102" s="93" t="s">
        <v>21</v>
      </c>
      <c r="G1102" s="29" t="s">
        <v>442</v>
      </c>
      <c r="H1102" s="110" t="s">
        <v>438</v>
      </c>
      <c r="I1102" s="110"/>
      <c r="J1102" s="110"/>
      <c r="K1102" s="110"/>
      <c r="L1102" s="110"/>
    </row>
    <row r="1103" spans="1:12" ht="18" customHeight="1" x14ac:dyDescent="0.2">
      <c r="A1103" s="91">
        <v>47000</v>
      </c>
      <c r="B1103" s="93" t="s">
        <v>440</v>
      </c>
      <c r="C1103" s="36">
        <f>2*'Stability Constants Subsonic'!$C$13*('Stability Constants Subsonic'!$C$6-'Stability Constants Subsonic'!$C$5)*'Stability Constants Subsonic'!$C$15*'Supersonic Stability'!C1049</f>
        <v>46304.421355603088</v>
      </c>
      <c r="D1103" s="93" t="s">
        <v>125</v>
      </c>
      <c r="E1103" s="93" t="s">
        <v>224</v>
      </c>
      <c r="F1103" s="93" t="s">
        <v>21</v>
      </c>
      <c r="G1103" s="29" t="s">
        <v>442</v>
      </c>
      <c r="H1103" s="110" t="s">
        <v>438</v>
      </c>
      <c r="I1103" s="110"/>
      <c r="J1103" s="110"/>
      <c r="K1103" s="110"/>
      <c r="L1103" s="110"/>
    </row>
    <row r="1104" spans="1:12" ht="18" customHeight="1" x14ac:dyDescent="0.2">
      <c r="A1104" s="91">
        <v>48000</v>
      </c>
      <c r="B1104" s="93" t="s">
        <v>440</v>
      </c>
      <c r="C1104" s="36">
        <f>2*'Stability Constants Subsonic'!$C$13*('Stability Constants Subsonic'!$C$6-'Stability Constants Subsonic'!$C$5)*'Stability Constants Subsonic'!$C$15*'Supersonic Stability'!C1050</f>
        <v>48568.26448099572</v>
      </c>
      <c r="D1104" s="93" t="s">
        <v>125</v>
      </c>
      <c r="E1104" s="93" t="s">
        <v>224</v>
      </c>
      <c r="F1104" s="93" t="s">
        <v>21</v>
      </c>
      <c r="G1104" s="29" t="s">
        <v>442</v>
      </c>
      <c r="H1104" s="110" t="s">
        <v>438</v>
      </c>
      <c r="I1104" s="110"/>
      <c r="J1104" s="110"/>
      <c r="K1104" s="110"/>
      <c r="L1104" s="110"/>
    </row>
    <row r="1105" spans="1:12" ht="18" customHeight="1" x14ac:dyDescent="0.2">
      <c r="A1105" s="91">
        <v>49000</v>
      </c>
      <c r="B1105" s="93" t="s">
        <v>440</v>
      </c>
      <c r="C1105" s="36">
        <f>2*'Stability Constants Subsonic'!$C$13*('Stability Constants Subsonic'!$C$6-'Stability Constants Subsonic'!$C$5)*'Stability Constants Subsonic'!$C$15*'Supersonic Stability'!C1051</f>
        <v>50958.158422596396</v>
      </c>
      <c r="D1105" s="93" t="s">
        <v>125</v>
      </c>
      <c r="E1105" s="93" t="s">
        <v>224</v>
      </c>
      <c r="F1105" s="93" t="s">
        <v>21</v>
      </c>
      <c r="G1105" s="29" t="s">
        <v>442</v>
      </c>
      <c r="H1105" s="110" t="s">
        <v>438</v>
      </c>
      <c r="I1105" s="110"/>
      <c r="J1105" s="110"/>
      <c r="K1105" s="110"/>
      <c r="L1105" s="110"/>
    </row>
    <row r="1106" spans="1:12" ht="18" customHeight="1" x14ac:dyDescent="0.2">
      <c r="A1106" s="131" t="s">
        <v>502</v>
      </c>
      <c r="B1106" s="121"/>
      <c r="C1106" s="121"/>
      <c r="D1106" s="121"/>
      <c r="E1106" s="121"/>
      <c r="F1106" s="121"/>
      <c r="G1106" s="121"/>
      <c r="H1106" s="121"/>
      <c r="I1106" s="121"/>
      <c r="J1106" s="121"/>
      <c r="K1106" s="121"/>
      <c r="L1106" s="125"/>
    </row>
    <row r="1107" spans="1:12" ht="18" customHeight="1" x14ac:dyDescent="0.2">
      <c r="A1107" s="23" t="s">
        <v>5</v>
      </c>
      <c r="B1107" s="23" t="s">
        <v>96</v>
      </c>
      <c r="C1107" s="94" t="s">
        <v>7</v>
      </c>
      <c r="D1107" s="94" t="s">
        <v>125</v>
      </c>
      <c r="E1107" s="94" t="s">
        <v>8</v>
      </c>
      <c r="F1107" s="94" t="s">
        <v>9</v>
      </c>
      <c r="G1107" s="31" t="s">
        <v>10</v>
      </c>
      <c r="H1107" s="122" t="s">
        <v>11</v>
      </c>
      <c r="I1107" s="123"/>
      <c r="J1107" s="123"/>
      <c r="K1107" s="123"/>
      <c r="L1107" s="124"/>
    </row>
    <row r="1108" spans="1:12" ht="18" customHeight="1" x14ac:dyDescent="0.2">
      <c r="A1108" s="93" t="s">
        <v>379</v>
      </c>
      <c r="B1108" s="93" t="s">
        <v>380</v>
      </c>
      <c r="C1108" s="36">
        <v>1.8</v>
      </c>
      <c r="D1108" s="93" t="s">
        <v>125</v>
      </c>
      <c r="E1108" s="93" t="s">
        <v>137</v>
      </c>
      <c r="F1108" s="93" t="s">
        <v>484</v>
      </c>
      <c r="G1108" s="29" t="s">
        <v>137</v>
      </c>
      <c r="H1108" s="126" t="s">
        <v>309</v>
      </c>
      <c r="I1108" s="126"/>
      <c r="J1108" s="126"/>
      <c r="K1108" s="126"/>
      <c r="L1108" s="126"/>
    </row>
    <row r="1109" spans="1:12" ht="18" customHeight="1" x14ac:dyDescent="0.2">
      <c r="A1109" s="93" t="s">
        <v>557</v>
      </c>
      <c r="B1109" s="93" t="s">
        <v>406</v>
      </c>
      <c r="C1109" s="36">
        <f>'Final Aircraft Checkouts'!C340</f>
        <v>6.7622835173003687E-2</v>
      </c>
      <c r="D1109" s="93" t="s">
        <v>125</v>
      </c>
      <c r="E1109" s="93" t="s">
        <v>137</v>
      </c>
      <c r="F1109" s="93" t="s">
        <v>21</v>
      </c>
      <c r="G1109" s="29" t="s">
        <v>550</v>
      </c>
      <c r="H1109" s="127" t="s">
        <v>526</v>
      </c>
      <c r="I1109" s="127"/>
      <c r="J1109" s="127"/>
      <c r="K1109" s="127"/>
      <c r="L1109" s="127"/>
    </row>
    <row r="1110" spans="1:12" ht="18" customHeight="1" x14ac:dyDescent="0.2">
      <c r="A1110" s="91">
        <v>42000</v>
      </c>
      <c r="B1110" s="93" t="s">
        <v>406</v>
      </c>
      <c r="C1110" s="36">
        <f>'Final Aircraft Checkouts'!C341</f>
        <v>7.0943146795066456E-2</v>
      </c>
      <c r="D1110" s="93" t="s">
        <v>125</v>
      </c>
      <c r="E1110" s="93" t="s">
        <v>137</v>
      </c>
      <c r="F1110" s="93" t="s">
        <v>21</v>
      </c>
      <c r="G1110" s="29" t="s">
        <v>550</v>
      </c>
      <c r="H1110" s="127" t="s">
        <v>526</v>
      </c>
      <c r="I1110" s="127"/>
      <c r="J1110" s="127"/>
      <c r="K1110" s="127"/>
      <c r="L1110" s="127"/>
    </row>
    <row r="1111" spans="1:12" ht="18" customHeight="1" x14ac:dyDescent="0.2">
      <c r="A1111" s="91">
        <v>43000</v>
      </c>
      <c r="B1111" s="93" t="s">
        <v>406</v>
      </c>
      <c r="C1111" s="36">
        <f>'Final Aircraft Checkouts'!C342</f>
        <v>7.4415693198048874E-2</v>
      </c>
      <c r="D1111" s="93" t="s">
        <v>125</v>
      </c>
      <c r="E1111" s="93" t="s">
        <v>137</v>
      </c>
      <c r="F1111" s="93" t="s">
        <v>21</v>
      </c>
      <c r="G1111" s="29" t="s">
        <v>550</v>
      </c>
      <c r="H1111" s="127" t="s">
        <v>526</v>
      </c>
      <c r="I1111" s="127"/>
      <c r="J1111" s="127"/>
      <c r="K1111" s="127"/>
      <c r="L1111" s="127"/>
    </row>
    <row r="1112" spans="1:12" ht="18" customHeight="1" x14ac:dyDescent="0.2">
      <c r="A1112" s="91">
        <v>44000</v>
      </c>
      <c r="B1112" s="93" t="s">
        <v>406</v>
      </c>
      <c r="C1112" s="36">
        <f>'Final Aircraft Checkouts'!C343</f>
        <v>7.8068185460605191E-2</v>
      </c>
      <c r="D1112" s="93" t="s">
        <v>125</v>
      </c>
      <c r="E1112" s="93" t="s">
        <v>137</v>
      </c>
      <c r="F1112" s="93" t="s">
        <v>21</v>
      </c>
      <c r="G1112" s="29" t="s">
        <v>550</v>
      </c>
      <c r="H1112" s="127" t="s">
        <v>526</v>
      </c>
      <c r="I1112" s="127"/>
      <c r="J1112" s="127"/>
      <c r="K1112" s="127"/>
      <c r="L1112" s="127"/>
    </row>
    <row r="1113" spans="1:12" ht="18" customHeight="1" x14ac:dyDescent="0.2">
      <c r="A1113" s="91">
        <v>45000</v>
      </c>
      <c r="B1113" s="93" t="s">
        <v>406</v>
      </c>
      <c r="C1113" s="36">
        <f>'Final Aircraft Checkouts'!C344</f>
        <v>8.1884627146544361E-2</v>
      </c>
      <c r="D1113" s="93" t="s">
        <v>125</v>
      </c>
      <c r="E1113" s="93" t="s">
        <v>137</v>
      </c>
      <c r="F1113" s="93" t="s">
        <v>21</v>
      </c>
      <c r="G1113" s="29" t="s">
        <v>550</v>
      </c>
      <c r="H1113" s="127" t="s">
        <v>526</v>
      </c>
      <c r="I1113" s="127"/>
      <c r="J1113" s="127"/>
      <c r="K1113" s="127"/>
      <c r="L1113" s="127"/>
    </row>
    <row r="1114" spans="1:12" ht="18" customHeight="1" x14ac:dyDescent="0.2">
      <c r="A1114" s="91">
        <v>46000</v>
      </c>
      <c r="B1114" s="93" t="s">
        <v>406</v>
      </c>
      <c r="C1114" s="36">
        <f>'Final Aircraft Checkouts'!C345</f>
        <v>8.5898032969928428E-2</v>
      </c>
      <c r="D1114" s="93" t="s">
        <v>125</v>
      </c>
      <c r="E1114" s="93" t="s">
        <v>137</v>
      </c>
      <c r="F1114" s="93" t="s">
        <v>21</v>
      </c>
      <c r="G1114" s="29" t="s">
        <v>550</v>
      </c>
      <c r="H1114" s="127" t="s">
        <v>526</v>
      </c>
      <c r="I1114" s="127"/>
      <c r="J1114" s="127"/>
      <c r="K1114" s="127"/>
      <c r="L1114" s="127"/>
    </row>
    <row r="1115" spans="1:12" ht="18" customHeight="1" x14ac:dyDescent="0.2">
      <c r="A1115" s="91">
        <v>47000</v>
      </c>
      <c r="B1115" s="93" t="s">
        <v>406</v>
      </c>
      <c r="C1115" s="36">
        <f>'Final Aircraft Checkouts'!C346</f>
        <v>9.011012408913939E-2</v>
      </c>
      <c r="D1115" s="93" t="s">
        <v>125</v>
      </c>
      <c r="E1115" s="93" t="s">
        <v>137</v>
      </c>
      <c r="F1115" s="93" t="s">
        <v>21</v>
      </c>
      <c r="G1115" s="29" t="s">
        <v>550</v>
      </c>
      <c r="H1115" s="127" t="s">
        <v>526</v>
      </c>
      <c r="I1115" s="127"/>
      <c r="J1115" s="127"/>
      <c r="K1115" s="127"/>
      <c r="L1115" s="127"/>
    </row>
    <row r="1116" spans="1:12" ht="18" customHeight="1" x14ac:dyDescent="0.2">
      <c r="A1116" s="91">
        <v>48000</v>
      </c>
      <c r="B1116" s="93" t="s">
        <v>406</v>
      </c>
      <c r="C1116" s="36">
        <f>'Final Aircraft Checkouts'!C347</f>
        <v>9.4520007814850079E-2</v>
      </c>
      <c r="D1116" s="93" t="s">
        <v>125</v>
      </c>
      <c r="E1116" s="93" t="s">
        <v>137</v>
      </c>
      <c r="F1116" s="93" t="s">
        <v>21</v>
      </c>
      <c r="G1116" s="29" t="s">
        <v>550</v>
      </c>
      <c r="H1116" s="127" t="s">
        <v>526</v>
      </c>
      <c r="I1116" s="127"/>
      <c r="J1116" s="127"/>
      <c r="K1116" s="127"/>
      <c r="L1116" s="127"/>
    </row>
    <row r="1117" spans="1:12" ht="18" customHeight="1" x14ac:dyDescent="0.2">
      <c r="A1117" s="91">
        <v>49000</v>
      </c>
      <c r="B1117" s="93" t="s">
        <v>406</v>
      </c>
      <c r="C1117" s="36">
        <f>'Final Aircraft Checkouts'!C348</f>
        <v>9.9175433926768308E-2</v>
      </c>
      <c r="D1117" s="93" t="s">
        <v>125</v>
      </c>
      <c r="E1117" s="93" t="s">
        <v>137</v>
      </c>
      <c r="F1117" s="93" t="s">
        <v>21</v>
      </c>
      <c r="G1117" s="29" t="s">
        <v>550</v>
      </c>
      <c r="H1117" s="127" t="s">
        <v>526</v>
      </c>
      <c r="I1117" s="127"/>
      <c r="J1117" s="127"/>
      <c r="K1117" s="127"/>
      <c r="L1117" s="127"/>
    </row>
    <row r="1118" spans="1:12" ht="18" customHeight="1" x14ac:dyDescent="0.2">
      <c r="A1118" s="93" t="s">
        <v>447</v>
      </c>
      <c r="B1118" s="47" t="s">
        <v>448</v>
      </c>
      <c r="C1118" s="48">
        <v>0.10158298411673315</v>
      </c>
      <c r="D1118" s="93" t="s">
        <v>125</v>
      </c>
      <c r="E1118" s="93" t="s">
        <v>137</v>
      </c>
      <c r="F1118" s="93" t="s">
        <v>399</v>
      </c>
      <c r="G1118" s="29" t="s">
        <v>137</v>
      </c>
      <c r="H1118" s="127" t="s">
        <v>449</v>
      </c>
      <c r="I1118" s="127"/>
      <c r="J1118" s="127"/>
      <c r="K1118" s="127"/>
      <c r="L1118" s="127"/>
    </row>
    <row r="1119" spans="1:12" ht="18" customHeight="1" x14ac:dyDescent="0.2">
      <c r="A1119" s="93" t="s">
        <v>447</v>
      </c>
      <c r="B1119" s="47" t="s">
        <v>448</v>
      </c>
      <c r="C1119" s="48">
        <v>0.10158298411673315</v>
      </c>
      <c r="D1119" s="93" t="s">
        <v>125</v>
      </c>
      <c r="E1119" s="93" t="s">
        <v>137</v>
      </c>
      <c r="F1119" s="93" t="s">
        <v>399</v>
      </c>
      <c r="G1119" s="29" t="s">
        <v>137</v>
      </c>
      <c r="H1119" s="127" t="s">
        <v>449</v>
      </c>
      <c r="I1119" s="127"/>
      <c r="J1119" s="127"/>
      <c r="K1119" s="127"/>
      <c r="L1119" s="127"/>
    </row>
    <row r="1120" spans="1:12" ht="18" customHeight="1" x14ac:dyDescent="0.2">
      <c r="A1120" s="93" t="s">
        <v>447</v>
      </c>
      <c r="B1120" s="47" t="s">
        <v>448</v>
      </c>
      <c r="C1120" s="48">
        <v>0.10158298411673315</v>
      </c>
      <c r="D1120" s="93" t="s">
        <v>125</v>
      </c>
      <c r="E1120" s="93" t="s">
        <v>137</v>
      </c>
      <c r="F1120" s="93" t="s">
        <v>399</v>
      </c>
      <c r="G1120" s="29" t="s">
        <v>137</v>
      </c>
      <c r="H1120" s="127" t="s">
        <v>449</v>
      </c>
      <c r="I1120" s="127"/>
      <c r="J1120" s="127"/>
      <c r="K1120" s="127"/>
      <c r="L1120" s="127"/>
    </row>
    <row r="1121" spans="1:12" ht="18" customHeight="1" x14ac:dyDescent="0.2">
      <c r="A1121" s="93" t="s">
        <v>447</v>
      </c>
      <c r="B1121" s="47" t="s">
        <v>448</v>
      </c>
      <c r="C1121" s="48">
        <v>0.10158298411673315</v>
      </c>
      <c r="D1121" s="93" t="s">
        <v>125</v>
      </c>
      <c r="E1121" s="93" t="s">
        <v>137</v>
      </c>
      <c r="F1121" s="93" t="s">
        <v>399</v>
      </c>
      <c r="G1121" s="29" t="s">
        <v>137</v>
      </c>
      <c r="H1121" s="127" t="s">
        <v>449</v>
      </c>
      <c r="I1121" s="127"/>
      <c r="J1121" s="127"/>
      <c r="K1121" s="127"/>
      <c r="L1121" s="127"/>
    </row>
    <row r="1122" spans="1:12" ht="18" customHeight="1" x14ac:dyDescent="0.2">
      <c r="A1122" s="93" t="s">
        <v>447</v>
      </c>
      <c r="B1122" s="47" t="s">
        <v>448</v>
      </c>
      <c r="C1122" s="48">
        <v>0.10158298411673315</v>
      </c>
      <c r="D1122" s="93" t="s">
        <v>125</v>
      </c>
      <c r="E1122" s="93" t="s">
        <v>137</v>
      </c>
      <c r="F1122" s="93" t="s">
        <v>399</v>
      </c>
      <c r="G1122" s="29" t="s">
        <v>137</v>
      </c>
      <c r="H1122" s="127" t="s">
        <v>449</v>
      </c>
      <c r="I1122" s="127"/>
      <c r="J1122" s="127"/>
      <c r="K1122" s="127"/>
      <c r="L1122" s="127"/>
    </row>
    <row r="1123" spans="1:12" ht="18" customHeight="1" x14ac:dyDescent="0.2">
      <c r="A1123" s="93" t="s">
        <v>447</v>
      </c>
      <c r="B1123" s="47" t="s">
        <v>448</v>
      </c>
      <c r="C1123" s="48">
        <v>0.10158298411673315</v>
      </c>
      <c r="D1123" s="93" t="s">
        <v>125</v>
      </c>
      <c r="E1123" s="93" t="s">
        <v>137</v>
      </c>
      <c r="F1123" s="93" t="s">
        <v>399</v>
      </c>
      <c r="G1123" s="29" t="s">
        <v>137</v>
      </c>
      <c r="H1123" s="127" t="s">
        <v>449</v>
      </c>
      <c r="I1123" s="127"/>
      <c r="J1123" s="127"/>
      <c r="K1123" s="127"/>
      <c r="L1123" s="127"/>
    </row>
    <row r="1124" spans="1:12" ht="18" customHeight="1" x14ac:dyDescent="0.2">
      <c r="A1124" s="93" t="s">
        <v>447</v>
      </c>
      <c r="B1124" s="47" t="s">
        <v>448</v>
      </c>
      <c r="C1124" s="48">
        <v>0.10158298411673315</v>
      </c>
      <c r="D1124" s="93" t="s">
        <v>125</v>
      </c>
      <c r="E1124" s="93" t="s">
        <v>137</v>
      </c>
      <c r="F1124" s="93" t="s">
        <v>399</v>
      </c>
      <c r="G1124" s="29" t="s">
        <v>137</v>
      </c>
      <c r="H1124" s="127" t="s">
        <v>449</v>
      </c>
      <c r="I1124" s="127"/>
      <c r="J1124" s="127"/>
      <c r="K1124" s="127"/>
      <c r="L1124" s="127"/>
    </row>
    <row r="1125" spans="1:12" ht="18" customHeight="1" x14ac:dyDescent="0.2">
      <c r="A1125" s="93" t="s">
        <v>447</v>
      </c>
      <c r="B1125" s="47" t="s">
        <v>448</v>
      </c>
      <c r="C1125" s="48">
        <v>0.10158298411673315</v>
      </c>
      <c r="D1125" s="93" t="s">
        <v>125</v>
      </c>
      <c r="E1125" s="93" t="s">
        <v>137</v>
      </c>
      <c r="F1125" s="93" t="s">
        <v>399</v>
      </c>
      <c r="G1125" s="29" t="s">
        <v>137</v>
      </c>
      <c r="H1125" s="127" t="s">
        <v>449</v>
      </c>
      <c r="I1125" s="127"/>
      <c r="J1125" s="127"/>
      <c r="K1125" s="127"/>
      <c r="L1125" s="127"/>
    </row>
    <row r="1126" spans="1:12" ht="18" customHeight="1" x14ac:dyDescent="0.2">
      <c r="A1126" s="93" t="s">
        <v>447</v>
      </c>
      <c r="B1126" s="47" t="s">
        <v>448</v>
      </c>
      <c r="C1126" s="48">
        <v>0.10158298411673315</v>
      </c>
      <c r="D1126" s="93" t="s">
        <v>125</v>
      </c>
      <c r="E1126" s="93" t="s">
        <v>137</v>
      </c>
      <c r="F1126" s="93" t="s">
        <v>399</v>
      </c>
      <c r="G1126" s="29" t="s">
        <v>137</v>
      </c>
      <c r="H1126" s="127" t="s">
        <v>449</v>
      </c>
      <c r="I1126" s="127"/>
      <c r="J1126" s="127"/>
      <c r="K1126" s="127"/>
      <c r="L1126" s="127"/>
    </row>
    <row r="1127" spans="1:12" ht="18" customHeight="1" x14ac:dyDescent="0.2">
      <c r="A1127" s="93" t="s">
        <v>558</v>
      </c>
      <c r="B1127" s="93" t="s">
        <v>436</v>
      </c>
      <c r="C1127" s="36">
        <f xml:space="preserve"> ABS((C1109-CFD!$B$33)/(CFD!$B$34-CFD!$B$33)*(CFD!$A$34-CFD!$A$33) + CFD!$A$33)*PI()/180</f>
        <v>2.6923267646505478E-2</v>
      </c>
      <c r="D1127" s="93" t="s">
        <v>125</v>
      </c>
      <c r="E1127" s="93" t="s">
        <v>407</v>
      </c>
      <c r="F1127" s="93" t="s">
        <v>21</v>
      </c>
      <c r="G1127" s="29" t="s">
        <v>550</v>
      </c>
      <c r="H1127" s="127" t="s">
        <v>526</v>
      </c>
      <c r="I1127" s="127"/>
      <c r="J1127" s="127"/>
      <c r="K1127" s="127"/>
      <c r="L1127" s="127"/>
    </row>
    <row r="1128" spans="1:12" ht="18" customHeight="1" x14ac:dyDescent="0.2">
      <c r="A1128" s="91">
        <v>42000</v>
      </c>
      <c r="B1128" s="93" t="s">
        <v>436</v>
      </c>
      <c r="C1128" s="36">
        <f xml:space="preserve"> ABS((C1110-CFD!$B$33)/(CFD!$B$34-CFD!$B$33)*(CFD!$A$34-CFD!$A$33) + CFD!$A$33)*PI()/180</f>
        <v>2.8277248253917368E-2</v>
      </c>
      <c r="D1128" s="93"/>
      <c r="E1128" s="93" t="s">
        <v>407</v>
      </c>
      <c r="F1128" s="93" t="s">
        <v>21</v>
      </c>
      <c r="G1128" s="29" t="s">
        <v>550</v>
      </c>
      <c r="H1128" s="127" t="s">
        <v>526</v>
      </c>
      <c r="I1128" s="127"/>
      <c r="J1128" s="127"/>
      <c r="K1128" s="127"/>
      <c r="L1128" s="127"/>
    </row>
    <row r="1129" spans="1:12" ht="18" customHeight="1" x14ac:dyDescent="0.2">
      <c r="A1129" s="91">
        <v>43000</v>
      </c>
      <c r="B1129" s="93" t="s">
        <v>436</v>
      </c>
      <c r="C1129" s="36">
        <f xml:space="preserve"> ABS((C1111-CFD!$B$33)/(CFD!$B$34-CFD!$B$33)*(CFD!$A$34-CFD!$A$33) + CFD!$A$33)*PI()/180</f>
        <v>2.9693308257663368E-2</v>
      </c>
      <c r="D1129" s="93"/>
      <c r="E1129" s="93" t="s">
        <v>407</v>
      </c>
      <c r="F1129" s="93" t="s">
        <v>21</v>
      </c>
      <c r="G1129" s="29" t="s">
        <v>550</v>
      </c>
      <c r="H1129" s="127" t="s">
        <v>526</v>
      </c>
      <c r="I1129" s="127"/>
      <c r="J1129" s="127"/>
      <c r="K1129" s="127"/>
      <c r="L1129" s="127"/>
    </row>
    <row r="1130" spans="1:12" ht="18" customHeight="1" x14ac:dyDescent="0.2">
      <c r="A1130" s="91">
        <v>44000</v>
      </c>
      <c r="B1130" s="93" t="s">
        <v>436</v>
      </c>
      <c r="C1130" s="36">
        <f xml:space="preserve"> ABS((C1112-CFD!$B$33)/(CFD!$B$34-CFD!$B$33)*(CFD!$A$34-CFD!$A$33) + CFD!$A$33)*PI()/180</f>
        <v>3.1182747881149938E-2</v>
      </c>
      <c r="D1130" s="93"/>
      <c r="E1130" s="93" t="s">
        <v>407</v>
      </c>
      <c r="F1130" s="93" t="s">
        <v>21</v>
      </c>
      <c r="G1130" s="29" t="s">
        <v>550</v>
      </c>
      <c r="H1130" s="127" t="s">
        <v>526</v>
      </c>
      <c r="I1130" s="127"/>
      <c r="J1130" s="127"/>
      <c r="K1130" s="127"/>
      <c r="L1130" s="127"/>
    </row>
    <row r="1131" spans="1:12" ht="18" customHeight="1" x14ac:dyDescent="0.2">
      <c r="A1131" s="91">
        <v>45000</v>
      </c>
      <c r="B1131" s="93" t="s">
        <v>436</v>
      </c>
      <c r="C1131" s="36">
        <f xml:space="preserve"> ABS((C1113-CFD!$B$33)/(CFD!$B$34-CFD!$B$33)*(CFD!$A$34-CFD!$A$33) + CFD!$A$33)*PI()/180</f>
        <v>3.2739043982318201E-2</v>
      </c>
      <c r="D1131" s="93"/>
      <c r="E1131" s="93" t="s">
        <v>407</v>
      </c>
      <c r="F1131" s="93" t="s">
        <v>21</v>
      </c>
      <c r="G1131" s="29" t="s">
        <v>550</v>
      </c>
      <c r="H1131" s="127" t="s">
        <v>526</v>
      </c>
      <c r="I1131" s="127"/>
      <c r="J1131" s="127"/>
      <c r="K1131" s="127"/>
      <c r="L1131" s="127"/>
    </row>
    <row r="1132" spans="1:12" ht="18" customHeight="1" x14ac:dyDescent="0.2">
      <c r="A1132" s="91">
        <v>46000</v>
      </c>
      <c r="B1132" s="93" t="s">
        <v>436</v>
      </c>
      <c r="C1132" s="36">
        <f xml:space="preserve"> ABS((C1114-CFD!$B$33)/(CFD!$B$34-CFD!$B$33)*(CFD!$A$34-CFD!$A$33) + CFD!$A$33)*PI()/180</f>
        <v>3.4375659539251986E-2</v>
      </c>
      <c r="D1132" s="93"/>
      <c r="E1132" s="93" t="s">
        <v>407</v>
      </c>
      <c r="F1132" s="93" t="s">
        <v>21</v>
      </c>
      <c r="G1132" s="29" t="s">
        <v>550</v>
      </c>
      <c r="H1132" s="127" t="s">
        <v>526</v>
      </c>
      <c r="I1132" s="127"/>
      <c r="J1132" s="127"/>
      <c r="K1132" s="127"/>
      <c r="L1132" s="127"/>
    </row>
    <row r="1133" spans="1:12" ht="18" customHeight="1" x14ac:dyDescent="0.2">
      <c r="A1133" s="91">
        <v>47000</v>
      </c>
      <c r="B1133" s="93" t="s">
        <v>436</v>
      </c>
      <c r="C1133" s="36">
        <f xml:space="preserve"> ABS((C1115-CFD!$B$33)/(CFD!$B$34-CFD!$B$33)*(CFD!$A$34-CFD!$A$33) + CFD!$A$33)*PI()/180</f>
        <v>3.6093296418323116E-2</v>
      </c>
      <c r="D1133" s="93"/>
      <c r="E1133" s="93" t="s">
        <v>407</v>
      </c>
      <c r="F1133" s="93" t="s">
        <v>21</v>
      </c>
      <c r="G1133" s="29" t="s">
        <v>550</v>
      </c>
      <c r="H1133" s="127" t="s">
        <v>526</v>
      </c>
      <c r="I1133" s="127"/>
      <c r="J1133" s="127"/>
      <c r="K1133" s="127"/>
      <c r="L1133" s="127"/>
    </row>
    <row r="1134" spans="1:12" ht="18" customHeight="1" x14ac:dyDescent="0.2">
      <c r="A1134" s="91">
        <v>48000</v>
      </c>
      <c r="B1134" s="93" t="s">
        <v>436</v>
      </c>
      <c r="C1134" s="36">
        <f xml:space="preserve"> ABS((C1116-CFD!$B$33)/(CFD!$B$34-CFD!$B$33)*(CFD!$A$34-CFD!$A$33) + CFD!$A$33)*PI()/180</f>
        <v>3.7891590592242883E-2</v>
      </c>
      <c r="D1134" s="93"/>
      <c r="E1134" s="93" t="s">
        <v>407</v>
      </c>
      <c r="F1134" s="93" t="s">
        <v>21</v>
      </c>
      <c r="G1134" s="29" t="s">
        <v>550</v>
      </c>
      <c r="H1134" s="127" t="s">
        <v>526</v>
      </c>
      <c r="I1134" s="127"/>
      <c r="J1134" s="127"/>
      <c r="K1134" s="127"/>
      <c r="L1134" s="127"/>
    </row>
    <row r="1135" spans="1:12" ht="18" customHeight="1" x14ac:dyDescent="0.2">
      <c r="A1135" s="91">
        <v>49000</v>
      </c>
      <c r="B1135" s="93" t="s">
        <v>436</v>
      </c>
      <c r="C1135" s="36">
        <f xml:space="preserve"> ABS((C1117-CFD!$B$33)/(CFD!$B$34-CFD!$B$33)*(CFD!$A$34-CFD!$A$33) + CFD!$A$33)*PI()/180</f>
        <v>3.9790013810380526E-2</v>
      </c>
      <c r="D1135" s="93"/>
      <c r="E1135" s="93" t="s">
        <v>407</v>
      </c>
      <c r="F1135" s="93" t="s">
        <v>21</v>
      </c>
      <c r="G1135" s="29" t="s">
        <v>550</v>
      </c>
      <c r="H1135" s="127" t="s">
        <v>526</v>
      </c>
      <c r="I1135" s="127"/>
      <c r="J1135" s="127"/>
      <c r="K1135" s="127"/>
      <c r="L1135" s="127"/>
    </row>
    <row r="1136" spans="1:12" ht="18" customHeight="1" x14ac:dyDescent="0.2">
      <c r="A1136" s="93" t="s">
        <v>560</v>
      </c>
      <c r="B1136" s="47" t="s">
        <v>481</v>
      </c>
      <c r="C1136" s="48">
        <f>C1118/C1154</f>
        <v>4.0444117178886983E-2</v>
      </c>
      <c r="D1136" s="93" t="s">
        <v>125</v>
      </c>
      <c r="E1136" s="93" t="s">
        <v>407</v>
      </c>
      <c r="F1136" s="93" t="s">
        <v>21</v>
      </c>
      <c r="G1136" s="29" t="s">
        <v>482</v>
      </c>
      <c r="H1136" s="127" t="s">
        <v>483</v>
      </c>
      <c r="I1136" s="127"/>
      <c r="J1136" s="127"/>
      <c r="K1136" s="127"/>
      <c r="L1136" s="127"/>
    </row>
    <row r="1137" spans="1:12" ht="18" customHeight="1" x14ac:dyDescent="0.2">
      <c r="A1137" s="91">
        <v>42000</v>
      </c>
      <c r="B1137" s="47" t="s">
        <v>481</v>
      </c>
      <c r="C1137" s="48">
        <f t="shared" ref="C1137:C1144" si="44">C1119/C1155</f>
        <v>4.0489989378965176E-2</v>
      </c>
      <c r="D1137" s="93" t="s">
        <v>125</v>
      </c>
      <c r="E1137" s="93" t="s">
        <v>407</v>
      </c>
      <c r="F1137" s="93" t="s">
        <v>21</v>
      </c>
      <c r="G1137" s="29" t="s">
        <v>482</v>
      </c>
      <c r="H1137" s="127" t="s">
        <v>483</v>
      </c>
      <c r="I1137" s="127"/>
      <c r="J1137" s="127"/>
      <c r="K1137" s="127"/>
      <c r="L1137" s="127"/>
    </row>
    <row r="1138" spans="1:12" ht="18" customHeight="1" x14ac:dyDescent="0.2">
      <c r="A1138" s="91">
        <v>43000</v>
      </c>
      <c r="B1138" s="47" t="s">
        <v>481</v>
      </c>
      <c r="C1138" s="48">
        <f t="shared" si="44"/>
        <v>4.0533585477512762E-2</v>
      </c>
      <c r="D1138" s="93" t="s">
        <v>125</v>
      </c>
      <c r="E1138" s="93" t="s">
        <v>407</v>
      </c>
      <c r="F1138" s="93" t="s">
        <v>21</v>
      </c>
      <c r="G1138" s="29" t="s">
        <v>482</v>
      </c>
      <c r="H1138" s="127" t="s">
        <v>483</v>
      </c>
      <c r="I1138" s="127"/>
      <c r="J1138" s="127"/>
      <c r="K1138" s="127"/>
      <c r="L1138" s="127"/>
    </row>
    <row r="1139" spans="1:12" ht="18" customHeight="1" x14ac:dyDescent="0.2">
      <c r="A1139" s="91">
        <v>44000</v>
      </c>
      <c r="B1139" s="47" t="s">
        <v>481</v>
      </c>
      <c r="C1139" s="48">
        <f t="shared" si="44"/>
        <v>4.0575255643996014E-2</v>
      </c>
      <c r="D1139" s="93" t="s">
        <v>125</v>
      </c>
      <c r="E1139" s="93" t="s">
        <v>407</v>
      </c>
      <c r="F1139" s="93" t="s">
        <v>21</v>
      </c>
      <c r="G1139" s="29" t="s">
        <v>482</v>
      </c>
      <c r="H1139" s="127" t="s">
        <v>483</v>
      </c>
      <c r="I1139" s="127"/>
      <c r="J1139" s="127"/>
      <c r="K1139" s="127"/>
      <c r="L1139" s="127"/>
    </row>
    <row r="1140" spans="1:12" ht="18" customHeight="1" x14ac:dyDescent="0.2">
      <c r="A1140" s="91">
        <v>45000</v>
      </c>
      <c r="B1140" s="47" t="s">
        <v>481</v>
      </c>
      <c r="C1140" s="48">
        <f t="shared" si="44"/>
        <v>4.0614824793681781E-2</v>
      </c>
      <c r="D1140" s="93" t="s">
        <v>125</v>
      </c>
      <c r="E1140" s="93" t="s">
        <v>407</v>
      </c>
      <c r="F1140" s="93" t="s">
        <v>21</v>
      </c>
      <c r="G1140" s="29" t="s">
        <v>482</v>
      </c>
      <c r="H1140" s="127" t="s">
        <v>483</v>
      </c>
      <c r="I1140" s="127"/>
      <c r="J1140" s="127"/>
      <c r="K1140" s="127"/>
      <c r="L1140" s="127"/>
    </row>
    <row r="1141" spans="1:12" ht="18" customHeight="1" x14ac:dyDescent="0.2">
      <c r="A1141" s="91">
        <v>46000</v>
      </c>
      <c r="B1141" s="47" t="s">
        <v>481</v>
      </c>
      <c r="C1141" s="48">
        <f t="shared" si="44"/>
        <v>4.065264309603632E-2</v>
      </c>
      <c r="D1141" s="93" t="s">
        <v>125</v>
      </c>
      <c r="E1141" s="93" t="s">
        <v>407</v>
      </c>
      <c r="F1141" s="93" t="s">
        <v>21</v>
      </c>
      <c r="G1141" s="29" t="s">
        <v>482</v>
      </c>
      <c r="H1141" s="127" t="s">
        <v>483</v>
      </c>
      <c r="I1141" s="127"/>
      <c r="J1141" s="127"/>
      <c r="K1141" s="127"/>
      <c r="L1141" s="127"/>
    </row>
    <row r="1142" spans="1:12" ht="18" customHeight="1" x14ac:dyDescent="0.2">
      <c r="A1142" s="91">
        <v>47000</v>
      </c>
      <c r="B1142" s="47" t="s">
        <v>481</v>
      </c>
      <c r="C1142" s="48">
        <f t="shared" si="44"/>
        <v>4.0688710551059631E-2</v>
      </c>
      <c r="D1142" s="93" t="s">
        <v>125</v>
      </c>
      <c r="E1142" s="93" t="s">
        <v>407</v>
      </c>
      <c r="F1142" s="93" t="s">
        <v>21</v>
      </c>
      <c r="G1142" s="29" t="s">
        <v>482</v>
      </c>
      <c r="H1142" s="127" t="s">
        <v>483</v>
      </c>
      <c r="I1142" s="127"/>
      <c r="J1142" s="127"/>
      <c r="K1142" s="127"/>
      <c r="L1142" s="127"/>
    </row>
    <row r="1143" spans="1:12" ht="18" customHeight="1" x14ac:dyDescent="0.2">
      <c r="A1143" s="91">
        <v>48000</v>
      </c>
      <c r="B1143" s="47" t="s">
        <v>481</v>
      </c>
      <c r="C1143" s="48">
        <f t="shared" si="44"/>
        <v>4.0723027158751715E-2</v>
      </c>
      <c r="D1143" s="93" t="s">
        <v>125</v>
      </c>
      <c r="E1143" s="93" t="s">
        <v>407</v>
      </c>
      <c r="F1143" s="93" t="s">
        <v>21</v>
      </c>
      <c r="G1143" s="29" t="s">
        <v>482</v>
      </c>
      <c r="H1143" s="127" t="s">
        <v>483</v>
      </c>
      <c r="I1143" s="127"/>
      <c r="J1143" s="127"/>
      <c r="K1143" s="127"/>
      <c r="L1143" s="127"/>
    </row>
    <row r="1144" spans="1:12" ht="18" customHeight="1" x14ac:dyDescent="0.2">
      <c r="A1144" s="91">
        <v>49000</v>
      </c>
      <c r="B1144" s="47" t="s">
        <v>481</v>
      </c>
      <c r="C1144" s="48">
        <f t="shared" si="44"/>
        <v>4.0755943088578814E-2</v>
      </c>
      <c r="D1144" s="93" t="s">
        <v>125</v>
      </c>
      <c r="E1144" s="93" t="s">
        <v>407</v>
      </c>
      <c r="F1144" s="93" t="s">
        <v>21</v>
      </c>
      <c r="G1144" s="29" t="s">
        <v>482</v>
      </c>
      <c r="H1144" s="127" t="s">
        <v>483</v>
      </c>
      <c r="I1144" s="127"/>
      <c r="J1144" s="127"/>
      <c r="K1144" s="127"/>
      <c r="L1144" s="127"/>
    </row>
    <row r="1145" spans="1:12" ht="18" customHeight="1" x14ac:dyDescent="0.2">
      <c r="A1145" s="93" t="s">
        <v>559</v>
      </c>
      <c r="B1145" s="93" t="s">
        <v>420</v>
      </c>
      <c r="C1145" s="36">
        <f t="shared" ref="C1145:C1153" si="45">C1109/C1127</f>
        <v>2.5116875135987007</v>
      </c>
      <c r="D1145" s="93" t="s">
        <v>125</v>
      </c>
      <c r="E1145" s="93" t="s">
        <v>421</v>
      </c>
      <c r="F1145" s="93" t="s">
        <v>21</v>
      </c>
      <c r="G1145" s="29" t="s">
        <v>422</v>
      </c>
      <c r="H1145" s="110" t="s">
        <v>423</v>
      </c>
      <c r="I1145" s="110"/>
      <c r="J1145" s="110"/>
      <c r="K1145" s="110"/>
      <c r="L1145" s="110"/>
    </row>
    <row r="1146" spans="1:12" ht="18" customHeight="1" x14ac:dyDescent="0.2">
      <c r="A1146" s="91">
        <v>42000</v>
      </c>
      <c r="B1146" s="93" t="s">
        <v>420</v>
      </c>
      <c r="C1146" s="36">
        <f t="shared" si="45"/>
        <v>2.5088419551304253</v>
      </c>
      <c r="D1146" s="93" t="s">
        <v>125</v>
      </c>
      <c r="E1146" s="93" t="s">
        <v>421</v>
      </c>
      <c r="F1146" s="93" t="s">
        <v>21</v>
      </c>
      <c r="G1146" s="29" t="s">
        <v>422</v>
      </c>
      <c r="H1146" s="110" t="s">
        <v>423</v>
      </c>
      <c r="I1146" s="110"/>
      <c r="J1146" s="110"/>
      <c r="K1146" s="110"/>
      <c r="L1146" s="110"/>
    </row>
    <row r="1147" spans="1:12" ht="18" customHeight="1" x14ac:dyDescent="0.2">
      <c r="A1147" s="91">
        <v>43000</v>
      </c>
      <c r="B1147" s="93" t="s">
        <v>420</v>
      </c>
      <c r="C1147" s="36">
        <f t="shared" si="45"/>
        <v>2.5061435577439699</v>
      </c>
      <c r="D1147" s="93" t="s">
        <v>125</v>
      </c>
      <c r="E1147" s="93" t="s">
        <v>421</v>
      </c>
      <c r="F1147" s="93" t="s">
        <v>21</v>
      </c>
      <c r="G1147" s="29" t="s">
        <v>422</v>
      </c>
      <c r="H1147" s="110" t="s">
        <v>423</v>
      </c>
      <c r="I1147" s="110"/>
      <c r="J1147" s="110"/>
      <c r="K1147" s="110"/>
      <c r="L1147" s="110"/>
    </row>
    <row r="1148" spans="1:12" ht="18" customHeight="1" x14ac:dyDescent="0.2">
      <c r="A1148" s="91">
        <v>44000</v>
      </c>
      <c r="B1148" s="93" t="s">
        <v>420</v>
      </c>
      <c r="C1148" s="36">
        <f t="shared" si="45"/>
        <v>2.5035697866703286</v>
      </c>
      <c r="D1148" s="93" t="s">
        <v>125</v>
      </c>
      <c r="E1148" s="93" t="s">
        <v>421</v>
      </c>
      <c r="F1148" s="93" t="s">
        <v>21</v>
      </c>
      <c r="G1148" s="29" t="s">
        <v>422</v>
      </c>
      <c r="H1148" s="110" t="s">
        <v>423</v>
      </c>
      <c r="I1148" s="110"/>
      <c r="J1148" s="110"/>
      <c r="K1148" s="110"/>
      <c r="L1148" s="110"/>
    </row>
    <row r="1149" spans="1:12" ht="18" customHeight="1" x14ac:dyDescent="0.2">
      <c r="A1149" s="91">
        <v>45000</v>
      </c>
      <c r="B1149" s="93" t="s">
        <v>420</v>
      </c>
      <c r="C1149" s="36">
        <f t="shared" si="45"/>
        <v>2.5011306741506822</v>
      </c>
      <c r="D1149" s="93" t="s">
        <v>125</v>
      </c>
      <c r="E1149" s="93" t="s">
        <v>421</v>
      </c>
      <c r="F1149" s="93" t="s">
        <v>21</v>
      </c>
      <c r="G1149" s="29" t="s">
        <v>422</v>
      </c>
      <c r="H1149" s="110" t="s">
        <v>423</v>
      </c>
      <c r="I1149" s="110"/>
      <c r="J1149" s="110"/>
      <c r="K1149" s="110"/>
      <c r="L1149" s="110"/>
    </row>
    <row r="1150" spans="1:12" ht="18" customHeight="1" x14ac:dyDescent="0.2">
      <c r="A1150" s="91">
        <v>46000</v>
      </c>
      <c r="B1150" s="93" t="s">
        <v>420</v>
      </c>
      <c r="C1150" s="36">
        <f t="shared" si="45"/>
        <v>2.4988039246736609</v>
      </c>
      <c r="D1150" s="93" t="s">
        <v>125</v>
      </c>
      <c r="E1150" s="93" t="s">
        <v>421</v>
      </c>
      <c r="F1150" s="93" t="s">
        <v>21</v>
      </c>
      <c r="G1150" s="29" t="s">
        <v>422</v>
      </c>
      <c r="H1150" s="110" t="s">
        <v>423</v>
      </c>
      <c r="I1150" s="110"/>
      <c r="J1150" s="110"/>
      <c r="K1150" s="110"/>
      <c r="L1150" s="110"/>
    </row>
    <row r="1151" spans="1:12" ht="18" customHeight="1" x14ac:dyDescent="0.2">
      <c r="A1151" s="91">
        <v>47000</v>
      </c>
      <c r="B1151" s="93" t="s">
        <v>420</v>
      </c>
      <c r="C1151" s="36">
        <f t="shared" si="45"/>
        <v>2.4965889245681119</v>
      </c>
      <c r="D1151" s="93" t="s">
        <v>125</v>
      </c>
      <c r="E1151" s="93" t="s">
        <v>421</v>
      </c>
      <c r="F1151" s="93" t="s">
        <v>21</v>
      </c>
      <c r="G1151" s="29" t="s">
        <v>422</v>
      </c>
      <c r="H1151" s="110" t="s">
        <v>423</v>
      </c>
      <c r="I1151" s="110"/>
      <c r="J1151" s="110"/>
      <c r="K1151" s="110"/>
      <c r="L1151" s="110"/>
    </row>
    <row r="1152" spans="1:12" ht="18" customHeight="1" x14ac:dyDescent="0.2">
      <c r="A1152" s="91">
        <v>48000</v>
      </c>
      <c r="B1152" s="93" t="s">
        <v>420</v>
      </c>
      <c r="C1152" s="36">
        <f t="shared" si="45"/>
        <v>2.4944850912170495</v>
      </c>
      <c r="D1152" s="93" t="s">
        <v>125</v>
      </c>
      <c r="E1152" s="93" t="s">
        <v>421</v>
      </c>
      <c r="F1152" s="93" t="s">
        <v>21</v>
      </c>
      <c r="G1152" s="29" t="s">
        <v>422</v>
      </c>
      <c r="H1152" s="110" t="s">
        <v>423</v>
      </c>
      <c r="I1152" s="110"/>
      <c r="J1152" s="110"/>
      <c r="K1152" s="110"/>
      <c r="L1152" s="110"/>
    </row>
    <row r="1153" spans="1:12" ht="18" customHeight="1" x14ac:dyDescent="0.2">
      <c r="A1153" s="91">
        <v>49000</v>
      </c>
      <c r="B1153" s="93" t="s">
        <v>420</v>
      </c>
      <c r="C1153" s="36">
        <f t="shared" si="45"/>
        <v>2.492470457522062</v>
      </c>
      <c r="D1153" s="93" t="s">
        <v>125</v>
      </c>
      <c r="E1153" s="93" t="s">
        <v>421</v>
      </c>
      <c r="F1153" s="93" t="s">
        <v>21</v>
      </c>
      <c r="G1153" s="29" t="s">
        <v>422</v>
      </c>
      <c r="H1153" s="110" t="s">
        <v>423</v>
      </c>
      <c r="I1153" s="110"/>
      <c r="J1153" s="110"/>
      <c r="K1153" s="110"/>
      <c r="L1153" s="110"/>
    </row>
    <row r="1154" spans="1:12" ht="18" customHeight="1" x14ac:dyDescent="0.2">
      <c r="A1154" s="93" t="s">
        <v>425</v>
      </c>
      <c r="B1154" s="93" t="s">
        <v>426</v>
      </c>
      <c r="C1154" s="36">
        <f>C1145</f>
        <v>2.5116875135987007</v>
      </c>
      <c r="D1154" s="93" t="s">
        <v>125</v>
      </c>
      <c r="E1154" s="93" t="s">
        <v>421</v>
      </c>
      <c r="F1154" s="93" t="s">
        <v>21</v>
      </c>
      <c r="G1154" s="29" t="s">
        <v>427</v>
      </c>
      <c r="H1154" s="110" t="s">
        <v>428</v>
      </c>
      <c r="I1154" s="110"/>
      <c r="J1154" s="110"/>
      <c r="K1154" s="110"/>
      <c r="L1154" s="110"/>
    </row>
    <row r="1155" spans="1:12" ht="18" customHeight="1" x14ac:dyDescent="0.2">
      <c r="A1155" s="91">
        <v>42000</v>
      </c>
      <c r="B1155" s="93" t="s">
        <v>426</v>
      </c>
      <c r="C1155" s="36">
        <f t="shared" ref="C1155:C1162" si="46">C1146</f>
        <v>2.5088419551304253</v>
      </c>
      <c r="D1155" s="93" t="s">
        <v>125</v>
      </c>
      <c r="E1155" s="93" t="s">
        <v>421</v>
      </c>
      <c r="F1155" s="93" t="s">
        <v>21</v>
      </c>
      <c r="G1155" s="29" t="s">
        <v>427</v>
      </c>
      <c r="H1155" s="110" t="s">
        <v>428</v>
      </c>
      <c r="I1155" s="110"/>
      <c r="J1155" s="110"/>
      <c r="K1155" s="110"/>
      <c r="L1155" s="110"/>
    </row>
    <row r="1156" spans="1:12" ht="18" customHeight="1" x14ac:dyDescent="0.2">
      <c r="A1156" s="91">
        <v>43000</v>
      </c>
      <c r="B1156" s="93" t="s">
        <v>426</v>
      </c>
      <c r="C1156" s="36">
        <f t="shared" si="46"/>
        <v>2.5061435577439699</v>
      </c>
      <c r="D1156" s="93" t="s">
        <v>125</v>
      </c>
      <c r="E1156" s="93" t="s">
        <v>421</v>
      </c>
      <c r="F1156" s="93" t="s">
        <v>21</v>
      </c>
      <c r="G1156" s="29" t="s">
        <v>427</v>
      </c>
      <c r="H1156" s="110" t="s">
        <v>428</v>
      </c>
      <c r="I1156" s="110"/>
      <c r="J1156" s="110"/>
      <c r="K1156" s="110"/>
      <c r="L1156" s="110"/>
    </row>
    <row r="1157" spans="1:12" ht="18" customHeight="1" x14ac:dyDescent="0.2">
      <c r="A1157" s="91">
        <v>44000</v>
      </c>
      <c r="B1157" s="93" t="s">
        <v>426</v>
      </c>
      <c r="C1157" s="36">
        <f t="shared" si="46"/>
        <v>2.5035697866703286</v>
      </c>
      <c r="D1157" s="93" t="s">
        <v>125</v>
      </c>
      <c r="E1157" s="93" t="s">
        <v>421</v>
      </c>
      <c r="F1157" s="93" t="s">
        <v>21</v>
      </c>
      <c r="G1157" s="29" t="s">
        <v>427</v>
      </c>
      <c r="H1157" s="110" t="s">
        <v>428</v>
      </c>
      <c r="I1157" s="110"/>
      <c r="J1157" s="110"/>
      <c r="K1157" s="110"/>
      <c r="L1157" s="110"/>
    </row>
    <row r="1158" spans="1:12" ht="18" customHeight="1" x14ac:dyDescent="0.2">
      <c r="A1158" s="91">
        <v>45000</v>
      </c>
      <c r="B1158" s="93" t="s">
        <v>426</v>
      </c>
      <c r="C1158" s="36">
        <f t="shared" si="46"/>
        <v>2.5011306741506822</v>
      </c>
      <c r="D1158" s="93" t="s">
        <v>125</v>
      </c>
      <c r="E1158" s="93" t="s">
        <v>421</v>
      </c>
      <c r="F1158" s="93" t="s">
        <v>21</v>
      </c>
      <c r="G1158" s="29" t="s">
        <v>427</v>
      </c>
      <c r="H1158" s="110" t="s">
        <v>428</v>
      </c>
      <c r="I1158" s="110"/>
      <c r="J1158" s="110"/>
      <c r="K1158" s="110"/>
      <c r="L1158" s="110"/>
    </row>
    <row r="1159" spans="1:12" ht="18" customHeight="1" x14ac:dyDescent="0.2">
      <c r="A1159" s="91">
        <v>46000</v>
      </c>
      <c r="B1159" s="93" t="s">
        <v>426</v>
      </c>
      <c r="C1159" s="36">
        <f t="shared" si="46"/>
        <v>2.4988039246736609</v>
      </c>
      <c r="D1159" s="93" t="s">
        <v>125</v>
      </c>
      <c r="E1159" s="93" t="s">
        <v>421</v>
      </c>
      <c r="F1159" s="93" t="s">
        <v>21</v>
      </c>
      <c r="G1159" s="29" t="s">
        <v>427</v>
      </c>
      <c r="H1159" s="110" t="s">
        <v>428</v>
      </c>
      <c r="I1159" s="110"/>
      <c r="J1159" s="110"/>
      <c r="K1159" s="110"/>
      <c r="L1159" s="110"/>
    </row>
    <row r="1160" spans="1:12" ht="18" customHeight="1" x14ac:dyDescent="0.2">
      <c r="A1160" s="91">
        <v>47000</v>
      </c>
      <c r="B1160" s="93" t="s">
        <v>426</v>
      </c>
      <c r="C1160" s="36">
        <f t="shared" si="46"/>
        <v>2.4965889245681119</v>
      </c>
      <c r="D1160" s="93" t="s">
        <v>125</v>
      </c>
      <c r="E1160" s="93" t="s">
        <v>421</v>
      </c>
      <c r="F1160" s="93" t="s">
        <v>21</v>
      </c>
      <c r="G1160" s="29" t="s">
        <v>427</v>
      </c>
      <c r="H1160" s="110" t="s">
        <v>428</v>
      </c>
      <c r="I1160" s="110"/>
      <c r="J1160" s="110"/>
      <c r="K1160" s="110"/>
      <c r="L1160" s="110"/>
    </row>
    <row r="1161" spans="1:12" ht="18" customHeight="1" x14ac:dyDescent="0.2">
      <c r="A1161" s="91">
        <v>48000</v>
      </c>
      <c r="B1161" s="93" t="s">
        <v>426</v>
      </c>
      <c r="C1161" s="36">
        <f t="shared" si="46"/>
        <v>2.4944850912170495</v>
      </c>
      <c r="D1161" s="93" t="s">
        <v>125</v>
      </c>
      <c r="E1161" s="93" t="s">
        <v>421</v>
      </c>
      <c r="F1161" s="93" t="s">
        <v>21</v>
      </c>
      <c r="G1161" s="29" t="s">
        <v>427</v>
      </c>
      <c r="H1161" s="110" t="s">
        <v>428</v>
      </c>
      <c r="I1161" s="110"/>
      <c r="J1161" s="110"/>
      <c r="K1161" s="110"/>
      <c r="L1161" s="110"/>
    </row>
    <row r="1162" spans="1:12" ht="18" customHeight="1" x14ac:dyDescent="0.2">
      <c r="A1162" s="91">
        <v>49000</v>
      </c>
      <c r="B1162" s="93" t="s">
        <v>426</v>
      </c>
      <c r="C1162" s="36">
        <f t="shared" si="46"/>
        <v>2.492470457522062</v>
      </c>
      <c r="D1162" s="93" t="s">
        <v>125</v>
      </c>
      <c r="E1162" s="93" t="s">
        <v>421</v>
      </c>
      <c r="F1162" s="93" t="s">
        <v>21</v>
      </c>
      <c r="G1162" s="29" t="s">
        <v>427</v>
      </c>
      <c r="H1162" s="110" t="s">
        <v>428</v>
      </c>
      <c r="I1162" s="110"/>
      <c r="J1162" s="110"/>
      <c r="K1162" s="110"/>
      <c r="L1162" s="110"/>
    </row>
    <row r="1163" spans="1:12" ht="18" customHeight="1" x14ac:dyDescent="0.2">
      <c r="A1163" s="96" t="s">
        <v>429</v>
      </c>
      <c r="B1163" s="93" t="s">
        <v>430</v>
      </c>
      <c r="C1163" s="36">
        <f>$C$7/C1127</f>
        <v>0.68000088972007777</v>
      </c>
      <c r="D1163" s="93" t="s">
        <v>125</v>
      </c>
      <c r="E1163" s="93" t="s">
        <v>431</v>
      </c>
      <c r="F1163" s="93" t="s">
        <v>21</v>
      </c>
      <c r="G1163" s="29" t="s">
        <v>432</v>
      </c>
      <c r="H1163" s="110" t="s">
        <v>433</v>
      </c>
      <c r="I1163" s="110"/>
      <c r="J1163" s="110"/>
      <c r="K1163" s="110"/>
      <c r="L1163" s="110"/>
    </row>
    <row r="1164" spans="1:12" ht="18" customHeight="1" x14ac:dyDescent="0.2">
      <c r="A1164" s="91">
        <v>42000</v>
      </c>
      <c r="B1164" s="93" t="s">
        <v>430</v>
      </c>
      <c r="C1164" s="36">
        <f t="shared" ref="C1164:C1171" si="47">$C$7/C1128</f>
        <v>0.64744086091401232</v>
      </c>
      <c r="D1164" s="93" t="s">
        <v>125</v>
      </c>
      <c r="E1164" s="93" t="s">
        <v>431</v>
      </c>
      <c r="F1164" s="93" t="s">
        <v>21</v>
      </c>
      <c r="G1164" s="29" t="s">
        <v>432</v>
      </c>
      <c r="H1164" s="110" t="s">
        <v>433</v>
      </c>
      <c r="I1164" s="110"/>
      <c r="J1164" s="110"/>
      <c r="K1164" s="110"/>
      <c r="L1164" s="110"/>
    </row>
    <row r="1165" spans="1:12" ht="18" customHeight="1" x14ac:dyDescent="0.2">
      <c r="A1165" s="91">
        <v>43000</v>
      </c>
      <c r="B1165" s="93" t="s">
        <v>430</v>
      </c>
      <c r="C1165" s="36">
        <f t="shared" si="47"/>
        <v>0.61656470861816315</v>
      </c>
      <c r="D1165" s="93" t="s">
        <v>125</v>
      </c>
      <c r="E1165" s="93" t="s">
        <v>431</v>
      </c>
      <c r="F1165" s="93" t="s">
        <v>21</v>
      </c>
      <c r="G1165" s="29" t="s">
        <v>432</v>
      </c>
      <c r="H1165" s="110" t="s">
        <v>433</v>
      </c>
      <c r="I1165" s="110"/>
      <c r="J1165" s="110"/>
      <c r="K1165" s="110"/>
      <c r="L1165" s="110"/>
    </row>
    <row r="1166" spans="1:12" ht="18" customHeight="1" x14ac:dyDescent="0.2">
      <c r="A1166" s="91">
        <v>44000</v>
      </c>
      <c r="B1166" s="93" t="s">
        <v>430</v>
      </c>
      <c r="C1166" s="36">
        <f t="shared" si="47"/>
        <v>0.58711458090781854</v>
      </c>
      <c r="D1166" s="93" t="s">
        <v>125</v>
      </c>
      <c r="E1166" s="93" t="s">
        <v>431</v>
      </c>
      <c r="F1166" s="93" t="s">
        <v>21</v>
      </c>
      <c r="G1166" s="29" t="s">
        <v>432</v>
      </c>
      <c r="H1166" s="110" t="s">
        <v>433</v>
      </c>
      <c r="I1166" s="110"/>
      <c r="J1166" s="110"/>
      <c r="K1166" s="110"/>
      <c r="L1166" s="110"/>
    </row>
    <row r="1167" spans="1:12" ht="18" customHeight="1" x14ac:dyDescent="0.2">
      <c r="A1167" s="91">
        <v>45000</v>
      </c>
      <c r="B1167" s="93" t="s">
        <v>430</v>
      </c>
      <c r="C1167" s="36">
        <f t="shared" si="47"/>
        <v>0.55920527073677739</v>
      </c>
      <c r="D1167" s="93" t="s">
        <v>125</v>
      </c>
      <c r="E1167" s="93" t="s">
        <v>431</v>
      </c>
      <c r="F1167" s="93" t="s">
        <v>21</v>
      </c>
      <c r="G1167" s="29" t="s">
        <v>432</v>
      </c>
      <c r="H1167" s="110" t="s">
        <v>433</v>
      </c>
      <c r="I1167" s="110"/>
      <c r="J1167" s="110"/>
      <c r="K1167" s="110"/>
      <c r="L1167" s="110"/>
    </row>
    <row r="1168" spans="1:12" ht="18" customHeight="1" x14ac:dyDescent="0.2">
      <c r="A1168" s="91">
        <v>46000</v>
      </c>
      <c r="B1168" s="93" t="s">
        <v>430</v>
      </c>
      <c r="C1168" s="36">
        <f t="shared" si="47"/>
        <v>0.53258166386278705</v>
      </c>
      <c r="D1168" s="93" t="s">
        <v>125</v>
      </c>
      <c r="E1168" s="93" t="s">
        <v>431</v>
      </c>
      <c r="F1168" s="93" t="s">
        <v>21</v>
      </c>
      <c r="G1168" s="29" t="s">
        <v>432</v>
      </c>
      <c r="H1168" s="110" t="s">
        <v>433</v>
      </c>
      <c r="I1168" s="110"/>
      <c r="J1168" s="110"/>
      <c r="K1168" s="110"/>
      <c r="L1168" s="110"/>
    </row>
    <row r="1169" spans="1:12" ht="18" customHeight="1" x14ac:dyDescent="0.2">
      <c r="A1169" s="91">
        <v>47000</v>
      </c>
      <c r="B1169" s="93" t="s">
        <v>430</v>
      </c>
      <c r="C1169" s="36">
        <f t="shared" si="47"/>
        <v>0.50723673841276951</v>
      </c>
      <c r="D1169" s="93" t="s">
        <v>125</v>
      </c>
      <c r="E1169" s="93" t="s">
        <v>431</v>
      </c>
      <c r="F1169" s="93" t="s">
        <v>21</v>
      </c>
      <c r="G1169" s="29" t="s">
        <v>432</v>
      </c>
      <c r="H1169" s="110" t="s">
        <v>433</v>
      </c>
      <c r="I1169" s="110"/>
      <c r="J1169" s="110"/>
      <c r="K1169" s="110"/>
      <c r="L1169" s="110"/>
    </row>
    <row r="1170" spans="1:12" ht="18" customHeight="1" x14ac:dyDescent="0.2">
      <c r="A1170" s="91">
        <v>48000</v>
      </c>
      <c r="B1170" s="93" t="s">
        <v>430</v>
      </c>
      <c r="C1170" s="36">
        <f t="shared" si="47"/>
        <v>0.48316382784795181</v>
      </c>
      <c r="D1170" s="93" t="s">
        <v>125</v>
      </c>
      <c r="E1170" s="93" t="s">
        <v>431</v>
      </c>
      <c r="F1170" s="93" t="s">
        <v>21</v>
      </c>
      <c r="G1170" s="29" t="s">
        <v>432</v>
      </c>
      <c r="H1170" s="110" t="s">
        <v>433</v>
      </c>
      <c r="I1170" s="110"/>
      <c r="J1170" s="110"/>
      <c r="K1170" s="110"/>
      <c r="L1170" s="110"/>
    </row>
    <row r="1171" spans="1:12" ht="18" customHeight="1" x14ac:dyDescent="0.2">
      <c r="A1171" s="91">
        <v>49000</v>
      </c>
      <c r="B1171" s="93" t="s">
        <v>430</v>
      </c>
      <c r="C1171" s="36">
        <f t="shared" si="47"/>
        <v>0.46011157575972772</v>
      </c>
      <c r="D1171" s="93" t="s">
        <v>125</v>
      </c>
      <c r="E1171" s="93" t="s">
        <v>431</v>
      </c>
      <c r="F1171" s="93" t="s">
        <v>21</v>
      </c>
      <c r="G1171" s="29" t="s">
        <v>432</v>
      </c>
      <c r="H1171" s="110" t="s">
        <v>433</v>
      </c>
      <c r="I1171" s="110"/>
      <c r="J1171" s="110"/>
      <c r="K1171" s="110"/>
      <c r="L1171" s="110"/>
    </row>
    <row r="1172" spans="1:12" ht="18" customHeight="1" x14ac:dyDescent="0.2">
      <c r="A1172" s="93" t="s">
        <v>434</v>
      </c>
      <c r="B1172" s="93" t="s">
        <v>435</v>
      </c>
      <c r="C1172" s="36">
        <f>2*'Stability Constants Subsonic'!$C$13*('Stability Constants Subsonic'!$C$4-'Stability Constants Subsonic'!$C$3)*'Stability Constants Subsonic'!$C$14*'Supersonic Stability'!C1127</f>
        <v>52729.499131452169</v>
      </c>
      <c r="D1172" s="93" t="s">
        <v>125</v>
      </c>
      <c r="E1172" s="93" t="s">
        <v>224</v>
      </c>
      <c r="F1172" s="93" t="s">
        <v>21</v>
      </c>
      <c r="G1172" s="29" t="s">
        <v>437</v>
      </c>
      <c r="H1172" s="110" t="s">
        <v>438</v>
      </c>
      <c r="I1172" s="110"/>
      <c r="J1172" s="110"/>
      <c r="K1172" s="110"/>
      <c r="L1172" s="110"/>
    </row>
    <row r="1173" spans="1:12" ht="18" customHeight="1" x14ac:dyDescent="0.2">
      <c r="A1173" s="91">
        <v>42000</v>
      </c>
      <c r="B1173" s="93" t="s">
        <v>435</v>
      </c>
      <c r="C1173" s="36">
        <f>2*'Stability Constants Subsonic'!$C$13*('Stability Constants Subsonic'!$C$4-'Stability Constants Subsonic'!$C$3)*'Stability Constants Subsonic'!$C$14*'Supersonic Stability'!C1128</f>
        <v>55381.284204494557</v>
      </c>
      <c r="D1173" s="93" t="s">
        <v>125</v>
      </c>
      <c r="E1173" s="93" t="s">
        <v>224</v>
      </c>
      <c r="F1173" s="93" t="s">
        <v>21</v>
      </c>
      <c r="G1173" s="29" t="s">
        <v>437</v>
      </c>
      <c r="H1173" s="110" t="s">
        <v>438</v>
      </c>
      <c r="I1173" s="110"/>
      <c r="J1173" s="110"/>
      <c r="K1173" s="110"/>
      <c r="L1173" s="110"/>
    </row>
    <row r="1174" spans="1:12" ht="18" customHeight="1" x14ac:dyDescent="0.2">
      <c r="A1174" s="91">
        <v>43000</v>
      </c>
      <c r="B1174" s="93" t="s">
        <v>435</v>
      </c>
      <c r="C1174" s="36">
        <f>2*'Stability Constants Subsonic'!$C$13*('Stability Constants Subsonic'!$C$4-'Stability Constants Subsonic'!$C$3)*'Stability Constants Subsonic'!$C$14*'Supersonic Stability'!C1129</f>
        <v>58154.652419600519</v>
      </c>
      <c r="D1174" s="93" t="s">
        <v>125</v>
      </c>
      <c r="E1174" s="93" t="s">
        <v>224</v>
      </c>
      <c r="F1174" s="93" t="s">
        <v>21</v>
      </c>
      <c r="G1174" s="29" t="s">
        <v>437</v>
      </c>
      <c r="H1174" s="110" t="s">
        <v>438</v>
      </c>
      <c r="I1174" s="110"/>
      <c r="J1174" s="110"/>
      <c r="K1174" s="110"/>
      <c r="L1174" s="110"/>
    </row>
    <row r="1175" spans="1:12" ht="18" customHeight="1" x14ac:dyDescent="0.2">
      <c r="A1175" s="91">
        <v>44000</v>
      </c>
      <c r="B1175" s="93" t="s">
        <v>435</v>
      </c>
      <c r="C1175" s="36">
        <f>2*'Stability Constants Subsonic'!$C$13*('Stability Constants Subsonic'!$C$4-'Stability Constants Subsonic'!$C$3)*'Stability Constants Subsonic'!$C$14*'Supersonic Stability'!C1130</f>
        <v>61071.735381600462</v>
      </c>
      <c r="D1175" s="93" t="s">
        <v>125</v>
      </c>
      <c r="E1175" s="93" t="s">
        <v>224</v>
      </c>
      <c r="F1175" s="93" t="s">
        <v>21</v>
      </c>
      <c r="G1175" s="29" t="s">
        <v>437</v>
      </c>
      <c r="H1175" s="110" t="s">
        <v>438</v>
      </c>
      <c r="I1175" s="110"/>
      <c r="J1175" s="110"/>
      <c r="K1175" s="110"/>
      <c r="L1175" s="110"/>
    </row>
    <row r="1176" spans="1:12" ht="18" customHeight="1" x14ac:dyDescent="0.2">
      <c r="A1176" s="91">
        <v>45000</v>
      </c>
      <c r="B1176" s="93" t="s">
        <v>435</v>
      </c>
      <c r="C1176" s="36">
        <f>2*'Stability Constants Subsonic'!$C$13*('Stability Constants Subsonic'!$C$4-'Stability Constants Subsonic'!$C$3)*'Stability Constants Subsonic'!$C$14*'Supersonic Stability'!C1131</f>
        <v>64119.757449066179</v>
      </c>
      <c r="D1176" s="93" t="s">
        <v>125</v>
      </c>
      <c r="E1176" s="93" t="s">
        <v>224</v>
      </c>
      <c r="F1176" s="93" t="s">
        <v>21</v>
      </c>
      <c r="G1176" s="29" t="s">
        <v>437</v>
      </c>
      <c r="H1176" s="110" t="s">
        <v>438</v>
      </c>
      <c r="I1176" s="110"/>
      <c r="J1176" s="110"/>
      <c r="K1176" s="110"/>
      <c r="L1176" s="110"/>
    </row>
    <row r="1177" spans="1:12" ht="18" customHeight="1" x14ac:dyDescent="0.2">
      <c r="A1177" s="91">
        <v>46000</v>
      </c>
      <c r="B1177" s="93" t="s">
        <v>435</v>
      </c>
      <c r="C1177" s="36">
        <f>2*'Stability Constants Subsonic'!$C$13*('Stability Constants Subsonic'!$C$4-'Stability Constants Subsonic'!$C$3)*'Stability Constants Subsonic'!$C$14*'Supersonic Stability'!C1132</f>
        <v>67325.08600431167</v>
      </c>
      <c r="D1177" s="93" t="s">
        <v>125</v>
      </c>
      <c r="E1177" s="93" t="s">
        <v>224</v>
      </c>
      <c r="F1177" s="93" t="s">
        <v>21</v>
      </c>
      <c r="G1177" s="29" t="s">
        <v>437</v>
      </c>
      <c r="H1177" s="110" t="s">
        <v>438</v>
      </c>
      <c r="I1177" s="110"/>
      <c r="J1177" s="110"/>
      <c r="K1177" s="110"/>
      <c r="L1177" s="110"/>
    </row>
    <row r="1178" spans="1:12" ht="18" customHeight="1" x14ac:dyDescent="0.2">
      <c r="A1178" s="91">
        <v>47000</v>
      </c>
      <c r="B1178" s="93" t="s">
        <v>435</v>
      </c>
      <c r="C1178" s="36">
        <f>2*'Stability Constants Subsonic'!$C$13*('Stability Constants Subsonic'!$C$4-'Stability Constants Subsonic'!$C$3)*'Stability Constants Subsonic'!$C$14*'Supersonic Stability'!C1133</f>
        <v>70689.095659911065</v>
      </c>
      <c r="D1178" s="93" t="s">
        <v>125</v>
      </c>
      <c r="E1178" s="93" t="s">
        <v>224</v>
      </c>
      <c r="F1178" s="93" t="s">
        <v>21</v>
      </c>
      <c r="G1178" s="29" t="s">
        <v>437</v>
      </c>
      <c r="H1178" s="110" t="s">
        <v>438</v>
      </c>
      <c r="I1178" s="110"/>
      <c r="J1178" s="110"/>
      <c r="K1178" s="110"/>
      <c r="L1178" s="110"/>
    </row>
    <row r="1179" spans="1:12" ht="18" customHeight="1" x14ac:dyDescent="0.2">
      <c r="A1179" s="91">
        <v>48000</v>
      </c>
      <c r="B1179" s="93" t="s">
        <v>435</v>
      </c>
      <c r="C1179" s="36">
        <f>2*'Stability Constants Subsonic'!$C$13*('Stability Constants Subsonic'!$C$4-'Stability Constants Subsonic'!$C$3)*'Stability Constants Subsonic'!$C$14*'Supersonic Stability'!C1134</f>
        <v>74211.073464641071</v>
      </c>
      <c r="D1179" s="93" t="s">
        <v>125</v>
      </c>
      <c r="E1179" s="93" t="s">
        <v>224</v>
      </c>
      <c r="F1179" s="93" t="s">
        <v>21</v>
      </c>
      <c r="G1179" s="29" t="s">
        <v>437</v>
      </c>
      <c r="H1179" s="110" t="s">
        <v>438</v>
      </c>
      <c r="I1179" s="110"/>
      <c r="J1179" s="110"/>
      <c r="K1179" s="110"/>
      <c r="L1179" s="110"/>
    </row>
    <row r="1180" spans="1:12" ht="18" customHeight="1" x14ac:dyDescent="0.2">
      <c r="A1180" s="91">
        <v>49000</v>
      </c>
      <c r="B1180" s="93" t="s">
        <v>435</v>
      </c>
      <c r="C1180" s="36">
        <f>2*'Stability Constants Subsonic'!$C$13*('Stability Constants Subsonic'!$C$4-'Stability Constants Subsonic'!$C$3)*'Stability Constants Subsonic'!$C$14*'Supersonic Stability'!C1135</f>
        <v>77929.155041745282</v>
      </c>
      <c r="D1180" s="93" t="s">
        <v>125</v>
      </c>
      <c r="E1180" s="93" t="s">
        <v>224</v>
      </c>
      <c r="F1180" s="93" t="s">
        <v>21</v>
      </c>
      <c r="G1180" s="29" t="s">
        <v>437</v>
      </c>
      <c r="H1180" s="110" t="s">
        <v>438</v>
      </c>
      <c r="I1180" s="110"/>
      <c r="J1180" s="110"/>
      <c r="K1180" s="110"/>
      <c r="L1180" s="110"/>
    </row>
    <row r="1181" spans="1:12" ht="18" customHeight="1" x14ac:dyDescent="0.2">
      <c r="A1181" s="93" t="s">
        <v>439</v>
      </c>
      <c r="B1181" s="93" t="s">
        <v>440</v>
      </c>
      <c r="C1181" s="36">
        <f>2*'Stability Constants Subsonic'!$C$13*('Stability Constants Subsonic'!$C$6-'Stability Constants Subsonic'!$C$5)*'Stability Constants Subsonic'!$C$15*'Supersonic Stability'!C1127</f>
        <v>32986.732924547796</v>
      </c>
      <c r="D1181" s="93" t="s">
        <v>125</v>
      </c>
      <c r="E1181" s="93" t="s">
        <v>224</v>
      </c>
      <c r="F1181" s="93" t="s">
        <v>21</v>
      </c>
      <c r="G1181" s="29" t="s">
        <v>442</v>
      </c>
      <c r="H1181" s="110" t="s">
        <v>438</v>
      </c>
      <c r="I1181" s="110"/>
      <c r="J1181" s="110"/>
      <c r="K1181" s="110"/>
      <c r="L1181" s="110"/>
    </row>
    <row r="1182" spans="1:12" ht="18" customHeight="1" x14ac:dyDescent="0.2">
      <c r="A1182" s="91">
        <v>42000</v>
      </c>
      <c r="B1182" s="93" t="s">
        <v>440</v>
      </c>
      <c r="C1182" s="36">
        <f>2*'Stability Constants Subsonic'!$C$13*('Stability Constants Subsonic'!$C$6-'Stability Constants Subsonic'!$C$5)*'Stability Constants Subsonic'!$C$15*'Supersonic Stability'!C1128</f>
        <v>34645.647335240064</v>
      </c>
      <c r="D1182" s="93" t="s">
        <v>125</v>
      </c>
      <c r="E1182" s="93" t="s">
        <v>224</v>
      </c>
      <c r="F1182" s="93" t="s">
        <v>21</v>
      </c>
      <c r="G1182" s="29" t="s">
        <v>442</v>
      </c>
      <c r="H1182" s="110" t="s">
        <v>438</v>
      </c>
      <c r="I1182" s="110"/>
      <c r="J1182" s="110"/>
      <c r="K1182" s="110"/>
      <c r="L1182" s="110"/>
    </row>
    <row r="1183" spans="1:12" ht="18" customHeight="1" x14ac:dyDescent="0.2">
      <c r="A1183" s="91">
        <v>43000</v>
      </c>
      <c r="B1183" s="93" t="s">
        <v>440</v>
      </c>
      <c r="C1183" s="36">
        <f>2*'Stability Constants Subsonic'!$C$13*('Stability Constants Subsonic'!$C$6-'Stability Constants Subsonic'!$C$5)*'Stability Constants Subsonic'!$C$15*'Supersonic Stability'!C1129</f>
        <v>36380.622218750032</v>
      </c>
      <c r="D1183" s="93" t="s">
        <v>125</v>
      </c>
      <c r="E1183" s="93" t="s">
        <v>224</v>
      </c>
      <c r="F1183" s="93" t="s">
        <v>21</v>
      </c>
      <c r="G1183" s="29" t="s">
        <v>442</v>
      </c>
      <c r="H1183" s="110" t="s">
        <v>438</v>
      </c>
      <c r="I1183" s="110"/>
      <c r="J1183" s="110"/>
      <c r="K1183" s="110"/>
      <c r="L1183" s="110"/>
    </row>
    <row r="1184" spans="1:12" ht="18" customHeight="1" x14ac:dyDescent="0.2">
      <c r="A1184" s="91">
        <v>44000</v>
      </c>
      <c r="B1184" s="93" t="s">
        <v>440</v>
      </c>
      <c r="C1184" s="36">
        <f>2*'Stability Constants Subsonic'!$C$13*('Stability Constants Subsonic'!$C$6-'Stability Constants Subsonic'!$C$5)*'Stability Constants Subsonic'!$C$15*'Supersonic Stability'!C1130</f>
        <v>38205.502753768138</v>
      </c>
      <c r="D1184" s="93" t="s">
        <v>125</v>
      </c>
      <c r="E1184" s="93" t="s">
        <v>224</v>
      </c>
      <c r="F1184" s="93" t="s">
        <v>21</v>
      </c>
      <c r="G1184" s="29" t="s">
        <v>442</v>
      </c>
      <c r="H1184" s="110" t="s">
        <v>438</v>
      </c>
      <c r="I1184" s="110"/>
      <c r="J1184" s="110"/>
      <c r="K1184" s="110"/>
      <c r="L1184" s="110"/>
    </row>
    <row r="1185" spans="1:12" ht="18" customHeight="1" x14ac:dyDescent="0.2">
      <c r="A1185" s="91">
        <v>45000</v>
      </c>
      <c r="B1185" s="93" t="s">
        <v>440</v>
      </c>
      <c r="C1185" s="36">
        <f>2*'Stability Constants Subsonic'!$C$13*('Stability Constants Subsonic'!$C$6-'Stability Constants Subsonic'!$C$5)*'Stability Constants Subsonic'!$C$15*'Supersonic Stability'!C1131</f>
        <v>40112.29670295713</v>
      </c>
      <c r="D1185" s="93" t="s">
        <v>125</v>
      </c>
      <c r="E1185" s="93" t="s">
        <v>224</v>
      </c>
      <c r="F1185" s="93" t="s">
        <v>21</v>
      </c>
      <c r="G1185" s="29" t="s">
        <v>442</v>
      </c>
      <c r="H1185" s="110" t="s">
        <v>438</v>
      </c>
      <c r="I1185" s="110"/>
      <c r="J1185" s="110"/>
      <c r="K1185" s="110"/>
      <c r="L1185" s="110"/>
    </row>
    <row r="1186" spans="1:12" ht="18" customHeight="1" x14ac:dyDescent="0.2">
      <c r="A1186" s="91">
        <v>46000</v>
      </c>
      <c r="B1186" s="93" t="s">
        <v>440</v>
      </c>
      <c r="C1186" s="36">
        <f>2*'Stability Constants Subsonic'!$C$13*('Stability Constants Subsonic'!$C$6-'Stability Constants Subsonic'!$C$5)*'Stability Constants Subsonic'!$C$15*'Supersonic Stability'!C1132</f>
        <v>42117.499079784597</v>
      </c>
      <c r="D1186" s="93" t="s">
        <v>125</v>
      </c>
      <c r="E1186" s="93" t="s">
        <v>224</v>
      </c>
      <c r="F1186" s="93" t="s">
        <v>21</v>
      </c>
      <c r="G1186" s="29" t="s">
        <v>442</v>
      </c>
      <c r="H1186" s="110" t="s">
        <v>438</v>
      </c>
      <c r="I1186" s="110"/>
      <c r="J1186" s="110"/>
      <c r="K1186" s="110"/>
      <c r="L1186" s="110"/>
    </row>
    <row r="1187" spans="1:12" ht="18" customHeight="1" x14ac:dyDescent="0.2">
      <c r="A1187" s="91">
        <v>47000</v>
      </c>
      <c r="B1187" s="93" t="s">
        <v>440</v>
      </c>
      <c r="C1187" s="36">
        <f>2*'Stability Constants Subsonic'!$C$13*('Stability Constants Subsonic'!$C$6-'Stability Constants Subsonic'!$C$5)*'Stability Constants Subsonic'!$C$15*'Supersonic Stability'!C1133</f>
        <v>44221.969819933678</v>
      </c>
      <c r="D1187" s="93" t="s">
        <v>125</v>
      </c>
      <c r="E1187" s="93" t="s">
        <v>224</v>
      </c>
      <c r="F1187" s="93" t="s">
        <v>21</v>
      </c>
      <c r="G1187" s="29" t="s">
        <v>442</v>
      </c>
      <c r="H1187" s="110" t="s">
        <v>438</v>
      </c>
      <c r="I1187" s="110"/>
      <c r="J1187" s="110"/>
      <c r="K1187" s="110"/>
      <c r="L1187" s="110"/>
    </row>
    <row r="1188" spans="1:12" ht="18" customHeight="1" x14ac:dyDescent="0.2">
      <c r="A1188" s="91">
        <v>48000</v>
      </c>
      <c r="B1188" s="93" t="s">
        <v>440</v>
      </c>
      <c r="C1188" s="36">
        <f>2*'Stability Constants Subsonic'!$C$13*('Stability Constants Subsonic'!$C$6-'Stability Constants Subsonic'!$C$5)*'Stability Constants Subsonic'!$C$15*'Supersonic Stability'!C1134</f>
        <v>46425.262912500068</v>
      </c>
      <c r="D1188" s="93" t="s">
        <v>125</v>
      </c>
      <c r="E1188" s="93" t="s">
        <v>224</v>
      </c>
      <c r="F1188" s="93" t="s">
        <v>21</v>
      </c>
      <c r="G1188" s="29" t="s">
        <v>442</v>
      </c>
      <c r="H1188" s="110" t="s">
        <v>438</v>
      </c>
      <c r="I1188" s="110"/>
      <c r="J1188" s="110"/>
      <c r="K1188" s="110"/>
      <c r="L1188" s="110"/>
    </row>
    <row r="1189" spans="1:12" ht="18" customHeight="1" x14ac:dyDescent="0.2">
      <c r="A1189" s="91">
        <v>49000</v>
      </c>
      <c r="B1189" s="93" t="s">
        <v>440</v>
      </c>
      <c r="C1189" s="36">
        <f>2*'Stability Constants Subsonic'!$C$13*('Stability Constants Subsonic'!$C$6-'Stability Constants Subsonic'!$C$5)*'Stability Constants Subsonic'!$C$15*'Supersonic Stability'!C1135</f>
        <v>48751.235394617965</v>
      </c>
      <c r="D1189" s="93" t="s">
        <v>125</v>
      </c>
      <c r="E1189" s="93" t="s">
        <v>224</v>
      </c>
      <c r="F1189" s="93" t="s">
        <v>21</v>
      </c>
      <c r="G1189" s="29" t="s">
        <v>442</v>
      </c>
      <c r="H1189" s="110" t="s">
        <v>438</v>
      </c>
      <c r="I1189" s="110"/>
      <c r="J1189" s="110"/>
      <c r="K1189" s="110"/>
      <c r="L1189" s="110"/>
    </row>
    <row r="1190" spans="1:12" ht="18" customHeight="1" x14ac:dyDescent="0.2">
      <c r="A1190" s="131" t="s">
        <v>511</v>
      </c>
      <c r="B1190" s="121"/>
      <c r="C1190" s="121"/>
      <c r="D1190" s="121"/>
      <c r="E1190" s="121"/>
      <c r="F1190" s="121"/>
      <c r="G1190" s="121"/>
      <c r="H1190" s="121"/>
      <c r="I1190" s="121"/>
      <c r="J1190" s="121"/>
      <c r="K1190" s="121"/>
      <c r="L1190" s="125"/>
    </row>
    <row r="1191" spans="1:12" ht="18" customHeight="1" x14ac:dyDescent="0.2">
      <c r="A1191" s="23" t="s">
        <v>5</v>
      </c>
      <c r="B1191" s="23" t="s">
        <v>96</v>
      </c>
      <c r="C1191" s="94" t="s">
        <v>7</v>
      </c>
      <c r="D1191" s="94" t="s">
        <v>125</v>
      </c>
      <c r="E1191" s="94" t="s">
        <v>8</v>
      </c>
      <c r="F1191" s="94" t="s">
        <v>9</v>
      </c>
      <c r="G1191" s="31" t="s">
        <v>459</v>
      </c>
      <c r="H1191" s="122" t="s">
        <v>11</v>
      </c>
      <c r="I1191" s="123"/>
      <c r="J1191" s="123"/>
      <c r="K1191" s="123"/>
      <c r="L1191" s="124"/>
    </row>
    <row r="1192" spans="1:12" ht="18" customHeight="1" x14ac:dyDescent="0.2">
      <c r="A1192" s="93" t="s">
        <v>563</v>
      </c>
      <c r="B1192" s="47" t="s">
        <v>446</v>
      </c>
      <c r="C1192" s="48">
        <f>('Supersonic Stability'!C941 + 'Supersonic Stability'!C950* 'Stability Constants Supersonic'!$C$16*'Supersonic Stability'!$C$4/'Initial Estimates'!$C$5)*'Stability Constants Supersonic'!$C$29/'Initial Estimates'!$C$10 - 'Supersonic Stability'!C950*'Stability Constants Supersonic'!$C$16*'Supersonic Stability'!$C$4/'Initial Estimates'!$C$5*'Stability Constants Supersonic'!$C$26/'Initial Estimates'!$C$10+'Supersonic Stability'!$C$5+('Supersonic Stability'!C1004+'Stability Constants Supersonic'!$C$11*'Supersonic Stability'!C1013)/(CFD!D3*'Initial Estimates'!$C$5*'Initial Estimates'!$C$10)</f>
        <v>4.6191675250108824E-2</v>
      </c>
      <c r="D1192" s="93" t="s">
        <v>125</v>
      </c>
      <c r="E1192" s="93" t="s">
        <v>137</v>
      </c>
      <c r="F1192" s="93" t="s">
        <v>21</v>
      </c>
      <c r="G1192" s="29" t="s">
        <v>460</v>
      </c>
      <c r="H1192" s="126" t="s">
        <v>438</v>
      </c>
      <c r="I1192" s="126"/>
      <c r="J1192" s="126"/>
      <c r="K1192" s="126"/>
      <c r="L1192" s="126"/>
    </row>
    <row r="1193" spans="1:12" ht="18" customHeight="1" x14ac:dyDescent="0.2">
      <c r="A1193" s="91">
        <v>42000</v>
      </c>
      <c r="B1193" s="47" t="s">
        <v>446</v>
      </c>
      <c r="C1193" s="48">
        <f>('Supersonic Stability'!C942 + 'Supersonic Stability'!C951* 'Stability Constants Supersonic'!$C$16*'Supersonic Stability'!$C$4/'Initial Estimates'!$C$5)*'Stability Constants Supersonic'!$C$29/'Initial Estimates'!$C$10 - 'Supersonic Stability'!C951*'Stability Constants Supersonic'!$C$16*'Supersonic Stability'!$C$4/'Initial Estimates'!$C$5*'Stability Constants Supersonic'!$C$26/'Initial Estimates'!$C$10+'Supersonic Stability'!$C$5+('Supersonic Stability'!C1005+'Stability Constants Supersonic'!$C$11*'Supersonic Stability'!C1014)/(CFD!D4*'Initial Estimates'!$C$5*'Initial Estimates'!$C$10)</f>
        <v>4.9746335371840596E-2</v>
      </c>
      <c r="D1193" s="93"/>
      <c r="E1193" s="93"/>
      <c r="F1193" s="93"/>
      <c r="H1193" s="93"/>
      <c r="I1193" s="93"/>
      <c r="J1193" s="93"/>
      <c r="K1193" s="93"/>
      <c r="L1193" s="93"/>
    </row>
    <row r="1194" spans="1:12" ht="18" customHeight="1" x14ac:dyDescent="0.2">
      <c r="A1194" s="91">
        <v>43000</v>
      </c>
      <c r="B1194" s="47" t="s">
        <v>446</v>
      </c>
      <c r="C1194" s="48">
        <f>('Supersonic Stability'!C943 + 'Supersonic Stability'!C952* 'Stability Constants Supersonic'!$C$16*'Supersonic Stability'!$C$4/'Initial Estimates'!$C$5)*'Stability Constants Supersonic'!$C$29/'Initial Estimates'!$C$10 - 'Supersonic Stability'!C952*'Stability Constants Supersonic'!$C$16*'Supersonic Stability'!$C$4/'Initial Estimates'!$C$5*'Stability Constants Supersonic'!$C$26/'Initial Estimates'!$C$10+'Supersonic Stability'!$C$5+('Supersonic Stability'!C1006+'Stability Constants Supersonic'!$C$11*'Supersonic Stability'!C1015)/(CFD!D5*'Initial Estimates'!$C$5*'Initial Estimates'!$C$10)</f>
        <v>5.3524628457742793E-2</v>
      </c>
      <c r="D1194" s="93"/>
      <c r="E1194" s="93"/>
      <c r="F1194" s="93"/>
      <c r="H1194" s="93"/>
      <c r="I1194" s="93"/>
      <c r="J1194" s="93"/>
      <c r="K1194" s="93"/>
      <c r="L1194" s="93"/>
    </row>
    <row r="1195" spans="1:12" ht="18" customHeight="1" x14ac:dyDescent="0.2">
      <c r="A1195" s="91">
        <v>44000</v>
      </c>
      <c r="B1195" s="47" t="s">
        <v>446</v>
      </c>
      <c r="C1195" s="48">
        <f>('Supersonic Stability'!C944 + 'Supersonic Stability'!C953* 'Stability Constants Supersonic'!$C$16*'Supersonic Stability'!$C$4/'Initial Estimates'!$C$5)*'Stability Constants Supersonic'!$C$29/'Initial Estimates'!$C$10 - 'Supersonic Stability'!C953*'Stability Constants Supersonic'!$C$16*'Supersonic Stability'!$C$4/'Initial Estimates'!$C$5*'Stability Constants Supersonic'!$C$26/'Initial Estimates'!$C$10+'Supersonic Stability'!$C$5+('Supersonic Stability'!C1007+'Stability Constants Supersonic'!$C$11*'Supersonic Stability'!C1016)/(CFD!D6*'Initial Estimates'!$C$5*'Initial Estimates'!$C$10)</f>
        <v>5.7565627248194071E-2</v>
      </c>
      <c r="D1195" s="93"/>
      <c r="E1195" s="93"/>
      <c r="F1195" s="93"/>
      <c r="H1195" s="93"/>
      <c r="I1195" s="93"/>
      <c r="J1195" s="93"/>
      <c r="K1195" s="93"/>
      <c r="L1195" s="93"/>
    </row>
    <row r="1196" spans="1:12" ht="18" customHeight="1" x14ac:dyDescent="0.2">
      <c r="A1196" s="91">
        <v>45000</v>
      </c>
      <c r="B1196" s="47" t="s">
        <v>446</v>
      </c>
      <c r="C1196" s="48">
        <f>('Supersonic Stability'!C945 + 'Supersonic Stability'!C954* 'Stability Constants Supersonic'!$C$16*'Supersonic Stability'!$C$4/'Initial Estimates'!$C$5)*'Stability Constants Supersonic'!$C$29/'Initial Estimates'!$C$10 - 'Supersonic Stability'!C954*'Stability Constants Supersonic'!$C$16*'Supersonic Stability'!$C$4/'Initial Estimates'!$C$5*'Stability Constants Supersonic'!$C$26/'Initial Estimates'!$C$10+'Supersonic Stability'!$C$5+('Supersonic Stability'!C1008+'Stability Constants Supersonic'!$C$11*'Supersonic Stability'!C1017)/(CFD!D7*'Initial Estimates'!$C$5*'Initial Estimates'!$C$10)</f>
        <v>6.1861308938675086E-2</v>
      </c>
      <c r="D1196" s="93"/>
      <c r="E1196" s="93"/>
      <c r="F1196" s="93"/>
      <c r="H1196" s="93"/>
      <c r="I1196" s="93"/>
      <c r="J1196" s="93"/>
      <c r="K1196" s="93"/>
      <c r="L1196" s="93"/>
    </row>
    <row r="1197" spans="1:12" ht="18" customHeight="1" x14ac:dyDescent="0.2">
      <c r="A1197" s="91">
        <v>46000</v>
      </c>
      <c r="B1197" s="47" t="s">
        <v>446</v>
      </c>
      <c r="C1197" s="48">
        <f>('Supersonic Stability'!C946 + 'Supersonic Stability'!C955* 'Stability Constants Supersonic'!$C$16*'Supersonic Stability'!$C$4/'Initial Estimates'!$C$5)*'Stability Constants Supersonic'!$C$29/'Initial Estimates'!$C$10 - 'Supersonic Stability'!C955*'Stability Constants Supersonic'!$C$16*'Supersonic Stability'!$C$4/'Initial Estimates'!$C$5*'Stability Constants Supersonic'!$C$26/'Initial Estimates'!$C$10+'Supersonic Stability'!$C$5+('Supersonic Stability'!C1009+'Stability Constants Supersonic'!$C$11*'Supersonic Stability'!C1018)/(CFD!D8*'Initial Estimates'!$C$5*'Initial Estimates'!$C$10)</f>
        <v>6.6459489835568902E-2</v>
      </c>
      <c r="D1197" s="93"/>
      <c r="E1197" s="93"/>
      <c r="F1197" s="93"/>
      <c r="H1197" s="93"/>
      <c r="I1197" s="93"/>
      <c r="J1197" s="93"/>
      <c r="K1197" s="93"/>
      <c r="L1197" s="93"/>
    </row>
    <row r="1198" spans="1:12" ht="18" customHeight="1" x14ac:dyDescent="0.2">
      <c r="A1198" s="91">
        <v>47000</v>
      </c>
      <c r="B1198" s="47" t="s">
        <v>446</v>
      </c>
      <c r="C1198" s="48">
        <f>('Supersonic Stability'!C947 + 'Supersonic Stability'!C956* 'Stability Constants Supersonic'!$C$16*'Supersonic Stability'!$C$4/'Initial Estimates'!$C$5)*'Stability Constants Supersonic'!$C$29/'Initial Estimates'!$C$10 - 'Supersonic Stability'!C956*'Stability Constants Supersonic'!$C$16*'Supersonic Stability'!$C$4/'Initial Estimates'!$C$5*'Stability Constants Supersonic'!$C$26/'Initial Estimates'!$C$10+'Supersonic Stability'!$C$5+('Supersonic Stability'!C1010+'Stability Constants Supersonic'!$C$11*'Supersonic Stability'!C1019)/(CFD!D9*'Initial Estimates'!$C$5*'Initial Estimates'!$C$10)</f>
        <v>7.1374392598753264E-2</v>
      </c>
      <c r="D1198" s="93"/>
      <c r="E1198" s="93"/>
      <c r="F1198" s="93"/>
      <c r="H1198" s="93"/>
      <c r="I1198" s="93"/>
      <c r="J1198" s="93"/>
      <c r="K1198" s="93"/>
      <c r="L1198" s="93"/>
    </row>
    <row r="1199" spans="1:12" ht="18" customHeight="1" x14ac:dyDescent="0.2">
      <c r="A1199" s="91">
        <v>48000</v>
      </c>
      <c r="B1199" s="47" t="s">
        <v>446</v>
      </c>
      <c r="C1199" s="48">
        <f>('Supersonic Stability'!C948 + 'Supersonic Stability'!C957* 'Stability Constants Supersonic'!$C$16*'Supersonic Stability'!$C$4/'Initial Estimates'!$C$5)*'Stability Constants Supersonic'!$C$29/'Initial Estimates'!$C$10 - 'Supersonic Stability'!C957*'Stability Constants Supersonic'!$C$16*'Supersonic Stability'!$C$4/'Initial Estimates'!$C$5*'Stability Constants Supersonic'!$C$26/'Initial Estimates'!$C$10+'Supersonic Stability'!$C$5+('Supersonic Stability'!C1011+'Stability Constants Supersonic'!$C$11*'Supersonic Stability'!C1020)/(CFD!D10*'Initial Estimates'!$C$5*'Initial Estimates'!$C$10)</f>
        <v>7.6617856955461167E-2</v>
      </c>
      <c r="D1199" s="93"/>
      <c r="E1199" s="93"/>
      <c r="F1199" s="93"/>
      <c r="H1199" s="93"/>
      <c r="I1199" s="93"/>
      <c r="J1199" s="93"/>
      <c r="K1199" s="93"/>
      <c r="L1199" s="93"/>
    </row>
    <row r="1200" spans="1:12" ht="18" customHeight="1" x14ac:dyDescent="0.2">
      <c r="A1200" s="91">
        <v>49000</v>
      </c>
      <c r="B1200" s="47" t="s">
        <v>446</v>
      </c>
      <c r="C1200" s="48">
        <f>('Supersonic Stability'!C949 + 'Supersonic Stability'!C958* 'Stability Constants Supersonic'!$C$16*'Supersonic Stability'!$C$4/'Initial Estimates'!$C$5)*'Stability Constants Supersonic'!$C$29/'Initial Estimates'!$C$10 - 'Supersonic Stability'!C958*'Stability Constants Supersonic'!$C$16*'Supersonic Stability'!$C$4/'Initial Estimates'!$C$5*'Stability Constants Supersonic'!$C$26/'Initial Estimates'!$C$10+'Supersonic Stability'!$C$5+('Supersonic Stability'!C1012+'Stability Constants Supersonic'!$C$11*'Supersonic Stability'!C1021)/(CFD!D11*'Initial Estimates'!$C$5*'Initial Estimates'!$C$10)</f>
        <v>8.226179421563351E-2</v>
      </c>
      <c r="D1200" s="93"/>
      <c r="E1200" s="93"/>
      <c r="F1200" s="93"/>
      <c r="H1200" s="93"/>
      <c r="I1200" s="93"/>
      <c r="J1200" s="93"/>
      <c r="K1200" s="93"/>
      <c r="L1200" s="93"/>
    </row>
    <row r="1201" spans="1:12" ht="18" customHeight="1" x14ac:dyDescent="0.2">
      <c r="A1201" s="93" t="s">
        <v>506</v>
      </c>
      <c r="B1201" s="47" t="s">
        <v>453</v>
      </c>
      <c r="C1201" s="48">
        <f xml:space="preserve"> ( C977 + C986*(1 - C995)*'Stability Constants Supersonic'!$C$16*('Supersonic Stability'!$C$4/'Initial Estimates'!$C$5))*('Stability Constants Supersonic'!$C$29/'Initial Estimates'!$C$10) - C986*(1 -C995)*'Stability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1.9990189748634015</v>
      </c>
      <c r="D1201" s="93" t="s">
        <v>125</v>
      </c>
      <c r="E1201" s="93" t="s">
        <v>421</v>
      </c>
      <c r="F1201" s="93" t="s">
        <v>21</v>
      </c>
      <c r="G1201" s="29" t="s">
        <v>458</v>
      </c>
      <c r="H1201" s="110" t="s">
        <v>438</v>
      </c>
      <c r="I1201" s="110"/>
      <c r="J1201" s="110"/>
      <c r="K1201" s="110"/>
      <c r="L1201" s="110"/>
    </row>
    <row r="1202" spans="1:12" ht="18" customHeight="1" x14ac:dyDescent="0.2">
      <c r="A1202" s="91">
        <v>42000</v>
      </c>
      <c r="B1202" s="47" t="s">
        <v>453</v>
      </c>
      <c r="C1202" s="48">
        <f xml:space="preserve"> ( C978 + C987*(1 - C996)*'Stability Constants Supersonic'!$C$16*('Supersonic Stability'!$C$4/'Initial Estimates'!$C$5))*('Stability Constants Supersonic'!$C$29/'Initial Estimates'!$C$10) - C987*(1 -C996)*'Stability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1.9884138261703828</v>
      </c>
      <c r="D1202" s="93"/>
      <c r="E1202" s="93"/>
      <c r="F1202" s="93"/>
      <c r="H1202" s="93"/>
      <c r="I1202" s="93"/>
      <c r="J1202" s="93"/>
      <c r="K1202" s="93"/>
      <c r="L1202" s="93"/>
    </row>
    <row r="1203" spans="1:12" ht="18" customHeight="1" x14ac:dyDescent="0.2">
      <c r="A1203" s="91">
        <v>43000</v>
      </c>
      <c r="B1203" s="47" t="s">
        <v>453</v>
      </c>
      <c r="C1203" s="48">
        <f xml:space="preserve"> ( C979 + C988*(1 - C997)*'Stability Constants Supersonic'!$C$16*('Supersonic Stability'!$C$4/'Initial Estimates'!$C$5))*('Stability Constants Supersonic'!$C$29/'Initial Estimates'!$C$10) - C988*(1 -C997)*'Stability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1.9783217797548636</v>
      </c>
      <c r="D1203" s="93"/>
      <c r="E1203" s="93"/>
      <c r="F1203" s="93"/>
      <c r="H1203" s="93"/>
      <c r="I1203" s="93"/>
      <c r="J1203" s="93"/>
      <c r="K1203" s="93"/>
      <c r="L1203" s="93"/>
    </row>
    <row r="1204" spans="1:12" ht="18" customHeight="1" x14ac:dyDescent="0.2">
      <c r="A1204" s="91">
        <v>44000</v>
      </c>
      <c r="B1204" s="47" t="s">
        <v>453</v>
      </c>
      <c r="C1204" s="48">
        <f xml:space="preserve"> ( C980 + C989*(1 - C998)*'Stability Constants Supersonic'!$C$16*('Supersonic Stability'!$C$4/'Initial Estimates'!$C$5))*('Stability Constants Supersonic'!$C$29/'Initial Estimates'!$C$10) - C989*(1 -C998)*'Stability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1.968663609959092</v>
      </c>
      <c r="D1204" s="93"/>
      <c r="E1204" s="93"/>
      <c r="F1204" s="93"/>
      <c r="H1204" s="93"/>
      <c r="I1204" s="93"/>
      <c r="J1204" s="93"/>
      <c r="K1204" s="93"/>
      <c r="L1204" s="93"/>
    </row>
    <row r="1205" spans="1:12" ht="18" customHeight="1" x14ac:dyDescent="0.2">
      <c r="A1205" s="91">
        <v>45000</v>
      </c>
      <c r="B1205" s="47" t="s">
        <v>453</v>
      </c>
      <c r="C1205" s="48">
        <f xml:space="preserve"> ( C981 + C990*(1 - C999)*'Stability Constants Supersonic'!$C$16*('Supersonic Stability'!$C$4/'Initial Estimates'!$C$5))*('Stability Constants Supersonic'!$C$29/'Initial Estimates'!$C$10) - C990*(1 -C999)*'Stability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1.9594815745222345</v>
      </c>
      <c r="D1205" s="93"/>
      <c r="E1205" s="93"/>
      <c r="F1205" s="93"/>
      <c r="H1205" s="93"/>
      <c r="I1205" s="93"/>
      <c r="J1205" s="93"/>
      <c r="K1205" s="93"/>
      <c r="L1205" s="93"/>
    </row>
    <row r="1206" spans="1:12" ht="18" customHeight="1" x14ac:dyDescent="0.2">
      <c r="A1206" s="91">
        <v>46000</v>
      </c>
      <c r="B1206" s="47" t="s">
        <v>453</v>
      </c>
      <c r="C1206" s="48">
        <f xml:space="preserve"> ( C982 + C991*(1 - C1000)*'Stability Constants Supersonic'!$C$16*('Supersonic Stability'!$C$4/'Initial Estimates'!$C$5))*('Stability Constants Supersonic'!$C$29/'Initial Estimates'!$C$10) - C991*(1 -C1000)*'Stability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1.950695949203427</v>
      </c>
      <c r="D1206" s="93"/>
      <c r="E1206" s="93"/>
      <c r="F1206" s="93"/>
      <c r="H1206" s="93"/>
      <c r="I1206" s="93"/>
      <c r="J1206" s="93"/>
      <c r="K1206" s="93"/>
      <c r="L1206" s="93"/>
    </row>
    <row r="1207" spans="1:12" ht="18" customHeight="1" x14ac:dyDescent="0.2">
      <c r="A1207" s="91">
        <v>47000</v>
      </c>
      <c r="B1207" s="47" t="s">
        <v>453</v>
      </c>
      <c r="C1207" s="48">
        <f xml:space="preserve"> ( C983 + C992*(1 - C1001)*'Stability Constants Supersonic'!$C$16*('Supersonic Stability'!$C$4/'Initial Estimates'!$C$5))*('Stability Constants Supersonic'!$C$29/'Initial Estimates'!$C$10) - C992*(1 -C1001)*'Stability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1.9423080634842629</v>
      </c>
      <c r="D1207" s="93"/>
      <c r="E1207" s="93"/>
      <c r="F1207" s="93"/>
      <c r="H1207" s="93"/>
      <c r="I1207" s="93"/>
      <c r="J1207" s="93"/>
      <c r="K1207" s="93"/>
      <c r="L1207" s="93"/>
    </row>
    <row r="1208" spans="1:12" ht="18" customHeight="1" x14ac:dyDescent="0.2">
      <c r="A1208" s="91">
        <v>48000</v>
      </c>
      <c r="B1208" s="47" t="s">
        <v>453</v>
      </c>
      <c r="C1208" s="48">
        <f xml:space="preserve"> ( C984 + C993*(1 - C1002)*'Stability Constants Supersonic'!$C$16*('Supersonic Stability'!$C$4/'Initial Estimates'!$C$5))*('Stability Constants Supersonic'!$C$29/'Initial Estimates'!$C$10) - C993*(1 -C1002)*'Stability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1.9343191878215071</v>
      </c>
      <c r="D1208" s="93"/>
      <c r="E1208" s="93"/>
      <c r="F1208" s="93"/>
      <c r="H1208" s="93"/>
      <c r="I1208" s="93"/>
      <c r="J1208" s="93"/>
      <c r="K1208" s="93"/>
      <c r="L1208" s="93"/>
    </row>
    <row r="1209" spans="1:12" ht="18" customHeight="1" x14ac:dyDescent="0.2">
      <c r="A1209" s="91">
        <v>49000</v>
      </c>
      <c r="B1209" s="47" t="s">
        <v>453</v>
      </c>
      <c r="C1209" s="48">
        <f xml:space="preserve"> ( C985 + C994*(1 - C1003)*'Stability Constants Supersonic'!$C$16*('Supersonic Stability'!$C$4/'Initial Estimates'!$C$5))*('Stability Constants Supersonic'!$C$29/'Initial Estimates'!$C$10) - C994*(1 -C1003)*'Stability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1.9266488958030132</v>
      </c>
      <c r="D1209" s="93"/>
      <c r="E1209" s="93"/>
      <c r="F1209" s="93"/>
      <c r="H1209" s="93"/>
      <c r="I1209" s="93"/>
      <c r="J1209" s="93"/>
      <c r="K1209" s="93"/>
      <c r="L1209" s="93"/>
    </row>
    <row r="1210" spans="1:12" ht="18" customHeight="1" x14ac:dyDescent="0.2">
      <c r="A1210" s="93" t="s">
        <v>562</v>
      </c>
      <c r="B1210" s="47" t="s">
        <v>446</v>
      </c>
      <c r="C1210" s="48">
        <f>(C1025 + C1034* 'Stability Constants Supersonic'!$C$16*'Supersonic Stability'!$C$4/'Initial Estimates'!$C$5)*'Stability Constants Supersonic'!$C$29/'Initial Estimates'!$C$10 - 'Supersonic Stability'!C1034*'Stability Constants Supersonic'!$C$16*'Supersonic Stability'!$C$4/'Initial Estimates'!$C$5*'Stability Constants Supersonic'!$C$21/'Initial Estimates'!$C$10+'Supersonic Stability'!$C$5+('Supersonic Stability'!C1088+'Stability Constants Supersonic'!$C$11*'Supersonic Stability'!C1097)/(CFD!E3*'Initial Estimates'!$C$5*'Initial Estimates'!$C$10)</f>
        <v>3.8775814623175565E-2</v>
      </c>
      <c r="D1210" s="93" t="s">
        <v>125</v>
      </c>
      <c r="E1210" s="93" t="s">
        <v>421</v>
      </c>
      <c r="F1210" s="93" t="s">
        <v>21</v>
      </c>
      <c r="G1210" s="29" t="s">
        <v>458</v>
      </c>
      <c r="H1210" s="110" t="s">
        <v>438</v>
      </c>
      <c r="I1210" s="110"/>
      <c r="J1210" s="110"/>
      <c r="K1210" s="110"/>
      <c r="L1210" s="110"/>
    </row>
    <row r="1211" spans="1:12" ht="18" customHeight="1" x14ac:dyDescent="0.2">
      <c r="A1211" s="91">
        <v>42000</v>
      </c>
      <c r="B1211" s="47" t="s">
        <v>446</v>
      </c>
      <c r="C1211" s="48">
        <f>(C1026 + C1035* 'Stability Constants Supersonic'!$C$16*'Supersonic Stability'!$C$4/'Initial Estimates'!$C$5)*'Stability Constants Supersonic'!$C$29/'Initial Estimates'!$C$10 - 'Supersonic Stability'!C1035*'Stability Constants Supersonic'!$C$16*'Supersonic Stability'!$C$4/'Initial Estimates'!$C$5*'Stability Constants Supersonic'!$C$21/'Initial Estimates'!$C$10+'Supersonic Stability'!$C$5+('Supersonic Stability'!C1089+'Stability Constants Supersonic'!$C$11*'Supersonic Stability'!C1098)/(CFD!E4*'Initial Estimates'!$C$5*'Initial Estimates'!$C$10)</f>
        <v>4.1871547106054965E-2</v>
      </c>
      <c r="D1211" s="93"/>
      <c r="E1211" s="93"/>
      <c r="F1211" s="93"/>
      <c r="H1211" s="93"/>
      <c r="I1211" s="93"/>
      <c r="J1211" s="93"/>
      <c r="K1211" s="93"/>
      <c r="L1211" s="93"/>
    </row>
    <row r="1212" spans="1:12" ht="18" customHeight="1" x14ac:dyDescent="0.2">
      <c r="A1212" s="91">
        <v>43000</v>
      </c>
      <c r="B1212" s="47" t="s">
        <v>446</v>
      </c>
      <c r="C1212" s="48">
        <f>(C1027 + C1036* 'Stability Constants Supersonic'!$C$16*'Supersonic Stability'!$C$4/'Initial Estimates'!$C$5)*'Stability Constants Supersonic'!$C$29/'Initial Estimates'!$C$10 - 'Supersonic Stability'!C1036*'Stability Constants Supersonic'!$C$16*'Supersonic Stability'!$C$4/'Initial Estimates'!$C$5*'Stability Constants Supersonic'!$C$21/'Initial Estimates'!$C$10+'Supersonic Stability'!$C$5+('Supersonic Stability'!C1090+'Stability Constants Supersonic'!$C$11*'Supersonic Stability'!C1099)/(CFD!E5*'Initial Estimates'!$C$5*'Initial Estimates'!$C$10)</f>
        <v>4.5160377020514661E-2</v>
      </c>
      <c r="D1212" s="93"/>
      <c r="E1212" s="93"/>
      <c r="F1212" s="93"/>
      <c r="H1212" s="93"/>
      <c r="I1212" s="93"/>
      <c r="J1212" s="93"/>
      <c r="K1212" s="93"/>
      <c r="L1212" s="93"/>
    </row>
    <row r="1213" spans="1:12" ht="18" customHeight="1" x14ac:dyDescent="0.2">
      <c r="A1213" s="91">
        <v>44000</v>
      </c>
      <c r="B1213" s="47" t="s">
        <v>446</v>
      </c>
      <c r="C1213" s="48">
        <f>(C1028 + C1037* 'Stability Constants Supersonic'!$C$16*'Supersonic Stability'!$C$4/'Initial Estimates'!$C$5)*'Stability Constants Supersonic'!$C$29/'Initial Estimates'!$C$10 - 'Supersonic Stability'!C1037*'Stability Constants Supersonic'!$C$16*'Supersonic Stability'!$C$4/'Initial Estimates'!$C$5*'Stability Constants Supersonic'!$C$21/'Initial Estimates'!$C$10+'Supersonic Stability'!$C$5+('Supersonic Stability'!C1091+'Stability Constants Supersonic'!$C$11*'Supersonic Stability'!C1100)/(CFD!E6*'Initial Estimates'!$C$5*'Initial Estimates'!$C$10)</f>
        <v>4.8676074665805077E-2</v>
      </c>
      <c r="D1213" s="93"/>
      <c r="E1213" s="93"/>
      <c r="F1213" s="93"/>
      <c r="H1213" s="93"/>
      <c r="I1213" s="93"/>
      <c r="J1213" s="93"/>
      <c r="K1213" s="93"/>
      <c r="L1213" s="93"/>
    </row>
    <row r="1214" spans="1:12" ht="18" customHeight="1" x14ac:dyDescent="0.2">
      <c r="A1214" s="91">
        <v>45000</v>
      </c>
      <c r="B1214" s="47" t="s">
        <v>446</v>
      </c>
      <c r="C1214" s="48">
        <f>(C1029 + C1038* 'Stability Constants Supersonic'!$C$16*'Supersonic Stability'!$C$4/'Initial Estimates'!$C$5)*'Stability Constants Supersonic'!$C$29/'Initial Estimates'!$C$10 - 'Supersonic Stability'!C1038*'Stability Constants Supersonic'!$C$16*'Supersonic Stability'!$C$4/'Initial Estimates'!$C$5*'Stability Constants Supersonic'!$C$21/'Initial Estimates'!$C$10+'Supersonic Stability'!$C$5+('Supersonic Stability'!C1092+'Stability Constants Supersonic'!$C$11*'Supersonic Stability'!C1101)/(CFD!E7*'Initial Estimates'!$C$5*'Initial Estimates'!$C$10)</f>
        <v>5.2411403422117184E-2</v>
      </c>
      <c r="D1214" s="93"/>
      <c r="E1214" s="93"/>
      <c r="F1214" s="93"/>
      <c r="H1214" s="93"/>
      <c r="I1214" s="93"/>
      <c r="J1214" s="93"/>
      <c r="K1214" s="93"/>
      <c r="L1214" s="93"/>
    </row>
    <row r="1215" spans="1:12" ht="18" customHeight="1" x14ac:dyDescent="0.2">
      <c r="A1215" s="91">
        <v>46000</v>
      </c>
      <c r="B1215" s="47" t="s">
        <v>446</v>
      </c>
      <c r="C1215" s="48">
        <f>(C1030 + C1039* 'Stability Constants Supersonic'!$C$16*'Supersonic Stability'!$C$4/'Initial Estimates'!$C$5)*'Stability Constants Supersonic'!$C$29/'Initial Estimates'!$C$10 - 'Supersonic Stability'!C1039*'Stability Constants Supersonic'!$C$16*'Supersonic Stability'!$C$4/'Initial Estimates'!$C$5*'Stability Constants Supersonic'!$C$21/'Initial Estimates'!$C$10+'Supersonic Stability'!$C$5+('Supersonic Stability'!C1093+'Stability Constants Supersonic'!$C$11*'Supersonic Stability'!C1102)/(CFD!E8*'Initial Estimates'!$C$5*'Initial Estimates'!$C$10)</f>
        <v>5.6407664245975472E-2</v>
      </c>
      <c r="D1215" s="93"/>
      <c r="E1215" s="93"/>
      <c r="F1215" s="93"/>
      <c r="H1215" s="93"/>
      <c r="I1215" s="93"/>
      <c r="J1215" s="93"/>
      <c r="K1215" s="93"/>
      <c r="L1215" s="93"/>
    </row>
    <row r="1216" spans="1:12" ht="18" customHeight="1" x14ac:dyDescent="0.2">
      <c r="A1216" s="91">
        <v>47000</v>
      </c>
      <c r="B1216" s="47" t="s">
        <v>446</v>
      </c>
      <c r="C1216" s="48">
        <f>(C1031 + C1040* 'Stability Constants Supersonic'!$C$16*'Supersonic Stability'!$C$4/'Initial Estimates'!$C$5)*'Stability Constants Supersonic'!$C$29/'Initial Estimates'!$C$10 - 'Supersonic Stability'!C1040*'Stability Constants Supersonic'!$C$16*'Supersonic Stability'!$C$4/'Initial Estimates'!$C$5*'Stability Constants Supersonic'!$C$21/'Initial Estimates'!$C$10+'Supersonic Stability'!$C$5+('Supersonic Stability'!C1094+'Stability Constants Supersonic'!$C$11*'Supersonic Stability'!C1103)/(CFD!E9*'Initial Estimates'!$C$5*'Initial Estimates'!$C$10)</f>
        <v>6.0676904091630679E-2</v>
      </c>
      <c r="D1216" s="93"/>
      <c r="E1216" s="93"/>
      <c r="F1216" s="93"/>
      <c r="H1216" s="93"/>
      <c r="I1216" s="93"/>
      <c r="J1216" s="93"/>
      <c r="K1216" s="93"/>
      <c r="L1216" s="93"/>
    </row>
    <row r="1217" spans="1:12" ht="18" customHeight="1" x14ac:dyDescent="0.2">
      <c r="A1217" s="91">
        <v>48000</v>
      </c>
      <c r="B1217" s="47" t="s">
        <v>446</v>
      </c>
      <c r="C1217" s="48">
        <f>(C1032 + C1041* 'Stability Constants Supersonic'!$C$16*'Supersonic Stability'!$C$4/'Initial Estimates'!$C$5)*'Stability Constants Supersonic'!$C$29/'Initial Estimates'!$C$10 - 'Supersonic Stability'!C1041*'Stability Constants Supersonic'!$C$16*'Supersonic Stability'!$C$4/'Initial Estimates'!$C$5*'Stability Constants Supersonic'!$C$21/'Initial Estimates'!$C$10+'Supersonic Stability'!$C$5+('Supersonic Stability'!C1095+'Stability Constants Supersonic'!$C$11*'Supersonic Stability'!C1104)/(CFD!E10*'Initial Estimates'!$C$5*'Initial Estimates'!$C$10)</f>
        <v>6.5229083240547658E-2</v>
      </c>
      <c r="D1217" s="93"/>
      <c r="E1217" s="93"/>
      <c r="F1217" s="93"/>
      <c r="H1217" s="93"/>
      <c r="I1217" s="93"/>
      <c r="J1217" s="93"/>
      <c r="K1217" s="93"/>
      <c r="L1217" s="93"/>
    </row>
    <row r="1218" spans="1:12" ht="18" customHeight="1" x14ac:dyDescent="0.2">
      <c r="A1218" s="91">
        <v>49000</v>
      </c>
      <c r="B1218" s="47" t="s">
        <v>446</v>
      </c>
      <c r="C1218" s="48">
        <f>(C1033 + C1042* 'Stability Constants Supersonic'!$C$16*'Supersonic Stability'!$C$4/'Initial Estimates'!$C$5)*'Stability Constants Supersonic'!$C$29/'Initial Estimates'!$C$10 - 'Supersonic Stability'!C1042*'Stability Constants Supersonic'!$C$16*'Supersonic Stability'!$C$4/'Initial Estimates'!$C$5*'Stability Constants Supersonic'!$C$21/'Initial Estimates'!$C$10+'Supersonic Stability'!$C$5+('Supersonic Stability'!C1096+'Stability Constants Supersonic'!$C$11*'Supersonic Stability'!C1105)/(CFD!E11*'Initial Estimates'!$C$5*'Initial Estimates'!$C$10)</f>
        <v>7.0126258702105176E-2</v>
      </c>
      <c r="D1218" s="93"/>
      <c r="E1218" s="93"/>
      <c r="F1218" s="93"/>
      <c r="H1218" s="93"/>
      <c r="I1218" s="93"/>
      <c r="J1218" s="93"/>
      <c r="K1218" s="93"/>
      <c r="L1218" s="93"/>
    </row>
    <row r="1219" spans="1:12" ht="18" customHeight="1" x14ac:dyDescent="0.2">
      <c r="A1219" s="93" t="s">
        <v>507</v>
      </c>
      <c r="B1219" s="47" t="s">
        <v>453</v>
      </c>
      <c r="C1219" s="48">
        <f xml:space="preserve"> ( C1061 + C1070*(1 - C1079)*'Stability Constants Supersonic'!$C$16*('Supersonic Stability'!$C$4/'Initial Estimates'!$C$5))*('Stability Constants Supersonic'!$C$29/'Initial Estimates'!$C$10) - C1070*(1 -C1079)*'Stability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1.9176247902242487</v>
      </c>
      <c r="D1219" s="93"/>
      <c r="E1219" s="93"/>
      <c r="F1219" s="93"/>
      <c r="H1219" s="93"/>
      <c r="I1219" s="93"/>
      <c r="J1219" s="93"/>
      <c r="K1219" s="93"/>
      <c r="L1219" s="93"/>
    </row>
    <row r="1220" spans="1:12" ht="18" customHeight="1" x14ac:dyDescent="0.2">
      <c r="A1220" s="91">
        <v>42000</v>
      </c>
      <c r="B1220" s="47" t="s">
        <v>453</v>
      </c>
      <c r="C1220" s="48">
        <f xml:space="preserve"> ( C1062 + C1071*(1 - C1080)*'Stability Constants Supersonic'!$C$16*('Supersonic Stability'!$C$4/'Initial Estimates'!$C$5))*('Stability Constants Supersonic'!$C$29/'Initial Estimates'!$C$10) - C1071*(1 -C1080)*'Stability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1.9067047106205148</v>
      </c>
      <c r="D1220" s="93"/>
      <c r="E1220" s="93"/>
      <c r="F1220" s="93"/>
      <c r="H1220" s="93"/>
      <c r="I1220" s="93"/>
      <c r="J1220" s="93"/>
      <c r="K1220" s="93"/>
      <c r="L1220" s="93"/>
    </row>
    <row r="1221" spans="1:12" ht="18" customHeight="1" x14ac:dyDescent="0.2">
      <c r="A1221" s="91">
        <v>43000</v>
      </c>
      <c r="B1221" s="47" t="s">
        <v>453</v>
      </c>
      <c r="C1221" s="48">
        <f xml:space="preserve"> ( C1063 + C1072*(1 - C1081)*'Stability Constants Supersonic'!$C$16*('Supersonic Stability'!$C$4/'Initial Estimates'!$C$5))*('Stability Constants Supersonic'!$C$29/'Initial Estimates'!$C$10) - C1072*(1 -C1081)*'Stability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1.8963239610465257</v>
      </c>
      <c r="D1221" s="93"/>
      <c r="E1221" s="93"/>
      <c r="F1221" s="93"/>
      <c r="H1221" s="93"/>
      <c r="I1221" s="93"/>
      <c r="J1221" s="93"/>
      <c r="K1221" s="93"/>
      <c r="L1221" s="93"/>
    </row>
    <row r="1222" spans="1:12" ht="18" customHeight="1" x14ac:dyDescent="0.2">
      <c r="A1222" s="91">
        <v>44000</v>
      </c>
      <c r="B1222" s="47" t="s">
        <v>453</v>
      </c>
      <c r="C1222" s="48">
        <f xml:space="preserve"> ( C1064 + C1073*(1 - C1082)*'Stability Constants Supersonic'!$C$16*('Supersonic Stability'!$C$4/'Initial Estimates'!$C$5))*('Stability Constants Supersonic'!$C$29/'Initial Estimates'!$C$10) - C1073*(1 -C1082)*'Stability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1.8863995154218047</v>
      </c>
      <c r="D1222" s="93"/>
      <c r="E1222" s="93"/>
      <c r="F1222" s="93"/>
      <c r="H1222" s="93"/>
      <c r="I1222" s="93"/>
      <c r="J1222" s="93"/>
      <c r="K1222" s="93"/>
      <c r="L1222" s="93"/>
    </row>
    <row r="1223" spans="1:12" ht="18" customHeight="1" x14ac:dyDescent="0.2">
      <c r="A1223" s="91">
        <v>45000</v>
      </c>
      <c r="B1223" s="47" t="s">
        <v>453</v>
      </c>
      <c r="C1223" s="48">
        <f xml:space="preserve"> ( C1065 + C1074*(1 - C1083)*'Stability Constants Supersonic'!$C$16*('Supersonic Stability'!$C$4/'Initial Estimates'!$C$5))*('Stability Constants Supersonic'!$C$29/'Initial Estimates'!$C$10) - C1074*(1 -C1083)*'Stability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1.8769733956419854</v>
      </c>
      <c r="D1223" s="93"/>
      <c r="E1223" s="93"/>
      <c r="F1223" s="93"/>
      <c r="H1223" s="93"/>
      <c r="I1223" s="93"/>
      <c r="J1223" s="93"/>
      <c r="K1223" s="93"/>
      <c r="L1223" s="93"/>
    </row>
    <row r="1224" spans="1:12" ht="18" customHeight="1" x14ac:dyDescent="0.2">
      <c r="A1224" s="91">
        <v>46000</v>
      </c>
      <c r="B1224" s="47" t="s">
        <v>453</v>
      </c>
      <c r="C1224" s="48">
        <f xml:space="preserve"> ( C1066 + C1075*(1 - C1084)*'Stability Constants Supersonic'!$C$16*('Supersonic Stability'!$C$4/'Initial Estimates'!$C$5))*('Stability Constants Supersonic'!$C$29/'Initial Estimates'!$C$10) - C1075*(1 -C1084)*'Stability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1.8679624790561564</v>
      </c>
      <c r="D1224" s="93"/>
      <c r="E1224" s="93"/>
      <c r="F1224" s="93"/>
      <c r="H1224" s="93"/>
      <c r="I1224" s="93"/>
      <c r="J1224" s="93"/>
      <c r="K1224" s="93"/>
      <c r="L1224" s="93"/>
    </row>
    <row r="1225" spans="1:12" ht="18" customHeight="1" x14ac:dyDescent="0.2">
      <c r="A1225" s="91">
        <v>47000</v>
      </c>
      <c r="B1225" s="47" t="s">
        <v>453</v>
      </c>
      <c r="C1225" s="48">
        <f xml:space="preserve"> ( C1067 + C1076*(1 - C1085)*'Stability Constants Supersonic'!$C$16*('Supersonic Stability'!$C$4/'Initial Estimates'!$C$5))*('Stability Constants Supersonic'!$C$29/'Initial Estimates'!$C$10) - C1076*(1 -C1085)*'Stability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1.859367020713226</v>
      </c>
      <c r="D1225" s="93"/>
      <c r="E1225" s="93"/>
      <c r="F1225" s="93"/>
      <c r="H1225" s="93"/>
      <c r="I1225" s="93"/>
      <c r="J1225" s="93"/>
      <c r="K1225" s="93"/>
      <c r="L1225" s="93"/>
    </row>
    <row r="1226" spans="1:12" ht="18" customHeight="1" x14ac:dyDescent="0.2">
      <c r="A1226" s="91">
        <v>48000</v>
      </c>
      <c r="B1226" s="47" t="s">
        <v>453</v>
      </c>
      <c r="C1226" s="48">
        <f xml:space="preserve"> ( C1068 + C1077*(1 - C1086)*'Stability Constants Supersonic'!$C$16*('Supersonic Stability'!$C$4/'Initial Estimates'!$C$5))*('Stability Constants Supersonic'!$C$29/'Initial Estimates'!$C$10) - C1077*(1 -C1086)*'Stability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1.8511872639450577</v>
      </c>
      <c r="D1226" s="93"/>
      <c r="E1226" s="93"/>
      <c r="F1226" s="93"/>
      <c r="H1226" s="93"/>
      <c r="I1226" s="93"/>
      <c r="J1226" s="93"/>
      <c r="K1226" s="93"/>
      <c r="L1226" s="93"/>
    </row>
    <row r="1227" spans="1:12" ht="18" customHeight="1" x14ac:dyDescent="0.2">
      <c r="A1227" s="91">
        <v>49000</v>
      </c>
      <c r="B1227" s="47" t="s">
        <v>453</v>
      </c>
      <c r="C1227" s="48">
        <f xml:space="preserve"> ( C1069 + C1078*(1 - C1087)*'Stability Constants Supersonic'!$C$16*('Supersonic Stability'!$C$4/'Initial Estimates'!$C$5))*('Stability Constants Supersonic'!$C$29/'Initial Estimates'!$C$10) - C1078*(1 -C1087)*'Stability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1.8433399509626742</v>
      </c>
      <c r="D1227" s="93"/>
      <c r="E1227" s="93"/>
      <c r="F1227" s="93"/>
      <c r="H1227" s="93"/>
      <c r="I1227" s="93"/>
      <c r="J1227" s="93"/>
      <c r="K1227" s="93"/>
      <c r="L1227" s="93"/>
    </row>
    <row r="1228" spans="1:12" ht="18" customHeight="1" x14ac:dyDescent="0.2">
      <c r="A1228" s="93" t="s">
        <v>565</v>
      </c>
      <c r="B1228" s="47" t="s">
        <v>446</v>
      </c>
      <c r="C1228" s="48">
        <f>(C1109 + C1118* 'Stability Constants Supersonic'!$C$16*'Supersonic Stability'!$C$4/'Initial Estimates'!$C$5)*'Stability Constants Supersonic'!$C$29/'Initial Estimates'!$C$10 - 'Supersonic Stability'!C1118*'Stability Constants Supersonic'!$C$16*'Supersonic Stability'!$C$4/'Initial Estimates'!$C$5*'Stability Constants Supersonic'!$C$21/'Initial Estimates'!$C$10+'Supersonic Stability'!$C$5+('Supersonic Stability'!C1172+'Stability Constants Supersonic'!$C$11*'Supersonic Stability'!C1181)/(CFD!F3*'Initial Estimates'!$C$5*'Initial Estimates'!$C$10)</f>
        <v>3.2636942725493515E-2</v>
      </c>
      <c r="D1228" s="93" t="s">
        <v>125</v>
      </c>
      <c r="E1228" s="93" t="s">
        <v>421</v>
      </c>
      <c r="F1228" s="93" t="s">
        <v>21</v>
      </c>
      <c r="G1228" s="29" t="s">
        <v>458</v>
      </c>
      <c r="H1228" s="110" t="s">
        <v>438</v>
      </c>
      <c r="I1228" s="110"/>
      <c r="J1228" s="110"/>
      <c r="K1228" s="110"/>
      <c r="L1228" s="110"/>
    </row>
    <row r="1229" spans="1:12" ht="18" customHeight="1" x14ac:dyDescent="0.2">
      <c r="A1229" s="91">
        <v>42000</v>
      </c>
      <c r="B1229" s="47" t="s">
        <v>446</v>
      </c>
      <c r="C1229" s="48">
        <f>(C1110 + C1119* 'Stability Constants Supersonic'!$C$16*'Supersonic Stability'!$C$4/'Initial Estimates'!$C$5)*'Stability Constants Supersonic'!$C$29/'Initial Estimates'!$C$10 - 'Supersonic Stability'!C1119*'Stability Constants Supersonic'!$C$16*'Supersonic Stability'!$C$4/'Initial Estimates'!$C$5*'Stability Constants Supersonic'!$C$21/'Initial Estimates'!$C$10+'Supersonic Stability'!$C$5+('Supersonic Stability'!C1173+'Stability Constants Supersonic'!$C$11*'Supersonic Stability'!C1182)/(CFD!F4*'Initial Estimates'!$C$5*'Initial Estimates'!$C$10)</f>
        <v>3.5363878580538216E-2</v>
      </c>
      <c r="D1229" s="93"/>
      <c r="E1229" s="93"/>
      <c r="F1229" s="93"/>
      <c r="H1229" s="93"/>
      <c r="I1229" s="93"/>
      <c r="J1229" s="93"/>
      <c r="K1229" s="93"/>
      <c r="L1229" s="93"/>
    </row>
    <row r="1230" spans="1:12" ht="18" customHeight="1" x14ac:dyDescent="0.2">
      <c r="A1230" s="91">
        <v>43000</v>
      </c>
      <c r="B1230" s="47" t="s">
        <v>446</v>
      </c>
      <c r="C1230" s="48">
        <f>(C1111 + C1120* 'Stability Constants Supersonic'!$C$16*'Supersonic Stability'!$C$4/'Initial Estimates'!$C$5)*'Stability Constants Supersonic'!$C$29/'Initial Estimates'!$C$10 - 'Supersonic Stability'!C1120*'Stability Constants Supersonic'!$C$16*'Supersonic Stability'!$C$4/'Initial Estimates'!$C$5*'Stability Constants Supersonic'!$C$21/'Initial Estimates'!$C$10+'Supersonic Stability'!$C$5+('Supersonic Stability'!C1174+'Stability Constants Supersonic'!$C$11*'Supersonic Stability'!C1183)/(CFD!F5*'Initial Estimates'!$C$5*'Initial Estimates'!$C$10)</f>
        <v>3.826025569326133E-2</v>
      </c>
      <c r="D1230" s="93"/>
      <c r="E1230" s="93"/>
      <c r="F1230" s="93"/>
      <c r="H1230" s="93"/>
      <c r="I1230" s="93"/>
      <c r="J1230" s="93"/>
      <c r="K1230" s="93"/>
      <c r="L1230" s="93"/>
    </row>
    <row r="1231" spans="1:12" ht="18" customHeight="1" x14ac:dyDescent="0.2">
      <c r="A1231" s="91">
        <v>44000</v>
      </c>
      <c r="B1231" s="47" t="s">
        <v>446</v>
      </c>
      <c r="C1231" s="48">
        <f>(C1112 + C1121* 'Stability Constants Supersonic'!$C$16*'Supersonic Stability'!$C$4/'Initial Estimates'!$C$5)*'Stability Constants Supersonic'!$C$29/'Initial Estimates'!$C$10 - 'Supersonic Stability'!C1121*'Stability Constants Supersonic'!$C$16*'Supersonic Stability'!$C$4/'Initial Estimates'!$C$5*'Stability Constants Supersonic'!$C$21/'Initial Estimates'!$C$10+'Supersonic Stability'!$C$5+('Supersonic Stability'!C1175+'Stability Constants Supersonic'!$C$11*'Supersonic Stability'!C1184)/(CFD!F6*'Initial Estimates'!$C$5*'Initial Estimates'!$C$10)</f>
        <v>4.1355720122049806E-2</v>
      </c>
      <c r="D1231" s="93"/>
      <c r="E1231" s="93"/>
      <c r="F1231" s="93"/>
      <c r="H1231" s="93"/>
      <c r="I1231" s="93"/>
      <c r="J1231" s="93"/>
      <c r="K1231" s="93"/>
      <c r="L1231" s="93"/>
    </row>
    <row r="1232" spans="1:12" ht="18" customHeight="1" x14ac:dyDescent="0.2">
      <c r="A1232" s="91">
        <v>45000</v>
      </c>
      <c r="B1232" s="47" t="s">
        <v>446</v>
      </c>
      <c r="C1232" s="48">
        <f>(C1113 + C1122* 'Stability Constants Supersonic'!$C$16*'Supersonic Stability'!$C$4/'Initial Estimates'!$C$5)*'Stability Constants Supersonic'!$C$29/'Initial Estimates'!$C$10 - 'Supersonic Stability'!C1122*'Stability Constants Supersonic'!$C$16*'Supersonic Stability'!$C$4/'Initial Estimates'!$C$5*'Stability Constants Supersonic'!$C$21/'Initial Estimates'!$C$10+'Supersonic Stability'!$C$5+('Supersonic Stability'!C1176+'Stability Constants Supersonic'!$C$11*'Supersonic Stability'!C1185)/(CFD!F7*'Initial Estimates'!$C$5*'Initial Estimates'!$C$10)</f>
        <v>4.4643799447625782E-2</v>
      </c>
      <c r="D1232" s="93"/>
      <c r="E1232" s="93"/>
      <c r="F1232" s="93"/>
      <c r="H1232" s="93"/>
      <c r="I1232" s="93"/>
      <c r="J1232" s="93"/>
      <c r="K1232" s="93"/>
      <c r="L1232" s="93"/>
    </row>
    <row r="1233" spans="1:12" ht="18" customHeight="1" x14ac:dyDescent="0.2">
      <c r="A1233" s="91">
        <v>46000</v>
      </c>
      <c r="B1233" s="47" t="s">
        <v>446</v>
      </c>
      <c r="C1233" s="48">
        <f>(C1114 + C1123* 'Stability Constants Supersonic'!$C$16*'Supersonic Stability'!$C$4/'Initial Estimates'!$C$5)*'Stability Constants Supersonic'!$C$29/'Initial Estimates'!$C$10 - 'Supersonic Stability'!C1123*'Stability Constants Supersonic'!$C$16*'Supersonic Stability'!$C$4/'Initial Estimates'!$C$5*'Stability Constants Supersonic'!$C$21/'Initial Estimates'!$C$10+'Supersonic Stability'!$C$5+('Supersonic Stability'!C1177+'Stability Constants Supersonic'!$C$11*'Supersonic Stability'!C1186)/(CFD!F8*'Initial Estimates'!$C$5*'Initial Estimates'!$C$10)</f>
        <v>4.8160740281835784E-2</v>
      </c>
      <c r="D1233" s="93"/>
      <c r="E1233" s="93"/>
      <c r="F1233" s="93"/>
      <c r="H1233" s="93"/>
      <c r="I1233" s="93"/>
      <c r="J1233" s="93"/>
      <c r="K1233" s="93"/>
      <c r="L1233" s="93"/>
    </row>
    <row r="1234" spans="1:12" ht="18" customHeight="1" x14ac:dyDescent="0.2">
      <c r="A1234" s="91">
        <v>47000</v>
      </c>
      <c r="B1234" s="47" t="s">
        <v>446</v>
      </c>
      <c r="C1234" s="48">
        <f>(C1115 + C1124* 'Stability Constants Supersonic'!$C$16*'Supersonic Stability'!$C$4/'Initial Estimates'!$C$5)*'Stability Constants Supersonic'!$C$29/'Initial Estimates'!$C$10 - 'Supersonic Stability'!C1124*'Stability Constants Supersonic'!$C$16*'Supersonic Stability'!$C$4/'Initial Estimates'!$C$5*'Stability Constants Supersonic'!$C$21/'Initial Estimates'!$C$10+'Supersonic Stability'!$C$5+('Supersonic Stability'!C1178+'Stability Constants Supersonic'!$C$11*'Supersonic Stability'!C1187)/(CFD!F9*'Initial Estimates'!$C$5*'Initial Estimates'!$C$10)</f>
        <v>5.1917021265466191E-2</v>
      </c>
      <c r="D1234" s="93"/>
      <c r="E1234" s="93"/>
      <c r="F1234" s="93"/>
      <c r="H1234" s="93"/>
      <c r="I1234" s="93"/>
      <c r="J1234" s="93"/>
      <c r="K1234" s="93"/>
      <c r="L1234" s="93"/>
    </row>
    <row r="1235" spans="1:12" ht="18" customHeight="1" x14ac:dyDescent="0.2">
      <c r="A1235" s="91">
        <v>48000</v>
      </c>
      <c r="B1235" s="47" t="s">
        <v>446</v>
      </c>
      <c r="C1235" s="48">
        <f>(C1116 + C1125* 'Stability Constants Supersonic'!$C$16*'Supersonic Stability'!$C$4/'Initial Estimates'!$C$5)*'Stability Constants Supersonic'!$C$29/'Initial Estimates'!$C$10 - 'Supersonic Stability'!C1125*'Stability Constants Supersonic'!$C$16*'Supersonic Stability'!$C$4/'Initial Estimates'!$C$5*'Stability Constants Supersonic'!$C$21/'Initial Estimates'!$C$10+'Supersonic Stability'!$C$5+('Supersonic Stability'!C1179+'Stability Constants Supersonic'!$C$11*'Supersonic Stability'!C1188)/(CFD!F10*'Initial Estimates'!$C$5*'Initial Estimates'!$C$10)</f>
        <v>5.5921278485405027E-2</v>
      </c>
      <c r="D1235" s="93"/>
      <c r="E1235" s="93"/>
      <c r="F1235" s="93"/>
      <c r="H1235" s="93"/>
      <c r="I1235" s="93"/>
      <c r="J1235" s="93"/>
      <c r="K1235" s="93"/>
      <c r="L1235" s="93"/>
    </row>
    <row r="1236" spans="1:12" ht="18" customHeight="1" x14ac:dyDescent="0.2">
      <c r="A1236" s="91">
        <v>49000</v>
      </c>
      <c r="B1236" s="47" t="s">
        <v>446</v>
      </c>
      <c r="C1236" s="48">
        <f>(C1117 + C1126* 'Stability Constants Supersonic'!$C$16*'Supersonic Stability'!$C$4/'Initial Estimates'!$C$5)*'Stability Constants Supersonic'!$C$29/'Initial Estimates'!$C$10 - 'Supersonic Stability'!C1126*'Stability Constants Supersonic'!$C$16*'Supersonic Stability'!$C$4/'Initial Estimates'!$C$5*'Stability Constants Supersonic'!$C$21/'Initial Estimates'!$C$10+'Supersonic Stability'!$C$5+('Supersonic Stability'!C1180+'Stability Constants Supersonic'!$C$11*'Supersonic Stability'!C1189)/(CFD!F11*'Initial Estimates'!$C$5*'Initial Estimates'!$C$10)</f>
        <v>6.0227952440132772E-2</v>
      </c>
      <c r="D1236" s="93"/>
      <c r="E1236" s="93"/>
      <c r="F1236" s="93"/>
      <c r="H1236" s="93"/>
      <c r="I1236" s="93"/>
      <c r="J1236" s="93"/>
      <c r="K1236" s="93"/>
      <c r="L1236" s="93"/>
    </row>
    <row r="1237" spans="1:12" ht="18" customHeight="1" x14ac:dyDescent="0.2">
      <c r="A1237" s="93" t="s">
        <v>505</v>
      </c>
      <c r="B1237" s="47" t="s">
        <v>453</v>
      </c>
      <c r="C1237" s="48">
        <f xml:space="preserve"> ( C1145 + C1154*(1 - C1163)*'Stability Constants Supersonic'!$C$16*('Supersonic Stability'!$C$4/'Initial Estimates'!$C$5))*('Stability Constants Supersonic'!$C$29/'Initial Estimates'!$C$10) - C1154*(1 -C1163)*'Stability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1.8468673772267867</v>
      </c>
      <c r="D1237" s="93"/>
      <c r="E1237" s="93"/>
      <c r="F1237" s="93"/>
      <c r="H1237" s="93"/>
      <c r="I1237" s="92"/>
      <c r="J1237" s="92"/>
      <c r="K1237" s="92"/>
      <c r="L1237" s="92"/>
    </row>
    <row r="1238" spans="1:12" ht="18" customHeight="1" x14ac:dyDescent="0.2">
      <c r="A1238" s="91">
        <v>42000</v>
      </c>
      <c r="B1238" s="47" t="s">
        <v>453</v>
      </c>
      <c r="C1238" s="48">
        <f xml:space="preserve"> ( C1146 + C1155*(1 - C1164)*'Stability Constants Supersonic'!$C$16*('Supersonic Stability'!$C$4/'Initial Estimates'!$C$5))*('Stability Constants Supersonic'!$C$29/'Initial Estimates'!$C$10) - C1155*(1 -C1164)*'Stability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1.8342361625156394</v>
      </c>
      <c r="D1238" s="93"/>
      <c r="E1238" s="93"/>
      <c r="F1238" s="93"/>
      <c r="H1238" s="93"/>
      <c r="I1238" s="92"/>
      <c r="J1238" s="92"/>
      <c r="K1238" s="92"/>
      <c r="L1238" s="92"/>
    </row>
    <row r="1239" spans="1:12" ht="18" customHeight="1" x14ac:dyDescent="0.2">
      <c r="A1239" s="91">
        <v>43000</v>
      </c>
      <c r="B1239" s="47" t="s">
        <v>453</v>
      </c>
      <c r="C1239" s="48">
        <f xml:space="preserve"> ( C1147 + C1156*(1 - C1165)*'Stability Constants Supersonic'!$C$16*('Supersonic Stability'!$C$4/'Initial Estimates'!$C$5))*('Stability Constants Supersonic'!$C$29/'Initial Estimates'!$C$10) - C1156*(1 -C1165)*'Stability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1.8222815540290993</v>
      </c>
      <c r="D1239" s="93"/>
      <c r="E1239" s="93"/>
      <c r="F1239" s="93"/>
      <c r="H1239" s="93"/>
      <c r="I1239" s="92"/>
      <c r="J1239" s="92"/>
      <c r="K1239" s="92"/>
      <c r="L1239" s="92"/>
    </row>
    <row r="1240" spans="1:12" ht="18" customHeight="1" x14ac:dyDescent="0.2">
      <c r="A1240" s="91">
        <v>44000</v>
      </c>
      <c r="B1240" s="47" t="s">
        <v>453</v>
      </c>
      <c r="C1240" s="48">
        <f xml:space="preserve"> ( C1148 + C1157*(1 - C1166)*'Stability Constants Supersonic'!$C$16*('Supersonic Stability'!$C$4/'Initial Estimates'!$C$5))*('Stability Constants Supersonic'!$C$29/'Initial Estimates'!$C$10) - C1157*(1 -C1166)*'Stability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1.8109002702504524</v>
      </c>
      <c r="D1240" s="93"/>
      <c r="E1240" s="93"/>
      <c r="F1240" s="93"/>
      <c r="H1240" s="93"/>
      <c r="I1240" s="92"/>
      <c r="J1240" s="92"/>
      <c r="K1240" s="92"/>
      <c r="L1240" s="92"/>
    </row>
    <row r="1241" spans="1:12" ht="18" customHeight="1" x14ac:dyDescent="0.2">
      <c r="A1241" s="91">
        <v>45000</v>
      </c>
      <c r="B1241" s="47" t="s">
        <v>453</v>
      </c>
      <c r="C1241" s="48">
        <f xml:space="preserve"> ( C1149 + C1158*(1 - C1167)*'Stability Constants Supersonic'!$C$16*('Supersonic Stability'!$C$4/'Initial Estimates'!$C$5))*('Stability Constants Supersonic'!$C$29/'Initial Estimates'!$C$10) - C1158*(1 -C1167)*'Stability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1.8001335506133649</v>
      </c>
      <c r="D1241" s="93"/>
      <c r="E1241" s="93"/>
      <c r="F1241" s="93"/>
      <c r="H1241" s="93"/>
      <c r="I1241" s="92"/>
      <c r="J1241" s="92"/>
      <c r="K1241" s="92"/>
      <c r="L1241" s="92"/>
    </row>
    <row r="1242" spans="1:12" ht="18" customHeight="1" x14ac:dyDescent="0.2">
      <c r="A1242" s="91">
        <v>46000</v>
      </c>
      <c r="B1242" s="47" t="s">
        <v>453</v>
      </c>
      <c r="C1242" s="48">
        <f xml:space="preserve"> ( C1150 + C1159*(1 - C1168)*'Stability Constants Supersonic'!$C$16*('Supersonic Stability'!$C$4/'Initial Estimates'!$C$5))*('Stability Constants Supersonic'!$C$29/'Initial Estimates'!$C$10) - C1159*(1 -C1168)*'Stability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1.7898801461082674</v>
      </c>
      <c r="D1242" s="93"/>
      <c r="E1242" s="93"/>
      <c r="F1242" s="93"/>
      <c r="H1242" s="93"/>
      <c r="I1242" s="92"/>
      <c r="J1242" s="92"/>
      <c r="K1242" s="92"/>
      <c r="L1242" s="92"/>
    </row>
    <row r="1243" spans="1:12" ht="18" customHeight="1" x14ac:dyDescent="0.2">
      <c r="A1243" s="91">
        <v>47000</v>
      </c>
      <c r="B1243" s="47" t="s">
        <v>453</v>
      </c>
      <c r="C1243" s="48">
        <f xml:space="preserve"> ( C1151 + C1160*(1 - C1169)*'Stability Constants Supersonic'!$C$16*('Supersonic Stability'!$C$4/'Initial Estimates'!$C$5))*('Stability Constants Supersonic'!$C$29/'Initial Estimates'!$C$10) - C1160*(1 -C1169)*'Stability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1.7801349084507878</v>
      </c>
      <c r="D1243" s="93"/>
      <c r="E1243" s="93"/>
      <c r="F1243" s="93"/>
      <c r="H1243" s="93"/>
      <c r="I1243" s="92"/>
      <c r="J1243" s="92"/>
      <c r="K1243" s="92"/>
      <c r="L1243" s="92"/>
    </row>
    <row r="1244" spans="1:12" ht="18" customHeight="1" x14ac:dyDescent="0.2">
      <c r="A1244" s="91">
        <v>48000</v>
      </c>
      <c r="B1244" s="47" t="s">
        <v>453</v>
      </c>
      <c r="C1244" s="48">
        <f xml:space="preserve"> ( C1152 + C1161*(1 - C1170)*'Stability Constants Supersonic'!$C$16*('Supersonic Stability'!$C$4/'Initial Estimates'!$C$5))*('Stability Constants Supersonic'!$C$29/'Initial Estimates'!$C$10) - C1161*(1 -C1170)*'Stability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1.7708929601380246</v>
      </c>
      <c r="D1244" s="93"/>
      <c r="E1244" s="93"/>
      <c r="F1244" s="93"/>
      <c r="H1244" s="93"/>
      <c r="I1244" s="92"/>
      <c r="J1244" s="92"/>
      <c r="K1244" s="92"/>
      <c r="L1244" s="92"/>
    </row>
    <row r="1245" spans="1:12" ht="18" customHeight="1" x14ac:dyDescent="0.2">
      <c r="A1245" s="91">
        <v>49000</v>
      </c>
      <c r="B1245" s="47" t="s">
        <v>453</v>
      </c>
      <c r="C1245" s="48">
        <f xml:space="preserve"> ( C1153 + C1162*(1 - C1171)*'Stability Constants Supersonic'!$C$16*('Supersonic Stability'!$C$4/'Initial Estimates'!$C$5))*('Stability Constants Supersonic'!$C$29/'Initial Estimates'!$C$10) - C1162*(1 -C1171)*'Stability Constants Supersonic'!$C$16*'Supersonic Stability'!$C$3 + 2*('Stability Constants Supersonic'!$C$4-'Stability Constants Supersonic'!$C$3)*'Stability Constants Supersonic'!$C$14/('Initial Estimates'!$C$10*'Initial Estimates'!$C$5) + 2*'Stability Constants Supersonic'!$C$11*('Stability Constants Supersonic'!$C$6-'Stability Constants Supersonic'!$C$5)*'Stability Constants Supersonic'!$C$15/('Initial Estimates'!$C$10*'Initial Estimates'!$C$5)</f>
        <v>1.7620558193100955</v>
      </c>
      <c r="D1245" s="93"/>
      <c r="E1245" s="93"/>
      <c r="F1245" s="93"/>
      <c r="H1245" s="93"/>
      <c r="I1245" s="92"/>
      <c r="J1245" s="92"/>
      <c r="K1245" s="92"/>
      <c r="L1245" s="92"/>
    </row>
    <row r="1246" spans="1:12" ht="18" customHeight="1" x14ac:dyDescent="0.2">
      <c r="A1246" s="118" t="s">
        <v>508</v>
      </c>
      <c r="B1246" s="119"/>
      <c r="C1246" s="119"/>
      <c r="D1246" s="119"/>
      <c r="E1246" s="119"/>
      <c r="F1246" s="119"/>
      <c r="G1246" s="119"/>
      <c r="H1246" s="119"/>
      <c r="I1246" s="119"/>
      <c r="J1246" s="119"/>
      <c r="K1246" s="119"/>
      <c r="L1246" s="120"/>
    </row>
    <row r="1247" spans="1:12" ht="18" customHeight="1" x14ac:dyDescent="0.2">
      <c r="A1247" s="23" t="s">
        <v>5</v>
      </c>
      <c r="B1247" s="23" t="s">
        <v>96</v>
      </c>
      <c r="C1247" s="64" t="s">
        <v>7</v>
      </c>
      <c r="D1247" s="64" t="s">
        <v>125</v>
      </c>
      <c r="E1247" s="64" t="s">
        <v>8</v>
      </c>
      <c r="F1247" s="64" t="s">
        <v>9</v>
      </c>
      <c r="G1247" s="31" t="s">
        <v>10</v>
      </c>
      <c r="H1247" s="122" t="s">
        <v>11</v>
      </c>
      <c r="I1247" s="123"/>
      <c r="J1247" s="123"/>
      <c r="K1247" s="123"/>
      <c r="L1247" s="124"/>
    </row>
    <row r="1248" spans="1:12" ht="18" customHeight="1" x14ac:dyDescent="0.2">
      <c r="A1248" s="65" t="s">
        <v>410</v>
      </c>
      <c r="B1248" s="63" t="s">
        <v>411</v>
      </c>
      <c r="C1248" s="13">
        <f>C1249/'Initial Estimates'!$C$5*'Stability Constants Supersonic'!$C$10/'Initial Estimates'!$C$10</f>
        <v>0.24487131718436378</v>
      </c>
      <c r="D1248" s="63" t="s">
        <v>125</v>
      </c>
      <c r="E1248" s="63" t="s">
        <v>137</v>
      </c>
      <c r="F1248" s="63" t="s">
        <v>14</v>
      </c>
      <c r="G1248" s="29" t="s">
        <v>137</v>
      </c>
      <c r="H1248" s="132" t="s">
        <v>412</v>
      </c>
      <c r="I1248" s="132"/>
      <c r="J1248" s="132"/>
      <c r="K1248" s="132"/>
      <c r="L1248" s="132"/>
    </row>
    <row r="1249" spans="1:12" ht="18" customHeight="1" x14ac:dyDescent="0.2">
      <c r="A1249" s="65" t="s">
        <v>375</v>
      </c>
      <c r="B1249" s="63" t="s">
        <v>376</v>
      </c>
      <c r="C1249" s="13">
        <f>C4</f>
        <v>200</v>
      </c>
      <c r="D1249" s="63" t="s">
        <v>125</v>
      </c>
      <c r="E1249" s="63" t="s">
        <v>222</v>
      </c>
      <c r="F1249" s="63" t="s">
        <v>21</v>
      </c>
      <c r="G1249" s="29" t="s">
        <v>456</v>
      </c>
      <c r="H1249" s="128" t="s">
        <v>382</v>
      </c>
      <c r="I1249" s="128"/>
      <c r="J1249" s="128"/>
      <c r="K1249" s="128"/>
      <c r="L1249" s="128"/>
    </row>
    <row r="1250" spans="1:12" ht="18" customHeight="1" x14ac:dyDescent="0.2">
      <c r="A1250" s="65" t="s">
        <v>353</v>
      </c>
      <c r="B1250" s="63" t="s">
        <v>354</v>
      </c>
      <c r="C1250" s="13">
        <v>0</v>
      </c>
      <c r="D1250" s="63" t="s">
        <v>125</v>
      </c>
      <c r="E1250" s="63" t="s">
        <v>137</v>
      </c>
      <c r="F1250" s="63" t="s">
        <v>14</v>
      </c>
      <c r="G1250" s="29" t="s">
        <v>355</v>
      </c>
      <c r="H1250" s="110" t="s">
        <v>413</v>
      </c>
      <c r="I1250" s="110"/>
      <c r="J1250" s="110"/>
      <c r="K1250" s="110"/>
      <c r="L1250" s="110"/>
    </row>
    <row r="1251" spans="1:12" ht="18" customHeight="1" x14ac:dyDescent="0.2">
      <c r="A1251" s="65" t="s">
        <v>339</v>
      </c>
      <c r="B1251" s="63" t="s">
        <v>340</v>
      </c>
      <c r="C1251" s="13">
        <v>0</v>
      </c>
      <c r="D1251" s="13" t="s">
        <v>125</v>
      </c>
      <c r="E1251" s="63" t="s">
        <v>137</v>
      </c>
      <c r="F1251" s="63" t="s">
        <v>14</v>
      </c>
      <c r="G1251" s="29" t="s">
        <v>418</v>
      </c>
      <c r="H1251" s="127" t="s">
        <v>341</v>
      </c>
      <c r="I1251" s="127"/>
      <c r="J1251" s="127"/>
      <c r="K1251" s="127"/>
      <c r="L1251" s="127"/>
    </row>
    <row r="1252" spans="1:12" ht="18" customHeight="1" x14ac:dyDescent="0.2">
      <c r="A1252" s="65" t="s">
        <v>414</v>
      </c>
      <c r="B1252" s="63" t="s">
        <v>415</v>
      </c>
      <c r="C1252" s="13">
        <f>2*C1256/(PI()*'Initial Estimates'!C59)*(1+C1251)</f>
        <v>3.9088454023369495E-3</v>
      </c>
      <c r="D1252" s="63" t="s">
        <v>125</v>
      </c>
      <c r="E1252" s="63" t="s">
        <v>137</v>
      </c>
      <c r="F1252" s="63" t="s">
        <v>14</v>
      </c>
      <c r="G1252" s="29" t="s">
        <v>416</v>
      </c>
      <c r="H1252" s="110" t="s">
        <v>417</v>
      </c>
      <c r="I1252" s="110"/>
      <c r="J1252" s="110"/>
      <c r="K1252" s="110"/>
      <c r="L1252" s="110"/>
    </row>
    <row r="1253" spans="1:12" ht="18" customHeight="1" x14ac:dyDescent="0.2">
      <c r="A1253" s="131" t="s">
        <v>501</v>
      </c>
      <c r="B1253" s="121"/>
      <c r="C1253" s="121"/>
      <c r="D1253" s="121"/>
      <c r="E1253" s="121"/>
      <c r="F1253" s="121"/>
      <c r="G1253" s="121"/>
      <c r="H1253" s="121"/>
      <c r="I1253" s="121"/>
      <c r="J1253" s="121"/>
      <c r="K1253" s="121"/>
      <c r="L1253" s="125"/>
    </row>
    <row r="1254" spans="1:12" ht="18" customHeight="1" x14ac:dyDescent="0.2">
      <c r="A1254" s="23" t="s">
        <v>5</v>
      </c>
      <c r="B1254" s="23" t="s">
        <v>96</v>
      </c>
      <c r="C1254" s="64" t="s">
        <v>7</v>
      </c>
      <c r="D1254" s="64" t="s">
        <v>125</v>
      </c>
      <c r="E1254" s="64" t="s">
        <v>8</v>
      </c>
      <c r="F1254" s="64" t="s">
        <v>9</v>
      </c>
      <c r="G1254" s="31" t="s">
        <v>10</v>
      </c>
      <c r="H1254" s="122" t="s">
        <v>11</v>
      </c>
      <c r="I1254" s="123"/>
      <c r="J1254" s="123"/>
      <c r="K1254" s="123"/>
      <c r="L1254" s="124"/>
    </row>
    <row r="1255" spans="1:12" ht="18" customHeight="1" x14ac:dyDescent="0.2">
      <c r="A1255" s="63" t="s">
        <v>379</v>
      </c>
      <c r="B1255" s="63" t="s">
        <v>380</v>
      </c>
      <c r="C1255" s="36">
        <v>1.6</v>
      </c>
      <c r="D1255" s="63" t="s">
        <v>125</v>
      </c>
      <c r="E1255" s="63" t="s">
        <v>137</v>
      </c>
      <c r="F1255" s="63" t="s">
        <v>484</v>
      </c>
      <c r="G1255" s="29" t="s">
        <v>137</v>
      </c>
      <c r="H1255" s="126" t="s">
        <v>309</v>
      </c>
      <c r="I1255" s="126"/>
      <c r="J1255" s="126"/>
      <c r="K1255" s="126"/>
      <c r="L1255" s="126"/>
    </row>
    <row r="1256" spans="1:12" ht="18" customHeight="1" x14ac:dyDescent="0.2">
      <c r="A1256" s="63" t="s">
        <v>405</v>
      </c>
      <c r="B1256" s="63" t="s">
        <v>406</v>
      </c>
      <c r="C1256" s="36">
        <v>0.1535</v>
      </c>
      <c r="D1256" s="63" t="s">
        <v>125</v>
      </c>
      <c r="E1256" s="63" t="s">
        <v>137</v>
      </c>
      <c r="F1256" s="63" t="s">
        <v>399</v>
      </c>
      <c r="G1256" s="29" t="s">
        <v>485</v>
      </c>
      <c r="H1256" s="127" t="s">
        <v>486</v>
      </c>
      <c r="I1256" s="127"/>
      <c r="J1256" s="127"/>
      <c r="K1256" s="127"/>
      <c r="L1256" s="127"/>
    </row>
    <row r="1257" spans="1:12" ht="18" customHeight="1" x14ac:dyDescent="0.2">
      <c r="A1257" s="63" t="s">
        <v>447</v>
      </c>
      <c r="B1257" s="47" t="s">
        <v>448</v>
      </c>
      <c r="C1257" s="48">
        <v>7.4071346879138633E-2</v>
      </c>
      <c r="D1257" s="63" t="s">
        <v>125</v>
      </c>
      <c r="E1257" s="63" t="s">
        <v>137</v>
      </c>
      <c r="F1257" s="63" t="s">
        <v>399</v>
      </c>
      <c r="G1257" s="29" t="s">
        <v>137</v>
      </c>
      <c r="H1257" s="127" t="s">
        <v>449</v>
      </c>
      <c r="I1257" s="127"/>
      <c r="J1257" s="127"/>
      <c r="K1257" s="127"/>
      <c r="L1257" s="127"/>
    </row>
    <row r="1258" spans="1:12" ht="18" customHeight="1" x14ac:dyDescent="0.2">
      <c r="A1258" s="63" t="s">
        <v>403</v>
      </c>
      <c r="B1258" s="63" t="s">
        <v>436</v>
      </c>
      <c r="C1258" s="36">
        <f>2.8*PI()/180</f>
        <v>4.8869219055841226E-2</v>
      </c>
      <c r="D1258" s="63" t="s">
        <v>125</v>
      </c>
      <c r="E1258" s="63" t="s">
        <v>407</v>
      </c>
      <c r="F1258" s="63" t="s">
        <v>9</v>
      </c>
      <c r="G1258" s="29" t="s">
        <v>137</v>
      </c>
      <c r="H1258" s="127" t="s">
        <v>409</v>
      </c>
      <c r="I1258" s="127"/>
      <c r="J1258" s="127"/>
      <c r="K1258" s="127"/>
      <c r="L1258" s="127"/>
    </row>
    <row r="1259" spans="1:12" ht="18" customHeight="1" x14ac:dyDescent="0.2">
      <c r="A1259" s="63" t="s">
        <v>480</v>
      </c>
      <c r="B1259" s="47" t="s">
        <v>481</v>
      </c>
      <c r="C1259" s="48">
        <f>C1257/C1261</f>
        <v>2.3581816784350666E-2</v>
      </c>
      <c r="D1259" s="63" t="s">
        <v>125</v>
      </c>
      <c r="E1259" s="63" t="s">
        <v>407</v>
      </c>
      <c r="F1259" s="63" t="s">
        <v>21</v>
      </c>
      <c r="G1259" s="29" t="s">
        <v>482</v>
      </c>
      <c r="H1259" s="127" t="s">
        <v>483</v>
      </c>
      <c r="I1259" s="127"/>
      <c r="J1259" s="127"/>
      <c r="K1259" s="127"/>
      <c r="L1259" s="127"/>
    </row>
    <row r="1260" spans="1:12" ht="18" customHeight="1" x14ac:dyDescent="0.2">
      <c r="A1260" s="63" t="s">
        <v>419</v>
      </c>
      <c r="B1260" s="63" t="s">
        <v>420</v>
      </c>
      <c r="C1260" s="36">
        <f>C1256/C1258</f>
        <v>3.1410364840207632</v>
      </c>
      <c r="D1260" s="63" t="s">
        <v>125</v>
      </c>
      <c r="E1260" s="63" t="s">
        <v>421</v>
      </c>
      <c r="F1260" s="63" t="s">
        <v>21</v>
      </c>
      <c r="G1260" s="29" t="s">
        <v>422</v>
      </c>
      <c r="H1260" s="110" t="s">
        <v>423</v>
      </c>
      <c r="I1260" s="110"/>
      <c r="J1260" s="110"/>
      <c r="K1260" s="110"/>
      <c r="L1260" s="110"/>
    </row>
    <row r="1261" spans="1:12" ht="18" customHeight="1" x14ac:dyDescent="0.2">
      <c r="A1261" s="63" t="s">
        <v>425</v>
      </c>
      <c r="B1261" s="63" t="s">
        <v>426</v>
      </c>
      <c r="C1261" s="36">
        <f>C1260</f>
        <v>3.1410364840207632</v>
      </c>
      <c r="D1261" s="63" t="s">
        <v>125</v>
      </c>
      <c r="E1261" s="63" t="s">
        <v>421</v>
      </c>
      <c r="F1261" s="63" t="s">
        <v>21</v>
      </c>
      <c r="G1261" s="29" t="s">
        <v>427</v>
      </c>
      <c r="H1261" s="110" t="s">
        <v>428</v>
      </c>
      <c r="I1261" s="110"/>
      <c r="J1261" s="110"/>
      <c r="K1261" s="110"/>
      <c r="L1261" s="110"/>
    </row>
    <row r="1262" spans="1:12" ht="18" customHeight="1" x14ac:dyDescent="0.2">
      <c r="A1262" s="65" t="s">
        <v>429</v>
      </c>
      <c r="B1262" s="63" t="s">
        <v>430</v>
      </c>
      <c r="C1262" s="36">
        <f>$C$7/C1258</f>
        <v>0.37462939468862283</v>
      </c>
      <c r="D1262" s="63" t="s">
        <v>125</v>
      </c>
      <c r="E1262" s="63" t="s">
        <v>431</v>
      </c>
      <c r="F1262" s="63" t="s">
        <v>21</v>
      </c>
      <c r="G1262" s="29" t="s">
        <v>432</v>
      </c>
      <c r="H1262" s="110" t="s">
        <v>433</v>
      </c>
      <c r="I1262" s="110"/>
      <c r="J1262" s="110"/>
      <c r="K1262" s="110"/>
      <c r="L1262" s="110"/>
    </row>
    <row r="1263" spans="1:12" ht="18" customHeight="1" x14ac:dyDescent="0.2">
      <c r="A1263" s="63" t="s">
        <v>434</v>
      </c>
      <c r="B1263" s="63" t="s">
        <v>435</v>
      </c>
      <c r="C1263" s="36">
        <f>2*'Stability Constants Subsonic'!$C$13*('Stability Constants Subsonic'!$C$4-'Stability Constants Subsonic'!$C$3)*'Stability Constants Subsonic'!$C$14*'Supersonic Stability'!C1258</f>
        <v>95710.872751145769</v>
      </c>
      <c r="D1263" s="63" t="s">
        <v>125</v>
      </c>
      <c r="E1263" s="63" t="s">
        <v>224</v>
      </c>
      <c r="F1263" s="63" t="s">
        <v>21</v>
      </c>
      <c r="G1263" s="29" t="s">
        <v>437</v>
      </c>
      <c r="H1263" s="110" t="s">
        <v>438</v>
      </c>
      <c r="I1263" s="110"/>
      <c r="J1263" s="110"/>
      <c r="K1263" s="110"/>
      <c r="L1263" s="110"/>
    </row>
    <row r="1264" spans="1:12" ht="18" customHeight="1" x14ac:dyDescent="0.2">
      <c r="A1264" s="63" t="s">
        <v>439</v>
      </c>
      <c r="B1264" s="63" t="s">
        <v>440</v>
      </c>
      <c r="C1264" s="36">
        <f>2*'Stability Constants Subsonic'!$C$13*('Stability Constants Subsonic'!$C$6-'Stability Constants Subsonic'!$C$5)*'Stability Constants Subsonic'!$C$15*'Supersonic Stability'!C1258</f>
        <v>59875.19414031793</v>
      </c>
      <c r="D1264" s="63" t="s">
        <v>125</v>
      </c>
      <c r="E1264" s="63" t="s">
        <v>224</v>
      </c>
      <c r="F1264" s="63" t="s">
        <v>21</v>
      </c>
      <c r="G1264" s="29" t="s">
        <v>442</v>
      </c>
      <c r="H1264" s="110" t="s">
        <v>438</v>
      </c>
      <c r="I1264" s="110"/>
      <c r="J1264" s="110"/>
      <c r="K1264" s="110"/>
      <c r="L1264" s="110"/>
    </row>
    <row r="1265" spans="1:12" ht="18" customHeight="1" x14ac:dyDescent="0.2">
      <c r="A1265" s="131" t="s">
        <v>503</v>
      </c>
      <c r="B1265" s="121"/>
      <c r="C1265" s="121"/>
      <c r="D1265" s="121"/>
      <c r="E1265" s="121"/>
      <c r="F1265" s="121"/>
      <c r="G1265" s="121"/>
      <c r="H1265" s="121"/>
      <c r="I1265" s="121"/>
      <c r="J1265" s="121"/>
      <c r="K1265" s="121"/>
      <c r="L1265" s="125"/>
    </row>
    <row r="1266" spans="1:12" ht="18" customHeight="1" x14ac:dyDescent="0.2">
      <c r="A1266" s="23" t="s">
        <v>5</v>
      </c>
      <c r="B1266" s="23" t="s">
        <v>96</v>
      </c>
      <c r="C1266" s="64" t="s">
        <v>7</v>
      </c>
      <c r="D1266" s="64" t="s">
        <v>125</v>
      </c>
      <c r="E1266" s="64" t="s">
        <v>8</v>
      </c>
      <c r="F1266" s="64" t="s">
        <v>9</v>
      </c>
      <c r="G1266" s="31" t="s">
        <v>10</v>
      </c>
      <c r="H1266" s="122" t="s">
        <v>11</v>
      </c>
      <c r="I1266" s="123"/>
      <c r="J1266" s="123"/>
      <c r="K1266" s="123"/>
      <c r="L1266" s="124"/>
    </row>
    <row r="1267" spans="1:12" ht="18" customHeight="1" x14ac:dyDescent="0.2">
      <c r="A1267" s="63" t="s">
        <v>379</v>
      </c>
      <c r="B1267" s="63" t="s">
        <v>380</v>
      </c>
      <c r="C1267" s="36">
        <v>1.7</v>
      </c>
      <c r="D1267" s="63" t="s">
        <v>125</v>
      </c>
      <c r="E1267" s="63" t="s">
        <v>137</v>
      </c>
      <c r="F1267" s="63" t="s">
        <v>484</v>
      </c>
      <c r="G1267" s="29" t="s">
        <v>137</v>
      </c>
      <c r="H1267" s="126" t="s">
        <v>309</v>
      </c>
      <c r="I1267" s="126"/>
      <c r="J1267" s="126"/>
      <c r="K1267" s="126"/>
      <c r="L1267" s="126"/>
    </row>
    <row r="1268" spans="1:12" ht="18" customHeight="1" x14ac:dyDescent="0.2">
      <c r="A1268" s="63" t="s">
        <v>405</v>
      </c>
      <c r="B1268" s="63" t="s">
        <v>406</v>
      </c>
      <c r="C1268" s="36">
        <v>0.13600000000000001</v>
      </c>
      <c r="D1268" s="63" t="s">
        <v>125</v>
      </c>
      <c r="E1268" s="63" t="s">
        <v>137</v>
      </c>
      <c r="F1268" s="63" t="s">
        <v>399</v>
      </c>
      <c r="G1268" s="29" t="s">
        <v>485</v>
      </c>
      <c r="H1268" s="127" t="s">
        <v>486</v>
      </c>
      <c r="I1268" s="127"/>
      <c r="J1268" s="127"/>
      <c r="K1268" s="127"/>
      <c r="L1268" s="127"/>
    </row>
    <row r="1269" spans="1:12" ht="18" customHeight="1" x14ac:dyDescent="0.2">
      <c r="A1269" s="63" t="s">
        <v>447</v>
      </c>
      <c r="B1269" s="47" t="s">
        <v>448</v>
      </c>
      <c r="C1269" s="48">
        <v>7.0292854636276464E-2</v>
      </c>
      <c r="D1269" s="63" t="s">
        <v>125</v>
      </c>
      <c r="E1269" s="63" t="s">
        <v>137</v>
      </c>
      <c r="F1269" s="63" t="s">
        <v>399</v>
      </c>
      <c r="G1269" s="29" t="s">
        <v>137</v>
      </c>
      <c r="H1269" s="127" t="s">
        <v>449</v>
      </c>
      <c r="I1269" s="127"/>
      <c r="J1269" s="127"/>
      <c r="K1269" s="127"/>
      <c r="L1269" s="127"/>
    </row>
    <row r="1270" spans="1:12" ht="18" customHeight="1" x14ac:dyDescent="0.2">
      <c r="A1270" s="63" t="s">
        <v>403</v>
      </c>
      <c r="B1270" s="63" t="s">
        <v>436</v>
      </c>
      <c r="C1270" s="36">
        <f>2.67*PI()/180</f>
        <v>4.66002910282486E-2</v>
      </c>
      <c r="D1270" s="63" t="s">
        <v>125</v>
      </c>
      <c r="E1270" s="63" t="s">
        <v>407</v>
      </c>
      <c r="F1270" s="63" t="s">
        <v>9</v>
      </c>
      <c r="G1270" s="29" t="s">
        <v>495</v>
      </c>
      <c r="H1270" s="127" t="s">
        <v>409</v>
      </c>
      <c r="I1270" s="127"/>
      <c r="J1270" s="127"/>
      <c r="K1270" s="127"/>
      <c r="L1270" s="127"/>
    </row>
    <row r="1271" spans="1:12" ht="18" customHeight="1" x14ac:dyDescent="0.2">
      <c r="A1271" s="63" t="s">
        <v>480</v>
      </c>
      <c r="B1271" s="47" t="s">
        <v>481</v>
      </c>
      <c r="C1271" s="48">
        <f>C1269/C1273</f>
        <v>2.4085790318065126E-2</v>
      </c>
      <c r="D1271" s="63" t="s">
        <v>125</v>
      </c>
      <c r="E1271" s="63" t="s">
        <v>407</v>
      </c>
      <c r="F1271" s="63" t="s">
        <v>21</v>
      </c>
      <c r="G1271" s="29" t="s">
        <v>482</v>
      </c>
      <c r="H1271" s="127" t="s">
        <v>483</v>
      </c>
      <c r="I1271" s="127"/>
      <c r="J1271" s="127"/>
      <c r="K1271" s="127"/>
      <c r="L1271" s="127"/>
    </row>
    <row r="1272" spans="1:12" ht="18" customHeight="1" x14ac:dyDescent="0.2">
      <c r="A1272" s="63" t="s">
        <v>419</v>
      </c>
      <c r="B1272" s="63" t="s">
        <v>420</v>
      </c>
      <c r="C1272" s="36">
        <f>C1268/C1270</f>
        <v>2.9184367092805976</v>
      </c>
      <c r="D1272" s="63" t="s">
        <v>125</v>
      </c>
      <c r="E1272" s="63" t="s">
        <v>421</v>
      </c>
      <c r="F1272" s="63" t="s">
        <v>21</v>
      </c>
      <c r="G1272" s="29" t="s">
        <v>422</v>
      </c>
      <c r="H1272" s="110" t="s">
        <v>423</v>
      </c>
      <c r="I1272" s="110"/>
      <c r="J1272" s="110"/>
      <c r="K1272" s="110"/>
      <c r="L1272" s="110"/>
    </row>
    <row r="1273" spans="1:12" ht="18" customHeight="1" x14ac:dyDescent="0.2">
      <c r="A1273" s="63" t="s">
        <v>425</v>
      </c>
      <c r="B1273" s="63" t="s">
        <v>426</v>
      </c>
      <c r="C1273" s="36">
        <f>C1272</f>
        <v>2.9184367092805976</v>
      </c>
      <c r="D1273" s="63" t="s">
        <v>125</v>
      </c>
      <c r="E1273" s="63" t="s">
        <v>421</v>
      </c>
      <c r="F1273" s="63" t="s">
        <v>21</v>
      </c>
      <c r="G1273" s="29" t="s">
        <v>427</v>
      </c>
      <c r="H1273" s="110" t="s">
        <v>428</v>
      </c>
      <c r="I1273" s="110"/>
      <c r="J1273" s="110"/>
      <c r="K1273" s="110"/>
      <c r="L1273" s="110"/>
    </row>
    <row r="1274" spans="1:12" ht="18" customHeight="1" x14ac:dyDescent="0.2">
      <c r="A1274" s="65" t="s">
        <v>429</v>
      </c>
      <c r="B1274" s="63" t="s">
        <v>430</v>
      </c>
      <c r="C1274" s="36">
        <f>$C$7/C1270</f>
        <v>0.39286977720155203</v>
      </c>
      <c r="D1274" s="63" t="s">
        <v>125</v>
      </c>
      <c r="E1274" s="63" t="s">
        <v>431</v>
      </c>
      <c r="F1274" s="63" t="s">
        <v>21</v>
      </c>
      <c r="G1274" s="29" t="s">
        <v>432</v>
      </c>
      <c r="H1274" s="110" t="s">
        <v>433</v>
      </c>
      <c r="I1274" s="110"/>
      <c r="J1274" s="110"/>
      <c r="K1274" s="110"/>
      <c r="L1274" s="110"/>
    </row>
    <row r="1275" spans="1:12" ht="18" customHeight="1" x14ac:dyDescent="0.2">
      <c r="A1275" s="49" t="s">
        <v>434</v>
      </c>
      <c r="B1275" s="49" t="s">
        <v>435</v>
      </c>
      <c r="C1275" s="36">
        <f>2*'Stability Constants Subsonic'!$C$13*('Stability Constants Subsonic'!$C$4-'Stability Constants Subsonic'!$C$3)*'Stability Constants Subsonic'!$C$14*'Supersonic Stability'!C1270</f>
        <v>91267.153659128293</v>
      </c>
      <c r="D1275" s="49" t="s">
        <v>125</v>
      </c>
      <c r="E1275" s="49" t="s">
        <v>224</v>
      </c>
      <c r="F1275" s="49" t="s">
        <v>21</v>
      </c>
      <c r="G1275" s="29" t="s">
        <v>437</v>
      </c>
      <c r="H1275" s="110" t="s">
        <v>438</v>
      </c>
      <c r="I1275" s="110"/>
      <c r="J1275" s="110"/>
      <c r="K1275" s="110"/>
      <c r="L1275" s="110"/>
    </row>
    <row r="1276" spans="1:12" ht="18" customHeight="1" x14ac:dyDescent="0.2">
      <c r="A1276" s="49" t="s">
        <v>439</v>
      </c>
      <c r="B1276" s="49" t="s">
        <v>440</v>
      </c>
      <c r="C1276" s="36">
        <f>2*'Stability Constants Subsonic'!$C$13*('Stability Constants Subsonic'!$C$6-'Stability Constants Subsonic'!$C$5)*'Stability Constants Subsonic'!$C$15*'Supersonic Stability'!C1270</f>
        <v>57095.274412374602</v>
      </c>
      <c r="D1276" s="49" t="s">
        <v>125</v>
      </c>
      <c r="E1276" s="49" t="s">
        <v>224</v>
      </c>
      <c r="F1276" s="49" t="s">
        <v>21</v>
      </c>
      <c r="G1276" s="29" t="s">
        <v>442</v>
      </c>
      <c r="H1276" s="110" t="s">
        <v>438</v>
      </c>
      <c r="I1276" s="110"/>
      <c r="J1276" s="110"/>
      <c r="K1276" s="110"/>
      <c r="L1276" s="110"/>
    </row>
    <row r="1277" spans="1:12" ht="18" customHeight="1" x14ac:dyDescent="0.2">
      <c r="A1277" s="131" t="s">
        <v>502</v>
      </c>
      <c r="B1277" s="121"/>
      <c r="C1277" s="121"/>
      <c r="D1277" s="121"/>
      <c r="E1277" s="121"/>
      <c r="F1277" s="121"/>
      <c r="G1277" s="121"/>
      <c r="H1277" s="121"/>
      <c r="I1277" s="121"/>
      <c r="J1277" s="121"/>
      <c r="K1277" s="121"/>
      <c r="L1277" s="125"/>
    </row>
    <row r="1278" spans="1:12" ht="18" customHeight="1" x14ac:dyDescent="0.2">
      <c r="A1278" s="23" t="s">
        <v>5</v>
      </c>
      <c r="B1278" s="23" t="s">
        <v>96</v>
      </c>
      <c r="C1278" s="50" t="s">
        <v>7</v>
      </c>
      <c r="D1278" s="50" t="s">
        <v>125</v>
      </c>
      <c r="E1278" s="50" t="s">
        <v>8</v>
      </c>
      <c r="F1278" s="50" t="s">
        <v>9</v>
      </c>
      <c r="G1278" s="31" t="s">
        <v>10</v>
      </c>
      <c r="H1278" s="122" t="s">
        <v>11</v>
      </c>
      <c r="I1278" s="123"/>
      <c r="J1278" s="123"/>
      <c r="K1278" s="123"/>
      <c r="L1278" s="124"/>
    </row>
    <row r="1279" spans="1:12" ht="18" customHeight="1" x14ac:dyDescent="0.2">
      <c r="A1279" s="49" t="s">
        <v>379</v>
      </c>
      <c r="B1279" s="49" t="s">
        <v>380</v>
      </c>
      <c r="C1279" s="36">
        <v>1.8</v>
      </c>
      <c r="D1279" s="49" t="s">
        <v>125</v>
      </c>
      <c r="E1279" s="49" t="s">
        <v>137</v>
      </c>
      <c r="F1279" s="49" t="s">
        <v>484</v>
      </c>
      <c r="G1279" s="29" t="s">
        <v>137</v>
      </c>
      <c r="H1279" s="126" t="s">
        <v>309</v>
      </c>
      <c r="I1279" s="126"/>
      <c r="J1279" s="126"/>
      <c r="K1279" s="126"/>
      <c r="L1279" s="126"/>
    </row>
    <row r="1280" spans="1:12" ht="18" customHeight="1" x14ac:dyDescent="0.2">
      <c r="A1280" s="49" t="s">
        <v>405</v>
      </c>
      <c r="B1280" s="49" t="s">
        <v>406</v>
      </c>
      <c r="C1280" s="36">
        <v>0.12130000000000001</v>
      </c>
      <c r="D1280" s="49" t="s">
        <v>125</v>
      </c>
      <c r="E1280" s="49" t="s">
        <v>137</v>
      </c>
      <c r="F1280" s="49" t="s">
        <v>399</v>
      </c>
      <c r="G1280" s="29" t="s">
        <v>485</v>
      </c>
      <c r="H1280" s="127" t="s">
        <v>486</v>
      </c>
      <c r="I1280" s="127"/>
      <c r="J1280" s="127"/>
      <c r="K1280" s="127"/>
      <c r="L1280" s="127"/>
    </row>
    <row r="1281" spans="1:12" ht="18" customHeight="1" x14ac:dyDescent="0.2">
      <c r="A1281" s="49" t="s">
        <v>447</v>
      </c>
      <c r="B1281" s="47" t="s">
        <v>448</v>
      </c>
      <c r="C1281" s="48">
        <v>6.7099193143703231E-2</v>
      </c>
      <c r="D1281" s="49" t="s">
        <v>125</v>
      </c>
      <c r="E1281" s="49" t="s">
        <v>137</v>
      </c>
      <c r="F1281" s="49" t="s">
        <v>399</v>
      </c>
      <c r="G1281" s="29" t="s">
        <v>137</v>
      </c>
      <c r="H1281" s="127" t="s">
        <v>449</v>
      </c>
      <c r="I1281" s="127"/>
      <c r="J1281" s="127"/>
      <c r="K1281" s="127"/>
      <c r="L1281" s="127"/>
    </row>
    <row r="1282" spans="1:12" ht="18" customHeight="1" x14ac:dyDescent="0.2">
      <c r="A1282" s="49" t="s">
        <v>403</v>
      </c>
      <c r="B1282" s="49" t="s">
        <v>436</v>
      </c>
      <c r="C1282" s="36">
        <f>2.56*PI()/180</f>
        <v>4.4680428851054839E-2</v>
      </c>
      <c r="D1282" s="49" t="s">
        <v>125</v>
      </c>
      <c r="E1282" s="49" t="s">
        <v>407</v>
      </c>
      <c r="F1282" s="49" t="s">
        <v>9</v>
      </c>
      <c r="G1282" s="29" t="s">
        <v>137</v>
      </c>
      <c r="H1282" s="127" t="s">
        <v>409</v>
      </c>
      <c r="I1282" s="127"/>
      <c r="J1282" s="127"/>
      <c r="K1282" s="127"/>
      <c r="L1282" s="127"/>
    </row>
    <row r="1283" spans="1:12" ht="18" customHeight="1" x14ac:dyDescent="0.2">
      <c r="A1283" s="49" t="s">
        <v>480</v>
      </c>
      <c r="B1283" s="47" t="s">
        <v>481</v>
      </c>
      <c r="C1283" s="48">
        <f>C1281/C1285</f>
        <v>2.4715752062822907E-2</v>
      </c>
      <c r="D1283" s="49" t="s">
        <v>125</v>
      </c>
      <c r="E1283" s="49" t="s">
        <v>407</v>
      </c>
      <c r="F1283" s="49" t="s">
        <v>21</v>
      </c>
      <c r="G1283" s="29" t="s">
        <v>482</v>
      </c>
      <c r="H1283" s="127" t="s">
        <v>483</v>
      </c>
      <c r="I1283" s="127"/>
      <c r="J1283" s="127"/>
      <c r="K1283" s="127"/>
      <c r="L1283" s="127"/>
    </row>
    <row r="1284" spans="1:12" ht="18" customHeight="1" x14ac:dyDescent="0.2">
      <c r="A1284" s="49" t="s">
        <v>419</v>
      </c>
      <c r="B1284" s="49" t="s">
        <v>420</v>
      </c>
      <c r="C1284" s="36">
        <f>C1280/C1282</f>
        <v>2.714835177709721</v>
      </c>
      <c r="D1284" s="49" t="s">
        <v>125</v>
      </c>
      <c r="E1284" s="49" t="s">
        <v>421</v>
      </c>
      <c r="F1284" s="49" t="s">
        <v>21</v>
      </c>
      <c r="G1284" s="29" t="s">
        <v>422</v>
      </c>
      <c r="H1284" s="110" t="s">
        <v>423</v>
      </c>
      <c r="I1284" s="110"/>
      <c r="J1284" s="110"/>
      <c r="K1284" s="110"/>
      <c r="L1284" s="110"/>
    </row>
    <row r="1285" spans="1:12" ht="18" customHeight="1" x14ac:dyDescent="0.2">
      <c r="A1285" s="49" t="s">
        <v>425</v>
      </c>
      <c r="B1285" s="49" t="s">
        <v>426</v>
      </c>
      <c r="C1285" s="36">
        <f>C1284</f>
        <v>2.714835177709721</v>
      </c>
      <c r="D1285" s="49" t="s">
        <v>125</v>
      </c>
      <c r="E1285" s="49" t="s">
        <v>421</v>
      </c>
      <c r="F1285" s="49" t="s">
        <v>21</v>
      </c>
      <c r="G1285" s="29" t="s">
        <v>427</v>
      </c>
      <c r="H1285" s="110" t="s">
        <v>428</v>
      </c>
      <c r="I1285" s="110"/>
      <c r="J1285" s="110"/>
      <c r="K1285" s="110"/>
      <c r="L1285" s="110"/>
    </row>
    <row r="1286" spans="1:12" ht="18" customHeight="1" x14ac:dyDescent="0.2">
      <c r="A1286" s="52" t="s">
        <v>429</v>
      </c>
      <c r="B1286" s="49" t="s">
        <v>430</v>
      </c>
      <c r="C1286" s="36">
        <f>$C$7/C1282</f>
        <v>0.40975090044068119</v>
      </c>
      <c r="D1286" s="49" t="s">
        <v>125</v>
      </c>
      <c r="E1286" s="49" t="s">
        <v>431</v>
      </c>
      <c r="F1286" s="49" t="s">
        <v>21</v>
      </c>
      <c r="G1286" s="29" t="s">
        <v>432</v>
      </c>
      <c r="H1286" s="110" t="s">
        <v>433</v>
      </c>
      <c r="I1286" s="110"/>
      <c r="J1286" s="110"/>
      <c r="K1286" s="110"/>
      <c r="L1286" s="110"/>
    </row>
    <row r="1287" spans="1:12" ht="18" customHeight="1" x14ac:dyDescent="0.2">
      <c r="A1287" s="49" t="s">
        <v>434</v>
      </c>
      <c r="B1287" s="49" t="s">
        <v>435</v>
      </c>
      <c r="C1287" s="36">
        <f>2*'Stability Constants Subsonic'!$C$13*('Stability Constants Subsonic'!$C$4-'Stability Constants Subsonic'!$C$3)*'Stability Constants Subsonic'!$C$14*'Supersonic Stability'!C1282</f>
        <v>87507.08365819043</v>
      </c>
      <c r="D1287" s="49" t="s">
        <v>125</v>
      </c>
      <c r="E1287" s="49" t="s">
        <v>224</v>
      </c>
      <c r="F1287" s="49" t="s">
        <v>21</v>
      </c>
      <c r="G1287" s="29" t="s">
        <v>437</v>
      </c>
      <c r="H1287" s="110" t="s">
        <v>438</v>
      </c>
      <c r="I1287" s="110"/>
      <c r="J1287" s="110"/>
      <c r="K1287" s="110"/>
      <c r="L1287" s="110"/>
    </row>
    <row r="1288" spans="1:12" ht="18" customHeight="1" x14ac:dyDescent="0.2">
      <c r="A1288" s="49" t="s">
        <v>439</v>
      </c>
      <c r="B1288" s="49" t="s">
        <v>440</v>
      </c>
      <c r="C1288" s="36">
        <f>2*'Stability Constants Subsonic'!$C$13*('Stability Constants Subsonic'!$C$6-'Stability Constants Subsonic'!$C$5)*'Stability Constants Subsonic'!$C$15*'Supersonic Stability'!C1282</f>
        <v>54743.0346425764</v>
      </c>
      <c r="D1288" s="49" t="s">
        <v>125</v>
      </c>
      <c r="E1288" s="49" t="s">
        <v>224</v>
      </c>
      <c r="F1288" s="49" t="s">
        <v>21</v>
      </c>
      <c r="G1288" s="29" t="s">
        <v>442</v>
      </c>
      <c r="H1288" s="110" t="s">
        <v>438</v>
      </c>
      <c r="I1288" s="110"/>
      <c r="J1288" s="110"/>
      <c r="K1288" s="110"/>
      <c r="L1288" s="110"/>
    </row>
    <row r="1289" spans="1:12" ht="18" customHeight="1" x14ac:dyDescent="0.2">
      <c r="A1289" s="131" t="s">
        <v>509</v>
      </c>
      <c r="B1289" s="121"/>
      <c r="C1289" s="121"/>
      <c r="D1289" s="121"/>
      <c r="E1289" s="121"/>
      <c r="F1289" s="121"/>
      <c r="G1289" s="121"/>
      <c r="H1289" s="121"/>
      <c r="I1289" s="121"/>
      <c r="J1289" s="121"/>
      <c r="K1289" s="121"/>
      <c r="L1289" s="125"/>
    </row>
    <row r="1290" spans="1:12" ht="18" customHeight="1" x14ac:dyDescent="0.2">
      <c r="A1290" s="23" t="s">
        <v>5</v>
      </c>
      <c r="B1290" s="23" t="s">
        <v>96</v>
      </c>
      <c r="C1290" s="50" t="s">
        <v>7</v>
      </c>
      <c r="D1290" s="50" t="s">
        <v>125</v>
      </c>
      <c r="E1290" s="50" t="s">
        <v>8</v>
      </c>
      <c r="F1290" s="50" t="s">
        <v>9</v>
      </c>
      <c r="G1290" s="31" t="s">
        <v>459</v>
      </c>
      <c r="H1290" s="122" t="s">
        <v>11</v>
      </c>
      <c r="I1290" s="123"/>
      <c r="J1290" s="123"/>
      <c r="K1290" s="123"/>
      <c r="L1290" s="124"/>
    </row>
    <row r="1291" spans="1:12" ht="18" customHeight="1" x14ac:dyDescent="0.2">
      <c r="A1291" s="49" t="s">
        <v>450</v>
      </c>
      <c r="B1291" s="47" t="s">
        <v>446</v>
      </c>
      <c r="C1291" s="48">
        <f>(C1256 + C1257* 'Stability Constants Subsonic'!$C$16*'Supersonic Stability'!$C$4/'Initial Estimates'!$C$5)*'Stability Constants Subsonic'!$C$8/'Initial Estimates'!$C$10 - 'Supersonic Stability'!C1257*'Stability Constants Subsonic'!$C$16*'Supersonic Stability'!$C$4/'Initial Estimates'!$C$5*'Stability Constants Subsonic'!$C$10/'Initial Estimates'!$C$10+'Supersonic Stability'!$C$5+('Supersonic Stability'!C1263+'Stability Constants Subsonic'!$C$11*'Supersonic Stability'!C1264)/('Stability Constants Subsonic'!$C$13*'Initial Estimates'!$C$5*'Initial Estimates'!$C$10)</f>
        <v>1.8098687631557413E-2</v>
      </c>
      <c r="D1291" s="49" t="s">
        <v>125</v>
      </c>
      <c r="E1291" s="49" t="s">
        <v>137</v>
      </c>
      <c r="F1291" s="49" t="s">
        <v>21</v>
      </c>
      <c r="G1291" s="29" t="s">
        <v>460</v>
      </c>
      <c r="H1291" s="110" t="s">
        <v>438</v>
      </c>
      <c r="I1291" s="110"/>
      <c r="J1291" s="110"/>
      <c r="K1291" s="110"/>
      <c r="L1291" s="110"/>
    </row>
    <row r="1292" spans="1:12" ht="18" customHeight="1" x14ac:dyDescent="0.2">
      <c r="A1292" s="49" t="s">
        <v>451</v>
      </c>
      <c r="B1292" s="47" t="s">
        <v>446</v>
      </c>
      <c r="C1292" s="48">
        <f>(C1268 + C1269* 'Stability Constants Subsonic'!$C$16*'Supersonic Stability'!$C$4/'Initial Estimates'!$C$5)*'Stability Constants Subsonic'!$C$8/'Initial Estimates'!$C$10 - 'Supersonic Stability'!C1269*'Stability Constants Subsonic'!$C$16*'Supersonic Stability'!$C$4/'Initial Estimates'!$C$5*'Stability Constants Subsonic'!$C$10/'Initial Estimates'!$C$10+'Supersonic Stability'!$C$5+('Supersonic Stability'!C1275+'Stability Constants Subsonic'!$C$11*'Supersonic Stability'!C1276)/('Stability Constants Subsonic'!$C$13*'Initial Estimates'!$C$5*'Initial Estimates'!$C$10)</f>
        <v>1.6737735793391509E-2</v>
      </c>
      <c r="D1292" s="49" t="s">
        <v>125</v>
      </c>
      <c r="E1292" s="49" t="s">
        <v>137</v>
      </c>
      <c r="F1292" s="49" t="s">
        <v>21</v>
      </c>
      <c r="G1292" s="29" t="s">
        <v>460</v>
      </c>
      <c r="H1292" s="110" t="s">
        <v>438</v>
      </c>
      <c r="I1292" s="110"/>
      <c r="J1292" s="110"/>
      <c r="K1292" s="110"/>
      <c r="L1292" s="110"/>
    </row>
    <row r="1293" spans="1:12" ht="18" customHeight="1" x14ac:dyDescent="0.2">
      <c r="A1293" s="49" t="s">
        <v>452</v>
      </c>
      <c r="B1293" s="47" t="s">
        <v>446</v>
      </c>
      <c r="C1293" s="48">
        <f>(C1280 + C1281* 'Stability Constants Subsonic'!$C$16*'Supersonic Stability'!$C$4/'Initial Estimates'!$C$5)*'Stability Constants Subsonic'!$C$8/'Initial Estimates'!$C$10 - 'Supersonic Stability'!C1281*'Stability Constants Subsonic'!$C$16*'Supersonic Stability'!$C$4/'Initial Estimates'!$C$5*'Stability Constants Subsonic'!$C$10/'Initial Estimates'!$C$10+'Supersonic Stability'!$C$5+('Supersonic Stability'!C1287+'Stability Constants Subsonic'!$C$11*'Supersonic Stability'!C1288)/('Stability Constants Subsonic'!$C$13*'Initial Estimates'!$C$5*'Initial Estimates'!$C$10)</f>
        <v>1.5591566487200469E-2</v>
      </c>
      <c r="D1293" s="49" t="s">
        <v>125</v>
      </c>
      <c r="E1293" s="49" t="s">
        <v>137</v>
      </c>
      <c r="F1293" s="49" t="s">
        <v>21</v>
      </c>
      <c r="G1293" s="29" t="s">
        <v>460</v>
      </c>
      <c r="H1293" s="110" t="s">
        <v>438</v>
      </c>
      <c r="I1293" s="110"/>
      <c r="J1293" s="110"/>
      <c r="K1293" s="110"/>
      <c r="L1293" s="110"/>
    </row>
    <row r="1294" spans="1:12" ht="18" customHeight="1" x14ac:dyDescent="0.2">
      <c r="A1294" s="49" t="s">
        <v>506</v>
      </c>
      <c r="B1294" s="47" t="s">
        <v>453</v>
      </c>
      <c r="C1294" s="48">
        <f xml:space="preserve"> ( C1260 + C1261*(1 - C1262)*'Stability Constants Subsonic'!$C$16*('Supersonic Stability'!$C$4/'Initial Estimates'!$C$5))*('Stability Constants Subsonic'!$C$8/'Initial Estimates'!$C$10) - C1261*(1 - C1262)*'Stability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0.26389736576334499</v>
      </c>
      <c r="D1294" s="49" t="s">
        <v>125</v>
      </c>
      <c r="E1294" s="49" t="s">
        <v>421</v>
      </c>
      <c r="F1294" s="49" t="s">
        <v>21</v>
      </c>
      <c r="G1294" s="29" t="s">
        <v>458</v>
      </c>
      <c r="H1294" s="110" t="s">
        <v>438</v>
      </c>
      <c r="I1294" s="110"/>
      <c r="J1294" s="110"/>
      <c r="K1294" s="110"/>
      <c r="L1294" s="110"/>
    </row>
    <row r="1295" spans="1:12" ht="18" customHeight="1" x14ac:dyDescent="0.2">
      <c r="A1295" s="49" t="s">
        <v>507</v>
      </c>
      <c r="B1295" s="47" t="s">
        <v>453</v>
      </c>
      <c r="C1295" s="48">
        <f xml:space="preserve"> ( C1272 + C1273*(1 - C1274)*'Stability Constants Subsonic'!$C$16*('Supersonic Stability'!$C$4/'Initial Estimates'!$C$5))*('Stability Constants Subsonic'!$C$8/'Initial Estimates'!$C$10) - C1273*(1 - C1274)*'Stability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0.29601327387318055</v>
      </c>
      <c r="D1295" s="49" t="s">
        <v>125</v>
      </c>
      <c r="E1295" s="49" t="s">
        <v>421</v>
      </c>
      <c r="F1295" s="49" t="s">
        <v>21</v>
      </c>
      <c r="G1295" s="29" t="s">
        <v>458</v>
      </c>
      <c r="H1295" s="110" t="s">
        <v>438</v>
      </c>
      <c r="I1295" s="110"/>
      <c r="J1295" s="110"/>
      <c r="K1295" s="110"/>
      <c r="L1295" s="110"/>
    </row>
    <row r="1296" spans="1:12" ht="18" customHeight="1" x14ac:dyDescent="0.2">
      <c r="A1296" s="49" t="s">
        <v>505</v>
      </c>
      <c r="B1296" s="47" t="s">
        <v>453</v>
      </c>
      <c r="C1296" s="48">
        <f xml:space="preserve"> ( C1284 + C1285*(1 - C1286)*'Stability Constants Subsonic'!$C$16*('Supersonic Stability'!$C$4/'Initial Estimates'!$C$5))*('Stability Constants Subsonic'!$C$8/'Initial Estimates'!$C$10) - C1285*(1 - C1286)*'Stability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0.32385139004488844</v>
      </c>
      <c r="D1296" s="49" t="s">
        <v>125</v>
      </c>
      <c r="E1296" s="49" t="s">
        <v>421</v>
      </c>
      <c r="F1296" s="49" t="s">
        <v>21</v>
      </c>
      <c r="G1296" s="29" t="s">
        <v>458</v>
      </c>
      <c r="H1296" s="110" t="s">
        <v>438</v>
      </c>
      <c r="I1296" s="110"/>
      <c r="J1296" s="110"/>
      <c r="K1296" s="110"/>
      <c r="L1296" s="110"/>
    </row>
    <row r="1298" spans="1:12" ht="18" customHeight="1" x14ac:dyDescent="0.2">
      <c r="A1298" s="129"/>
      <c r="B1298" s="129"/>
      <c r="C1298" s="129"/>
      <c r="D1298" s="129"/>
      <c r="E1298" s="129"/>
      <c r="F1298" s="129"/>
      <c r="G1298" s="129"/>
      <c r="H1298" s="129"/>
      <c r="I1298" s="129"/>
      <c r="J1298" s="129"/>
      <c r="K1298" s="129"/>
      <c r="L1298" s="129"/>
    </row>
    <row r="1299" spans="1:12" ht="18" customHeight="1" x14ac:dyDescent="0.2">
      <c r="A1299" s="130"/>
      <c r="B1299" s="130"/>
      <c r="C1299" s="130"/>
      <c r="D1299" s="130"/>
      <c r="E1299" s="130"/>
      <c r="F1299" s="130"/>
      <c r="G1299" s="130"/>
      <c r="H1299" s="130"/>
      <c r="I1299" s="130"/>
      <c r="J1299" s="130"/>
      <c r="K1299" s="130"/>
      <c r="L1299" s="130"/>
    </row>
    <row r="1300" spans="1:12" ht="18" customHeight="1" x14ac:dyDescent="0.2">
      <c r="A1300" s="118" t="s">
        <v>510</v>
      </c>
      <c r="B1300" s="119"/>
      <c r="C1300" s="119"/>
      <c r="D1300" s="119"/>
      <c r="E1300" s="119"/>
      <c r="F1300" s="119"/>
      <c r="G1300" s="119"/>
      <c r="H1300" s="119"/>
      <c r="I1300" s="119"/>
      <c r="J1300" s="119"/>
      <c r="K1300" s="119"/>
      <c r="L1300" s="120"/>
    </row>
    <row r="1301" spans="1:12" ht="18" customHeight="1" x14ac:dyDescent="0.2">
      <c r="A1301" s="23" t="s">
        <v>5</v>
      </c>
      <c r="B1301" s="23" t="s">
        <v>96</v>
      </c>
      <c r="C1301" s="50" t="s">
        <v>7</v>
      </c>
      <c r="D1301" s="50" t="s">
        <v>125</v>
      </c>
      <c r="E1301" s="50" t="s">
        <v>8</v>
      </c>
      <c r="F1301" s="50" t="s">
        <v>9</v>
      </c>
      <c r="G1301" s="31" t="s">
        <v>10</v>
      </c>
      <c r="H1301" s="122" t="s">
        <v>11</v>
      </c>
      <c r="I1301" s="123"/>
      <c r="J1301" s="123"/>
      <c r="K1301" s="123"/>
      <c r="L1301" s="124"/>
    </row>
    <row r="1302" spans="1:12" ht="18" customHeight="1" x14ac:dyDescent="0.2">
      <c r="A1302" s="52" t="s">
        <v>410</v>
      </c>
      <c r="B1302" s="49" t="s">
        <v>411</v>
      </c>
      <c r="C1302" s="13">
        <v>0.5</v>
      </c>
      <c r="D1302" s="49" t="s">
        <v>125</v>
      </c>
      <c r="E1302" s="49" t="s">
        <v>137</v>
      </c>
      <c r="F1302" s="49" t="s">
        <v>14</v>
      </c>
      <c r="G1302" s="29" t="s">
        <v>137</v>
      </c>
      <c r="H1302" s="128" t="s">
        <v>412</v>
      </c>
      <c r="I1302" s="128"/>
      <c r="J1302" s="128"/>
      <c r="K1302" s="128"/>
      <c r="L1302" s="128"/>
    </row>
    <row r="1303" spans="1:12" ht="18" customHeight="1" x14ac:dyDescent="0.2">
      <c r="A1303" s="52" t="s">
        <v>375</v>
      </c>
      <c r="B1303" s="49" t="s">
        <v>376</v>
      </c>
      <c r="C1303" s="13">
        <f>'Initial Estimates'!$C$5*'Initial Estimates'!$C$10/'Stability Constants Subsonic'!$C$9</f>
        <v>859.45158517474272</v>
      </c>
      <c r="D1303" s="49" t="s">
        <v>125</v>
      </c>
      <c r="E1303" s="49" t="s">
        <v>222</v>
      </c>
      <c r="F1303" s="49" t="s">
        <v>21</v>
      </c>
      <c r="G1303" s="29" t="s">
        <v>456</v>
      </c>
      <c r="H1303" s="128" t="s">
        <v>382</v>
      </c>
      <c r="I1303" s="128"/>
      <c r="J1303" s="128"/>
      <c r="K1303" s="128"/>
      <c r="L1303" s="128"/>
    </row>
    <row r="1304" spans="1:12" ht="18" customHeight="1" x14ac:dyDescent="0.2">
      <c r="A1304" s="52" t="s">
        <v>353</v>
      </c>
      <c r="B1304" s="49" t="s">
        <v>354</v>
      </c>
      <c r="C1304" s="13">
        <v>0</v>
      </c>
      <c r="D1304" s="49" t="s">
        <v>125</v>
      </c>
      <c r="E1304" s="49" t="s">
        <v>137</v>
      </c>
      <c r="F1304" s="49" t="s">
        <v>14</v>
      </c>
      <c r="G1304" s="29" t="s">
        <v>355</v>
      </c>
      <c r="H1304" s="110" t="s">
        <v>413</v>
      </c>
      <c r="I1304" s="110"/>
      <c r="J1304" s="110"/>
      <c r="K1304" s="110"/>
      <c r="L1304" s="110"/>
    </row>
    <row r="1305" spans="1:12" ht="18" customHeight="1" x14ac:dyDescent="0.2">
      <c r="A1305" s="52" t="s">
        <v>339</v>
      </c>
      <c r="B1305" s="49" t="s">
        <v>340</v>
      </c>
      <c r="C1305" s="13">
        <v>0</v>
      </c>
      <c r="D1305" s="13" t="s">
        <v>125</v>
      </c>
      <c r="E1305" s="49" t="s">
        <v>137</v>
      </c>
      <c r="F1305" s="49" t="s">
        <v>14</v>
      </c>
      <c r="G1305" s="29" t="s">
        <v>418</v>
      </c>
      <c r="H1305" s="127" t="s">
        <v>341</v>
      </c>
      <c r="I1305" s="127"/>
      <c r="J1305" s="127"/>
      <c r="K1305" s="127"/>
      <c r="L1305" s="127"/>
    </row>
    <row r="1306" spans="1:12" ht="18" customHeight="1" x14ac:dyDescent="0.2">
      <c r="A1306" s="52" t="s">
        <v>414</v>
      </c>
      <c r="B1306" s="49" t="s">
        <v>415</v>
      </c>
      <c r="C1306" s="13" t="e">
        <f>2*C1310/(PI()*'Initial Estimates'!C113)*(1+C1305)</f>
        <v>#DIV/0!</v>
      </c>
      <c r="D1306" s="49" t="s">
        <v>125</v>
      </c>
      <c r="E1306" s="49" t="s">
        <v>137</v>
      </c>
      <c r="F1306" s="49" t="s">
        <v>14</v>
      </c>
      <c r="G1306" s="29" t="s">
        <v>416</v>
      </c>
      <c r="H1306" s="110" t="s">
        <v>417</v>
      </c>
      <c r="I1306" s="110"/>
      <c r="J1306" s="110"/>
      <c r="K1306" s="110"/>
      <c r="L1306" s="110"/>
    </row>
    <row r="1307" spans="1:12" ht="18" customHeight="1" x14ac:dyDescent="0.2">
      <c r="A1307" s="131" t="s">
        <v>501</v>
      </c>
      <c r="B1307" s="121"/>
      <c r="C1307" s="121"/>
      <c r="D1307" s="121"/>
      <c r="E1307" s="121"/>
      <c r="F1307" s="121"/>
      <c r="G1307" s="121"/>
      <c r="H1307" s="121"/>
      <c r="I1307" s="121"/>
      <c r="J1307" s="121"/>
      <c r="K1307" s="121"/>
      <c r="L1307" s="125"/>
    </row>
    <row r="1308" spans="1:12" ht="18" customHeight="1" x14ac:dyDescent="0.2">
      <c r="A1308" s="23" t="s">
        <v>5</v>
      </c>
      <c r="B1308" s="23" t="s">
        <v>96</v>
      </c>
      <c r="C1308" s="50" t="s">
        <v>7</v>
      </c>
      <c r="D1308" s="50" t="s">
        <v>125</v>
      </c>
      <c r="E1308" s="50" t="s">
        <v>8</v>
      </c>
      <c r="F1308" s="50" t="s">
        <v>9</v>
      </c>
      <c r="G1308" s="31" t="s">
        <v>10</v>
      </c>
      <c r="H1308" s="122" t="s">
        <v>11</v>
      </c>
      <c r="I1308" s="123"/>
      <c r="J1308" s="123"/>
      <c r="K1308" s="123"/>
      <c r="L1308" s="124"/>
    </row>
    <row r="1309" spans="1:12" ht="18" customHeight="1" x14ac:dyDescent="0.2">
      <c r="A1309" s="49" t="s">
        <v>379</v>
      </c>
      <c r="B1309" s="49" t="s">
        <v>380</v>
      </c>
      <c r="C1309" s="36">
        <v>1.6</v>
      </c>
      <c r="D1309" s="49" t="s">
        <v>125</v>
      </c>
      <c r="E1309" s="49" t="s">
        <v>137</v>
      </c>
      <c r="F1309" s="49" t="s">
        <v>484</v>
      </c>
      <c r="G1309" s="29" t="s">
        <v>137</v>
      </c>
      <c r="H1309" s="126" t="s">
        <v>309</v>
      </c>
      <c r="I1309" s="126"/>
      <c r="J1309" s="126"/>
      <c r="K1309" s="126"/>
      <c r="L1309" s="126"/>
    </row>
    <row r="1310" spans="1:12" ht="18" customHeight="1" x14ac:dyDescent="0.2">
      <c r="A1310" s="49" t="s">
        <v>405</v>
      </c>
      <c r="B1310" s="49" t="s">
        <v>406</v>
      </c>
      <c r="C1310" s="36">
        <v>0.19339999999999999</v>
      </c>
      <c r="D1310" s="49" t="s">
        <v>125</v>
      </c>
      <c r="E1310" s="49" t="s">
        <v>137</v>
      </c>
      <c r="F1310" s="49" t="s">
        <v>399</v>
      </c>
      <c r="G1310" s="29" t="s">
        <v>485</v>
      </c>
      <c r="H1310" s="127" t="s">
        <v>486</v>
      </c>
      <c r="I1310" s="127"/>
      <c r="J1310" s="127"/>
      <c r="K1310" s="127"/>
      <c r="L1310" s="127"/>
    </row>
    <row r="1311" spans="1:12" ht="18" customHeight="1" x14ac:dyDescent="0.2">
      <c r="A1311" s="49" t="s">
        <v>447</v>
      </c>
      <c r="B1311" s="47" t="s">
        <v>448</v>
      </c>
      <c r="C1311" s="48">
        <v>9.3378889837222326E-2</v>
      </c>
      <c r="D1311" s="49" t="s">
        <v>125</v>
      </c>
      <c r="E1311" s="49" t="s">
        <v>137</v>
      </c>
      <c r="F1311" s="49" t="s">
        <v>399</v>
      </c>
      <c r="G1311" s="29" t="s">
        <v>137</v>
      </c>
      <c r="H1311" s="127" t="s">
        <v>449</v>
      </c>
      <c r="I1311" s="127"/>
      <c r="J1311" s="127"/>
      <c r="K1311" s="127"/>
      <c r="L1311" s="127"/>
    </row>
    <row r="1312" spans="1:12" ht="18" customHeight="1" x14ac:dyDescent="0.2">
      <c r="A1312" s="49" t="s">
        <v>403</v>
      </c>
      <c r="B1312" s="49" t="s">
        <v>436</v>
      </c>
      <c r="C1312" s="36">
        <f>3.53*PI()/180</f>
        <v>6.161012259539983E-2</v>
      </c>
      <c r="D1312" s="49" t="s">
        <v>125</v>
      </c>
      <c r="E1312" s="49" t="s">
        <v>407</v>
      </c>
      <c r="F1312" s="49" t="s">
        <v>9</v>
      </c>
      <c r="G1312" s="29" t="s">
        <v>137</v>
      </c>
      <c r="H1312" s="127" t="s">
        <v>409</v>
      </c>
      <c r="I1312" s="127"/>
      <c r="J1312" s="127"/>
      <c r="K1312" s="127"/>
      <c r="L1312" s="127"/>
    </row>
    <row r="1313" spans="1:12" ht="18" customHeight="1" x14ac:dyDescent="0.2">
      <c r="A1313" s="49" t="s">
        <v>480</v>
      </c>
      <c r="B1313" s="47" t="s">
        <v>481</v>
      </c>
      <c r="C1313" s="48">
        <f>C1311/C1315</f>
        <v>2.9747077821580162E-2</v>
      </c>
      <c r="D1313" s="49" t="s">
        <v>125</v>
      </c>
      <c r="E1313" s="49" t="s">
        <v>407</v>
      </c>
      <c r="F1313" s="49" t="s">
        <v>21</v>
      </c>
      <c r="G1313" s="29" t="s">
        <v>482</v>
      </c>
      <c r="H1313" s="127" t="s">
        <v>483</v>
      </c>
      <c r="I1313" s="127"/>
      <c r="J1313" s="127"/>
      <c r="K1313" s="127"/>
      <c r="L1313" s="127"/>
    </row>
    <row r="1314" spans="1:12" ht="18" customHeight="1" x14ac:dyDescent="0.2">
      <c r="A1314" s="49" t="s">
        <v>419</v>
      </c>
      <c r="B1314" s="49" t="s">
        <v>420</v>
      </c>
      <c r="C1314" s="36">
        <f>C1310/C1312</f>
        <v>3.1390945489603741</v>
      </c>
      <c r="D1314" s="49" t="s">
        <v>125</v>
      </c>
      <c r="E1314" s="49" t="s">
        <v>421</v>
      </c>
      <c r="F1314" s="49" t="s">
        <v>21</v>
      </c>
      <c r="G1314" s="29" t="s">
        <v>422</v>
      </c>
      <c r="H1314" s="110" t="s">
        <v>423</v>
      </c>
      <c r="I1314" s="110"/>
      <c r="J1314" s="110"/>
      <c r="K1314" s="110"/>
      <c r="L1314" s="110"/>
    </row>
    <row r="1315" spans="1:12" ht="18" customHeight="1" x14ac:dyDescent="0.2">
      <c r="A1315" s="49" t="s">
        <v>425</v>
      </c>
      <c r="B1315" s="49" t="s">
        <v>426</v>
      </c>
      <c r="C1315" s="36">
        <f>C1314</f>
        <v>3.1390945489603741</v>
      </c>
      <c r="D1315" s="49" t="s">
        <v>125</v>
      </c>
      <c r="E1315" s="49" t="s">
        <v>421</v>
      </c>
      <c r="F1315" s="49" t="s">
        <v>21</v>
      </c>
      <c r="G1315" s="29" t="s">
        <v>427</v>
      </c>
      <c r="H1315" s="110" t="s">
        <v>428</v>
      </c>
      <c r="I1315" s="110"/>
      <c r="J1315" s="110"/>
      <c r="K1315" s="110"/>
      <c r="L1315" s="110"/>
    </row>
    <row r="1316" spans="1:12" ht="18" customHeight="1" x14ac:dyDescent="0.2">
      <c r="A1316" s="52" t="s">
        <v>429</v>
      </c>
      <c r="B1316" s="49" t="s">
        <v>430</v>
      </c>
      <c r="C1316" s="36">
        <f>$C$7/C1312</f>
        <v>0.29715646037624477</v>
      </c>
      <c r="D1316" s="49" t="s">
        <v>125</v>
      </c>
      <c r="E1316" s="49" t="s">
        <v>431</v>
      </c>
      <c r="F1316" s="49" t="s">
        <v>21</v>
      </c>
      <c r="G1316" s="29" t="s">
        <v>432</v>
      </c>
      <c r="H1316" s="110" t="s">
        <v>433</v>
      </c>
      <c r="I1316" s="110"/>
      <c r="J1316" s="110"/>
      <c r="K1316" s="110"/>
      <c r="L1316" s="110"/>
    </row>
    <row r="1317" spans="1:12" ht="18" customHeight="1" x14ac:dyDescent="0.2">
      <c r="A1317" s="49" t="s">
        <v>434</v>
      </c>
      <c r="B1317" s="49" t="s">
        <v>435</v>
      </c>
      <c r="C1317" s="36">
        <f>2*'Stability Constants Subsonic'!$C$13*('Stability Constants Subsonic'!$C$4-'Stability Constants Subsonic'!$C$3)*'Stability Constants Subsonic'!$C$14*'Supersonic Stability'!C1312</f>
        <v>120664.06457555163</v>
      </c>
      <c r="D1317" s="49" t="s">
        <v>125</v>
      </c>
      <c r="E1317" s="49" t="s">
        <v>224</v>
      </c>
      <c r="F1317" s="49" t="s">
        <v>21</v>
      </c>
      <c r="G1317" s="29" t="s">
        <v>437</v>
      </c>
      <c r="H1317" s="110" t="s">
        <v>438</v>
      </c>
      <c r="I1317" s="110"/>
      <c r="J1317" s="110"/>
      <c r="K1317" s="110"/>
      <c r="L1317" s="110"/>
    </row>
    <row r="1318" spans="1:12" ht="18" customHeight="1" x14ac:dyDescent="0.2">
      <c r="A1318" s="49" t="s">
        <v>439</v>
      </c>
      <c r="B1318" s="49" t="s">
        <v>440</v>
      </c>
      <c r="C1318" s="36">
        <f>2*'Stability Constants Subsonic'!$C$13*('Stability Constants Subsonic'!$C$6-'Stability Constants Subsonic'!$C$5)*'Stability Constants Subsonic'!$C$15*'Supersonic Stability'!C1312</f>
        <v>75485.512612615101</v>
      </c>
      <c r="D1318" s="49" t="s">
        <v>125</v>
      </c>
      <c r="E1318" s="49" t="s">
        <v>224</v>
      </c>
      <c r="F1318" s="49" t="s">
        <v>21</v>
      </c>
      <c r="G1318" s="29" t="s">
        <v>442</v>
      </c>
      <c r="H1318" s="110" t="s">
        <v>438</v>
      </c>
      <c r="I1318" s="110"/>
      <c r="J1318" s="110"/>
      <c r="K1318" s="110"/>
      <c r="L1318" s="110"/>
    </row>
    <row r="1319" spans="1:12" ht="18" customHeight="1" x14ac:dyDescent="0.2">
      <c r="A1319" s="131" t="s">
        <v>503</v>
      </c>
      <c r="B1319" s="121"/>
      <c r="C1319" s="121"/>
      <c r="D1319" s="121"/>
      <c r="E1319" s="121"/>
      <c r="F1319" s="121"/>
      <c r="G1319" s="121"/>
      <c r="H1319" s="121"/>
      <c r="I1319" s="121"/>
      <c r="J1319" s="121"/>
      <c r="K1319" s="121"/>
      <c r="L1319" s="125"/>
    </row>
    <row r="1320" spans="1:12" ht="18" customHeight="1" x14ac:dyDescent="0.2">
      <c r="A1320" s="23" t="s">
        <v>5</v>
      </c>
      <c r="B1320" s="23" t="s">
        <v>96</v>
      </c>
      <c r="C1320" s="50" t="s">
        <v>7</v>
      </c>
      <c r="D1320" s="50" t="s">
        <v>125</v>
      </c>
      <c r="E1320" s="50" t="s">
        <v>8</v>
      </c>
      <c r="F1320" s="50" t="s">
        <v>9</v>
      </c>
      <c r="G1320" s="31" t="s">
        <v>10</v>
      </c>
      <c r="H1320" s="122" t="s">
        <v>11</v>
      </c>
      <c r="I1320" s="123"/>
      <c r="J1320" s="123"/>
      <c r="K1320" s="123"/>
      <c r="L1320" s="124"/>
    </row>
    <row r="1321" spans="1:12" ht="18" customHeight="1" x14ac:dyDescent="0.2">
      <c r="A1321" s="49" t="s">
        <v>379</v>
      </c>
      <c r="B1321" s="49" t="s">
        <v>380</v>
      </c>
      <c r="C1321" s="36">
        <v>1.7</v>
      </c>
      <c r="D1321" s="49" t="s">
        <v>125</v>
      </c>
      <c r="E1321" s="49" t="s">
        <v>137</v>
      </c>
      <c r="F1321" s="49" t="s">
        <v>484</v>
      </c>
      <c r="G1321" s="29" t="s">
        <v>137</v>
      </c>
      <c r="H1321" s="126" t="s">
        <v>309</v>
      </c>
      <c r="I1321" s="126"/>
      <c r="J1321" s="126"/>
      <c r="K1321" s="126"/>
      <c r="L1321" s="126"/>
    </row>
    <row r="1322" spans="1:12" ht="18" customHeight="1" x14ac:dyDescent="0.2">
      <c r="A1322" s="49" t="s">
        <v>405</v>
      </c>
      <c r="B1322" s="49" t="s">
        <v>406</v>
      </c>
      <c r="C1322" s="36">
        <v>0.17119999999999999</v>
      </c>
      <c r="D1322" s="49" t="s">
        <v>125</v>
      </c>
      <c r="E1322" s="49" t="s">
        <v>137</v>
      </c>
      <c r="F1322" s="49" t="s">
        <v>399</v>
      </c>
      <c r="G1322" s="29" t="s">
        <v>485</v>
      </c>
      <c r="H1322" s="127" t="s">
        <v>486</v>
      </c>
      <c r="I1322" s="127"/>
      <c r="J1322" s="127"/>
      <c r="K1322" s="127"/>
      <c r="L1322" s="127"/>
    </row>
    <row r="1323" spans="1:12" ht="18" customHeight="1" x14ac:dyDescent="0.2">
      <c r="A1323" s="49" t="s">
        <v>447</v>
      </c>
      <c r="B1323" s="47" t="s">
        <v>448</v>
      </c>
      <c r="C1323" s="48">
        <v>8.871383951097353E-2</v>
      </c>
      <c r="D1323" s="49" t="s">
        <v>125</v>
      </c>
      <c r="E1323" s="49" t="s">
        <v>137</v>
      </c>
      <c r="F1323" s="49" t="s">
        <v>399</v>
      </c>
      <c r="G1323" s="29" t="s">
        <v>137</v>
      </c>
      <c r="H1323" s="127" t="s">
        <v>449</v>
      </c>
      <c r="I1323" s="127"/>
      <c r="J1323" s="127"/>
      <c r="K1323" s="127"/>
      <c r="L1323" s="127"/>
    </row>
    <row r="1324" spans="1:12" ht="18" customHeight="1" x14ac:dyDescent="0.2">
      <c r="A1324" s="49" t="s">
        <v>403</v>
      </c>
      <c r="B1324" s="49" t="s">
        <v>436</v>
      </c>
      <c r="C1324" s="36">
        <f>3.37*PI()/180</f>
        <v>5.881759579220891E-2</v>
      </c>
      <c r="D1324" s="49" t="s">
        <v>125</v>
      </c>
      <c r="E1324" s="49" t="s">
        <v>407</v>
      </c>
      <c r="F1324" s="49" t="s">
        <v>9</v>
      </c>
      <c r="G1324" s="29" t="s">
        <v>495</v>
      </c>
      <c r="H1324" s="127" t="s">
        <v>409</v>
      </c>
      <c r="I1324" s="127"/>
      <c r="J1324" s="127"/>
      <c r="K1324" s="127"/>
      <c r="L1324" s="127"/>
    </row>
    <row r="1325" spans="1:12" ht="18" customHeight="1" x14ac:dyDescent="0.2">
      <c r="A1325" s="49" t="s">
        <v>480</v>
      </c>
      <c r="B1325" s="47" t="s">
        <v>481</v>
      </c>
      <c r="C1325" s="48">
        <f>C1323/C1327</f>
        <v>3.0478590850066198E-2</v>
      </c>
      <c r="D1325" s="49" t="s">
        <v>125</v>
      </c>
      <c r="E1325" s="49" t="s">
        <v>407</v>
      </c>
      <c r="F1325" s="49" t="s">
        <v>21</v>
      </c>
      <c r="G1325" s="29" t="s">
        <v>482</v>
      </c>
      <c r="H1325" s="127" t="s">
        <v>483</v>
      </c>
      <c r="I1325" s="127"/>
      <c r="J1325" s="127"/>
      <c r="K1325" s="127"/>
      <c r="L1325" s="127"/>
    </row>
    <row r="1326" spans="1:12" ht="18" customHeight="1" x14ac:dyDescent="0.2">
      <c r="A1326" s="49" t="s">
        <v>419</v>
      </c>
      <c r="B1326" s="49" t="s">
        <v>420</v>
      </c>
      <c r="C1326" s="36">
        <f>C1322/C1324</f>
        <v>2.9106936061245379</v>
      </c>
      <c r="D1326" s="49" t="s">
        <v>125</v>
      </c>
      <c r="E1326" s="49" t="s">
        <v>421</v>
      </c>
      <c r="F1326" s="49" t="s">
        <v>21</v>
      </c>
      <c r="G1326" s="29" t="s">
        <v>422</v>
      </c>
      <c r="H1326" s="110" t="s">
        <v>423</v>
      </c>
      <c r="I1326" s="110"/>
      <c r="J1326" s="110"/>
      <c r="K1326" s="110"/>
      <c r="L1326" s="110"/>
    </row>
    <row r="1327" spans="1:12" ht="18" customHeight="1" x14ac:dyDescent="0.2">
      <c r="A1327" s="49" t="s">
        <v>425</v>
      </c>
      <c r="B1327" s="49" t="s">
        <v>426</v>
      </c>
      <c r="C1327" s="36">
        <f>C1326</f>
        <v>2.9106936061245379</v>
      </c>
      <c r="D1327" s="49" t="s">
        <v>125</v>
      </c>
      <c r="E1327" s="49" t="s">
        <v>421</v>
      </c>
      <c r="F1327" s="49" t="s">
        <v>21</v>
      </c>
      <c r="G1327" s="29" t="s">
        <v>427</v>
      </c>
      <c r="H1327" s="110" t="s">
        <v>428</v>
      </c>
      <c r="I1327" s="110"/>
      <c r="J1327" s="110"/>
      <c r="K1327" s="110"/>
      <c r="L1327" s="110"/>
    </row>
    <row r="1328" spans="1:12" ht="18" customHeight="1" x14ac:dyDescent="0.2">
      <c r="A1328" s="52" t="s">
        <v>429</v>
      </c>
      <c r="B1328" s="49" t="s">
        <v>430</v>
      </c>
      <c r="C1328" s="36">
        <f>$C$7/C1324</f>
        <v>0.31126477896977561</v>
      </c>
      <c r="D1328" s="49" t="s">
        <v>125</v>
      </c>
      <c r="E1328" s="49" t="s">
        <v>431</v>
      </c>
      <c r="F1328" s="49" t="s">
        <v>21</v>
      </c>
      <c r="G1328" s="29" t="s">
        <v>432</v>
      </c>
      <c r="H1328" s="110" t="s">
        <v>433</v>
      </c>
      <c r="I1328" s="110"/>
      <c r="J1328" s="110"/>
      <c r="K1328" s="110"/>
      <c r="L1328" s="110"/>
    </row>
    <row r="1329" spans="1:12" ht="18" customHeight="1" x14ac:dyDescent="0.2">
      <c r="A1329" s="49" t="s">
        <v>434</v>
      </c>
      <c r="B1329" s="49" t="s">
        <v>435</v>
      </c>
      <c r="C1329" s="36">
        <f>2*'Stability Constants Subsonic'!$C$13*('Stability Constants Subsonic'!$C$4-'Stability Constants Subsonic'!$C$3)*'Stability Constants Subsonic'!$C$14*'Supersonic Stability'!C1324</f>
        <v>115194.87184691474</v>
      </c>
      <c r="D1329" s="49" t="s">
        <v>125</v>
      </c>
      <c r="E1329" s="49" t="s">
        <v>224</v>
      </c>
      <c r="F1329" s="49" t="s">
        <v>21</v>
      </c>
      <c r="G1329" s="29" t="s">
        <v>437</v>
      </c>
      <c r="H1329" s="110" t="s">
        <v>438</v>
      </c>
      <c r="I1329" s="110"/>
      <c r="J1329" s="110"/>
      <c r="K1329" s="110"/>
      <c r="L1329" s="110"/>
    </row>
    <row r="1330" spans="1:12" ht="18" customHeight="1" x14ac:dyDescent="0.2">
      <c r="A1330" s="49" t="s">
        <v>439</v>
      </c>
      <c r="B1330" s="49" t="s">
        <v>440</v>
      </c>
      <c r="C1330" s="36">
        <f>2*'Stability Constants Subsonic'!$C$13*('Stability Constants Subsonic'!$C$6-'Stability Constants Subsonic'!$C$5)*'Stability Constants Subsonic'!$C$15*'Supersonic Stability'!C1324</f>
        <v>72064.072947454086</v>
      </c>
      <c r="D1330" s="49" t="s">
        <v>125</v>
      </c>
      <c r="E1330" s="49" t="s">
        <v>224</v>
      </c>
      <c r="F1330" s="49" t="s">
        <v>21</v>
      </c>
      <c r="G1330" s="29" t="s">
        <v>442</v>
      </c>
      <c r="H1330" s="110" t="s">
        <v>438</v>
      </c>
      <c r="I1330" s="110"/>
      <c r="J1330" s="110"/>
      <c r="K1330" s="110"/>
      <c r="L1330" s="110"/>
    </row>
    <row r="1331" spans="1:12" ht="18" customHeight="1" x14ac:dyDescent="0.2">
      <c r="A1331" s="131" t="s">
        <v>502</v>
      </c>
      <c r="B1331" s="121"/>
      <c r="C1331" s="121"/>
      <c r="D1331" s="121"/>
      <c r="E1331" s="121"/>
      <c r="F1331" s="121"/>
      <c r="G1331" s="121"/>
      <c r="H1331" s="121"/>
      <c r="I1331" s="121"/>
      <c r="J1331" s="121"/>
      <c r="K1331" s="121"/>
      <c r="L1331" s="125"/>
    </row>
    <row r="1332" spans="1:12" ht="18" customHeight="1" x14ac:dyDescent="0.2">
      <c r="A1332" s="23" t="s">
        <v>5</v>
      </c>
      <c r="B1332" s="23" t="s">
        <v>96</v>
      </c>
      <c r="C1332" s="50" t="s">
        <v>7</v>
      </c>
      <c r="D1332" s="50" t="s">
        <v>125</v>
      </c>
      <c r="E1332" s="50" t="s">
        <v>8</v>
      </c>
      <c r="F1332" s="50" t="s">
        <v>9</v>
      </c>
      <c r="G1332" s="31" t="s">
        <v>10</v>
      </c>
      <c r="H1332" s="122" t="s">
        <v>11</v>
      </c>
      <c r="I1332" s="123"/>
      <c r="J1332" s="123"/>
      <c r="K1332" s="123"/>
      <c r="L1332" s="124"/>
    </row>
    <row r="1333" spans="1:12" ht="18" customHeight="1" x14ac:dyDescent="0.2">
      <c r="A1333" s="49" t="s">
        <v>379</v>
      </c>
      <c r="B1333" s="49" t="s">
        <v>380</v>
      </c>
      <c r="C1333" s="36">
        <v>1.8</v>
      </c>
      <c r="D1333" s="49" t="s">
        <v>125</v>
      </c>
      <c r="E1333" s="49" t="s">
        <v>137</v>
      </c>
      <c r="F1333" s="49" t="s">
        <v>484</v>
      </c>
      <c r="G1333" s="29" t="s">
        <v>137</v>
      </c>
      <c r="H1333" s="126" t="s">
        <v>309</v>
      </c>
      <c r="I1333" s="126"/>
      <c r="J1333" s="126"/>
      <c r="K1333" s="126"/>
      <c r="L1333" s="126"/>
    </row>
    <row r="1334" spans="1:12" ht="18" customHeight="1" x14ac:dyDescent="0.2">
      <c r="A1334" s="49" t="s">
        <v>405</v>
      </c>
      <c r="B1334" s="49" t="s">
        <v>406</v>
      </c>
      <c r="C1334" s="36">
        <v>0.1527</v>
      </c>
      <c r="D1334" s="49" t="s">
        <v>125</v>
      </c>
      <c r="E1334" s="49" t="s">
        <v>137</v>
      </c>
      <c r="F1334" s="49" t="s">
        <v>399</v>
      </c>
      <c r="G1334" s="29" t="s">
        <v>485</v>
      </c>
      <c r="H1334" s="127" t="s">
        <v>486</v>
      </c>
      <c r="I1334" s="127"/>
      <c r="J1334" s="127"/>
      <c r="K1334" s="127"/>
      <c r="L1334" s="127"/>
    </row>
    <row r="1335" spans="1:12" ht="18" customHeight="1" x14ac:dyDescent="0.2">
      <c r="A1335" s="49" t="s">
        <v>447</v>
      </c>
      <c r="B1335" s="47" t="s">
        <v>448</v>
      </c>
      <c r="C1335" s="48">
        <v>8.4895571438886527E-2</v>
      </c>
      <c r="D1335" s="49" t="s">
        <v>125</v>
      </c>
      <c r="E1335" s="49" t="s">
        <v>137</v>
      </c>
      <c r="F1335" s="49" t="s">
        <v>399</v>
      </c>
      <c r="G1335" s="29" t="s">
        <v>137</v>
      </c>
      <c r="H1335" s="127" t="s">
        <v>449</v>
      </c>
      <c r="I1335" s="127"/>
      <c r="J1335" s="127"/>
      <c r="K1335" s="127"/>
      <c r="L1335" s="127"/>
    </row>
    <row r="1336" spans="1:12" ht="18" customHeight="1" x14ac:dyDescent="0.2">
      <c r="A1336" s="49" t="s">
        <v>403</v>
      </c>
      <c r="B1336" s="49" t="s">
        <v>436</v>
      </c>
      <c r="C1336" s="36">
        <f>3.24*PI()/180</f>
        <v>5.6548667764616284E-2</v>
      </c>
      <c r="D1336" s="49" t="s">
        <v>125</v>
      </c>
      <c r="E1336" s="49" t="s">
        <v>407</v>
      </c>
      <c r="F1336" s="49" t="s">
        <v>9</v>
      </c>
      <c r="G1336" s="29" t="s">
        <v>137</v>
      </c>
      <c r="H1336" s="127" t="s">
        <v>409</v>
      </c>
      <c r="I1336" s="127"/>
      <c r="J1336" s="127"/>
      <c r="K1336" s="127"/>
      <c r="L1336" s="127"/>
    </row>
    <row r="1337" spans="1:12" ht="18" customHeight="1" x14ac:dyDescent="0.2">
      <c r="A1337" s="49" t="s">
        <v>480</v>
      </c>
      <c r="B1337" s="47" t="s">
        <v>481</v>
      </c>
      <c r="C1337" s="48">
        <f>C1335/C1339</f>
        <v>3.1438974878748145E-2</v>
      </c>
      <c r="D1337" s="49" t="s">
        <v>125</v>
      </c>
      <c r="E1337" s="49" t="s">
        <v>407</v>
      </c>
      <c r="F1337" s="49" t="s">
        <v>21</v>
      </c>
      <c r="G1337" s="29" t="s">
        <v>482</v>
      </c>
      <c r="H1337" s="127" t="s">
        <v>483</v>
      </c>
      <c r="I1337" s="127"/>
      <c r="J1337" s="127"/>
      <c r="K1337" s="127"/>
      <c r="L1337" s="127"/>
    </row>
    <row r="1338" spans="1:12" ht="18" customHeight="1" x14ac:dyDescent="0.2">
      <c r="A1338" s="49" t="s">
        <v>419</v>
      </c>
      <c r="B1338" s="49" t="s">
        <v>420</v>
      </c>
      <c r="C1338" s="36">
        <f>C1334/C1336</f>
        <v>2.7003288677924906</v>
      </c>
      <c r="D1338" s="49" t="s">
        <v>125</v>
      </c>
      <c r="E1338" s="49" t="s">
        <v>421</v>
      </c>
      <c r="F1338" s="49" t="s">
        <v>21</v>
      </c>
      <c r="G1338" s="29" t="s">
        <v>422</v>
      </c>
      <c r="H1338" s="110" t="s">
        <v>423</v>
      </c>
      <c r="I1338" s="110"/>
      <c r="J1338" s="110"/>
      <c r="K1338" s="110"/>
      <c r="L1338" s="110"/>
    </row>
    <row r="1339" spans="1:12" ht="18" customHeight="1" x14ac:dyDescent="0.2">
      <c r="A1339" s="49" t="s">
        <v>425</v>
      </c>
      <c r="B1339" s="49" t="s">
        <v>426</v>
      </c>
      <c r="C1339" s="36">
        <f>C1338</f>
        <v>2.7003288677924906</v>
      </c>
      <c r="D1339" s="49" t="s">
        <v>125</v>
      </c>
      <c r="E1339" s="49" t="s">
        <v>421</v>
      </c>
      <c r="F1339" s="49" t="s">
        <v>21</v>
      </c>
      <c r="G1339" s="29" t="s">
        <v>427</v>
      </c>
      <c r="H1339" s="110" t="s">
        <v>428</v>
      </c>
      <c r="I1339" s="110"/>
      <c r="J1339" s="110"/>
      <c r="K1339" s="110"/>
      <c r="L1339" s="110"/>
    </row>
    <row r="1340" spans="1:12" ht="18" customHeight="1" x14ac:dyDescent="0.2">
      <c r="A1340" s="52" t="s">
        <v>429</v>
      </c>
      <c r="B1340" s="49" t="s">
        <v>430</v>
      </c>
      <c r="C1340" s="36">
        <f>$C$7/C1336</f>
        <v>0.32375379787905673</v>
      </c>
      <c r="D1340" s="49" t="s">
        <v>125</v>
      </c>
      <c r="E1340" s="49" t="s">
        <v>431</v>
      </c>
      <c r="F1340" s="49" t="s">
        <v>21</v>
      </c>
      <c r="G1340" s="29" t="s">
        <v>432</v>
      </c>
      <c r="H1340" s="110" t="s">
        <v>433</v>
      </c>
      <c r="I1340" s="110"/>
      <c r="J1340" s="110"/>
      <c r="K1340" s="110"/>
      <c r="L1340" s="110"/>
    </row>
    <row r="1341" spans="1:12" ht="18" customHeight="1" x14ac:dyDescent="0.2">
      <c r="A1341" s="49" t="s">
        <v>434</v>
      </c>
      <c r="B1341" s="49" t="s">
        <v>435</v>
      </c>
      <c r="C1341" s="36">
        <f>2*'Stability Constants Subsonic'!$C$13*('Stability Constants Subsonic'!$C$4-'Stability Constants Subsonic'!$C$3)*'Stability Constants Subsonic'!$C$14*'Supersonic Stability'!C1336</f>
        <v>110751.15275489727</v>
      </c>
      <c r="D1341" s="49" t="s">
        <v>125</v>
      </c>
      <c r="E1341" s="49" t="s">
        <v>224</v>
      </c>
      <c r="F1341" s="49" t="s">
        <v>21</v>
      </c>
      <c r="G1341" s="29" t="s">
        <v>437</v>
      </c>
      <c r="H1341" s="110" t="s">
        <v>438</v>
      </c>
      <c r="I1341" s="110"/>
      <c r="J1341" s="110"/>
      <c r="K1341" s="110"/>
      <c r="L1341" s="110"/>
    </row>
    <row r="1342" spans="1:12" ht="18" customHeight="1" x14ac:dyDescent="0.2">
      <c r="A1342" s="49" t="s">
        <v>439</v>
      </c>
      <c r="B1342" s="49" t="s">
        <v>440</v>
      </c>
      <c r="C1342" s="36">
        <f>2*'Stability Constants Subsonic'!$C$13*('Stability Constants Subsonic'!$C$6-'Stability Constants Subsonic'!$C$5)*'Stability Constants Subsonic'!$C$15*'Supersonic Stability'!C1336</f>
        <v>69284.153219510757</v>
      </c>
      <c r="D1342" s="49" t="s">
        <v>125</v>
      </c>
      <c r="E1342" s="49" t="s">
        <v>224</v>
      </c>
      <c r="F1342" s="49" t="s">
        <v>21</v>
      </c>
      <c r="G1342" s="29" t="s">
        <v>442</v>
      </c>
      <c r="H1342" s="110" t="s">
        <v>438</v>
      </c>
      <c r="I1342" s="110"/>
      <c r="J1342" s="110"/>
      <c r="K1342" s="110"/>
      <c r="L1342" s="110"/>
    </row>
    <row r="1343" spans="1:12" ht="18" customHeight="1" x14ac:dyDescent="0.2">
      <c r="A1343" s="131" t="s">
        <v>511</v>
      </c>
      <c r="B1343" s="121"/>
      <c r="C1343" s="121"/>
      <c r="D1343" s="121"/>
      <c r="E1343" s="121"/>
      <c r="F1343" s="121"/>
      <c r="G1343" s="121"/>
      <c r="H1343" s="121"/>
      <c r="I1343" s="121"/>
      <c r="J1343" s="121"/>
      <c r="K1343" s="121"/>
      <c r="L1343" s="125"/>
    </row>
    <row r="1344" spans="1:12" ht="18" customHeight="1" x14ac:dyDescent="0.2">
      <c r="A1344" s="23" t="s">
        <v>5</v>
      </c>
      <c r="B1344" s="23" t="s">
        <v>96</v>
      </c>
      <c r="C1344" s="50" t="s">
        <v>7</v>
      </c>
      <c r="D1344" s="50" t="s">
        <v>125</v>
      </c>
      <c r="E1344" s="50" t="s">
        <v>8</v>
      </c>
      <c r="F1344" s="50" t="s">
        <v>9</v>
      </c>
      <c r="G1344" s="31" t="s">
        <v>459</v>
      </c>
      <c r="H1344" s="122" t="s">
        <v>11</v>
      </c>
      <c r="I1344" s="123"/>
      <c r="J1344" s="123"/>
      <c r="K1344" s="123"/>
      <c r="L1344" s="124"/>
    </row>
    <row r="1345" spans="1:12" ht="18" customHeight="1" x14ac:dyDescent="0.2">
      <c r="A1345" s="49" t="s">
        <v>450</v>
      </c>
      <c r="B1345" s="47" t="s">
        <v>446</v>
      </c>
      <c r="C1345" s="48">
        <f>(C1310 + C1311* 'Stability Constants Subsonic'!$C$16*'Supersonic Stability'!$C$4/'Initial Estimates'!$C$5)*'Stability Constants Subsonic'!$C$8/'Initial Estimates'!$C$10 - 'Supersonic Stability'!C1311*'Stability Constants Subsonic'!$C$16*'Supersonic Stability'!$C$4/'Initial Estimates'!$C$5*'Stability Constants Subsonic'!$C$10/'Initial Estimates'!$C$10+'Supersonic Stability'!$C$5+('Supersonic Stability'!C1317+'Stability Constants Subsonic'!$C$11*'Supersonic Stability'!C1318)/('Stability Constants Subsonic'!$C$13*'Initial Estimates'!$C$5*'Initial Estimates'!$C$10)</f>
        <v>2.2811268897953464E-2</v>
      </c>
      <c r="D1345" s="49" t="s">
        <v>125</v>
      </c>
      <c r="E1345" s="49" t="s">
        <v>137</v>
      </c>
      <c r="F1345" s="49" t="s">
        <v>21</v>
      </c>
      <c r="G1345" s="29" t="s">
        <v>460</v>
      </c>
      <c r="H1345" s="110" t="s">
        <v>438</v>
      </c>
      <c r="I1345" s="110"/>
      <c r="J1345" s="110"/>
      <c r="K1345" s="110"/>
      <c r="L1345" s="110"/>
    </row>
    <row r="1346" spans="1:12" ht="18" customHeight="1" x14ac:dyDescent="0.2">
      <c r="A1346" s="49" t="s">
        <v>451</v>
      </c>
      <c r="B1346" s="47" t="s">
        <v>446</v>
      </c>
      <c r="C1346" s="48">
        <f>(C1322 + C1323* 'Stability Constants Subsonic'!$C$16*'Supersonic Stability'!$C$4/'Initial Estimates'!$C$5)*'Stability Constants Subsonic'!$C$8/'Initial Estimates'!$C$10 - 'Supersonic Stability'!C1323*'Stability Constants Subsonic'!$C$16*'Supersonic Stability'!$C$4/'Initial Estimates'!$C$5*'Stability Constants Subsonic'!$C$10/'Initial Estimates'!$C$10+'Supersonic Stability'!$C$5+('Supersonic Stability'!C1329+'Stability Constants Subsonic'!$C$11*'Supersonic Stability'!C1330)/('Stability Constants Subsonic'!$C$13*'Initial Estimates'!$C$5*'Initial Estimates'!$C$10)</f>
        <v>2.1101406375435162E-2</v>
      </c>
      <c r="D1346" s="49" t="s">
        <v>125</v>
      </c>
      <c r="E1346" s="49" t="s">
        <v>137</v>
      </c>
      <c r="F1346" s="49" t="s">
        <v>21</v>
      </c>
      <c r="G1346" s="29" t="s">
        <v>460</v>
      </c>
      <c r="H1346" s="110" t="s">
        <v>438</v>
      </c>
      <c r="I1346" s="110"/>
      <c r="J1346" s="110"/>
      <c r="K1346" s="110"/>
      <c r="L1346" s="110"/>
    </row>
    <row r="1347" spans="1:12" ht="18" customHeight="1" x14ac:dyDescent="0.2">
      <c r="A1347" s="49" t="s">
        <v>452</v>
      </c>
      <c r="B1347" s="47" t="s">
        <v>446</v>
      </c>
      <c r="C1347" s="48">
        <f>(C1334 + C1335* 'Stability Constants Subsonic'!$C$16*'Supersonic Stability'!$C$4/'Initial Estimates'!$C$5)*'Stability Constants Subsonic'!$C$8/'Initial Estimates'!$C$10 - 'Supersonic Stability'!C1335*'Stability Constants Subsonic'!$C$16*'Supersonic Stability'!$C$4/'Initial Estimates'!$C$5*'Stability Constants Subsonic'!$C$10/'Initial Estimates'!$C$10+'Supersonic Stability'!$C$5+('Supersonic Stability'!C1341+'Stability Constants Subsonic'!$C$11*'Supersonic Stability'!C1342)/('Stability Constants Subsonic'!$C$13*'Initial Estimates'!$C$5*'Initial Estimates'!$C$10)</f>
        <v>1.9691902952936532E-2</v>
      </c>
      <c r="D1347" s="49" t="s">
        <v>125</v>
      </c>
      <c r="E1347" s="49" t="s">
        <v>137</v>
      </c>
      <c r="F1347" s="49" t="s">
        <v>21</v>
      </c>
      <c r="G1347" s="29" t="s">
        <v>460</v>
      </c>
      <c r="H1347" s="110" t="s">
        <v>438</v>
      </c>
      <c r="I1347" s="110"/>
      <c r="J1347" s="110"/>
      <c r="K1347" s="110"/>
      <c r="L1347" s="110"/>
    </row>
    <row r="1348" spans="1:12" ht="18" customHeight="1" x14ac:dyDescent="0.2">
      <c r="A1348" s="49" t="s">
        <v>506</v>
      </c>
      <c r="B1348" s="47" t="s">
        <v>453</v>
      </c>
      <c r="C1348" s="48">
        <f xml:space="preserve"> ( C1314 + C1315*(1 - C1316)*'Stability Constants Subsonic'!$C$16*('Supersonic Stability'!$C$4/'Initial Estimates'!$C$5))*('Stability Constants Subsonic'!$C$8/'Initial Estimates'!$C$10) - C1315*(1 - C1316)*'Stability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0.20722110173497896</v>
      </c>
      <c r="D1348" s="49" t="s">
        <v>125</v>
      </c>
      <c r="E1348" s="49" t="s">
        <v>421</v>
      </c>
      <c r="F1348" s="49" t="s">
        <v>21</v>
      </c>
      <c r="G1348" s="29" t="s">
        <v>458</v>
      </c>
      <c r="H1348" s="110" t="s">
        <v>438</v>
      </c>
      <c r="I1348" s="110"/>
      <c r="J1348" s="110"/>
      <c r="K1348" s="110"/>
      <c r="L1348" s="110"/>
    </row>
    <row r="1349" spans="1:12" ht="18" customHeight="1" x14ac:dyDescent="0.2">
      <c r="A1349" s="49" t="s">
        <v>507</v>
      </c>
      <c r="B1349" s="47" t="s">
        <v>453</v>
      </c>
      <c r="C1349" s="48">
        <f xml:space="preserve"> ( C1326 + C1327*(1 - C1328)*'Stability Constants Subsonic'!$C$16*('Supersonic Stability'!$C$4/'Initial Estimates'!$C$5))*('Stability Constants Subsonic'!$C$8/'Initial Estimates'!$C$10) - C1327*(1 - C1328)*'Stability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0.24114153069612301</v>
      </c>
      <c r="D1349" s="49" t="s">
        <v>125</v>
      </c>
      <c r="E1349" s="49" t="s">
        <v>421</v>
      </c>
      <c r="F1349" s="49" t="s">
        <v>21</v>
      </c>
      <c r="G1349" s="29" t="s">
        <v>458</v>
      </c>
      <c r="H1349" s="110" t="s">
        <v>438</v>
      </c>
      <c r="I1349" s="110"/>
      <c r="J1349" s="110"/>
      <c r="K1349" s="110"/>
      <c r="L1349" s="110"/>
    </row>
    <row r="1350" spans="1:12" ht="18" customHeight="1" x14ac:dyDescent="0.2">
      <c r="A1350" s="49" t="s">
        <v>505</v>
      </c>
      <c r="B1350" s="47" t="s">
        <v>453</v>
      </c>
      <c r="C1350" s="48">
        <f xml:space="preserve"> ( C1338 + C1339*(1 - C1340)*'Stability Constants Subsonic'!$C$16*('Supersonic Stability'!$C$4/'Initial Estimates'!$C$5))*('Stability Constants Subsonic'!$C$8/'Initial Estimates'!$C$10) - C1339*(1 - C1340)*'Stability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0.27073173130298178</v>
      </c>
      <c r="D1350" s="49" t="s">
        <v>125</v>
      </c>
      <c r="E1350" s="49" t="s">
        <v>421</v>
      </c>
      <c r="F1350" s="49" t="s">
        <v>21</v>
      </c>
      <c r="G1350" s="29" t="s">
        <v>458</v>
      </c>
      <c r="H1350" s="110" t="s">
        <v>438</v>
      </c>
      <c r="I1350" s="110"/>
      <c r="J1350" s="110"/>
      <c r="K1350" s="110"/>
      <c r="L1350" s="110"/>
    </row>
    <row r="1352" spans="1:12" ht="18" customHeight="1" x14ac:dyDescent="0.2">
      <c r="A1352" s="129"/>
      <c r="B1352" s="129"/>
      <c r="C1352" s="129"/>
      <c r="D1352" s="129"/>
      <c r="E1352" s="129"/>
      <c r="F1352" s="129"/>
      <c r="G1352" s="129"/>
      <c r="H1352" s="129"/>
      <c r="I1352" s="129"/>
      <c r="J1352" s="129"/>
      <c r="K1352" s="129"/>
      <c r="L1352" s="129"/>
    </row>
    <row r="1353" spans="1:12" ht="18" customHeight="1" x14ac:dyDescent="0.2">
      <c r="A1353" s="130"/>
      <c r="B1353" s="130"/>
      <c r="C1353" s="130"/>
      <c r="D1353" s="130"/>
      <c r="E1353" s="130"/>
      <c r="F1353" s="130"/>
      <c r="G1353" s="130"/>
      <c r="H1353" s="130"/>
      <c r="I1353" s="130"/>
      <c r="J1353" s="130"/>
      <c r="K1353" s="130"/>
      <c r="L1353" s="130"/>
    </row>
    <row r="1354" spans="1:12" ht="18" customHeight="1" x14ac:dyDescent="0.2">
      <c r="A1354" s="118" t="s">
        <v>512</v>
      </c>
      <c r="B1354" s="119"/>
      <c r="C1354" s="119"/>
      <c r="D1354" s="119"/>
      <c r="E1354" s="119"/>
      <c r="F1354" s="119"/>
      <c r="G1354" s="119"/>
      <c r="H1354" s="119"/>
      <c r="I1354" s="119"/>
      <c r="J1354" s="119"/>
      <c r="K1354" s="119"/>
      <c r="L1354" s="120"/>
    </row>
    <row r="1355" spans="1:12" ht="18" customHeight="1" x14ac:dyDescent="0.2">
      <c r="A1355" s="23" t="s">
        <v>5</v>
      </c>
      <c r="B1355" s="23" t="s">
        <v>96</v>
      </c>
      <c r="C1355" s="50" t="s">
        <v>7</v>
      </c>
      <c r="D1355" s="50" t="s">
        <v>125</v>
      </c>
      <c r="E1355" s="50" t="s">
        <v>8</v>
      </c>
      <c r="F1355" s="50" t="s">
        <v>9</v>
      </c>
      <c r="G1355" s="31" t="s">
        <v>10</v>
      </c>
      <c r="H1355" s="122" t="s">
        <v>11</v>
      </c>
      <c r="I1355" s="123"/>
      <c r="J1355" s="123"/>
      <c r="K1355" s="123"/>
      <c r="L1355" s="124"/>
    </row>
    <row r="1356" spans="1:12" ht="18" customHeight="1" x14ac:dyDescent="0.2">
      <c r="A1356" s="52" t="s">
        <v>410</v>
      </c>
      <c r="B1356" s="49" t="s">
        <v>411</v>
      </c>
      <c r="C1356" s="13">
        <v>0.5</v>
      </c>
      <c r="D1356" s="49" t="s">
        <v>125</v>
      </c>
      <c r="E1356" s="49" t="s">
        <v>137</v>
      </c>
      <c r="F1356" s="49" t="s">
        <v>14</v>
      </c>
      <c r="G1356" s="29" t="s">
        <v>137</v>
      </c>
      <c r="H1356" s="128" t="s">
        <v>412</v>
      </c>
      <c r="I1356" s="128"/>
      <c r="J1356" s="128"/>
      <c r="K1356" s="128"/>
      <c r="L1356" s="128"/>
    </row>
    <row r="1357" spans="1:12" ht="18" customHeight="1" x14ac:dyDescent="0.2">
      <c r="A1357" s="52" t="s">
        <v>375</v>
      </c>
      <c r="B1357" s="49" t="s">
        <v>376</v>
      </c>
      <c r="C1357" s="13">
        <f>'Initial Estimates'!$C$5*'Initial Estimates'!$C$10/'Stability Constants Subsonic'!$C$9</f>
        <v>859.45158517474272</v>
      </c>
      <c r="D1357" s="49" t="s">
        <v>125</v>
      </c>
      <c r="E1357" s="49" t="s">
        <v>222</v>
      </c>
      <c r="F1357" s="49" t="s">
        <v>21</v>
      </c>
      <c r="G1357" s="29" t="s">
        <v>456</v>
      </c>
      <c r="H1357" s="128" t="s">
        <v>382</v>
      </c>
      <c r="I1357" s="128"/>
      <c r="J1357" s="128"/>
      <c r="K1357" s="128"/>
      <c r="L1357" s="128"/>
    </row>
    <row r="1358" spans="1:12" ht="18" customHeight="1" x14ac:dyDescent="0.2">
      <c r="A1358" s="52" t="s">
        <v>353</v>
      </c>
      <c r="B1358" s="49" t="s">
        <v>354</v>
      </c>
      <c r="C1358" s="13">
        <v>0</v>
      </c>
      <c r="D1358" s="49" t="s">
        <v>125</v>
      </c>
      <c r="E1358" s="49" t="s">
        <v>137</v>
      </c>
      <c r="F1358" s="49" t="s">
        <v>14</v>
      </c>
      <c r="G1358" s="29" t="s">
        <v>355</v>
      </c>
      <c r="H1358" s="110" t="s">
        <v>413</v>
      </c>
      <c r="I1358" s="110"/>
      <c r="J1358" s="110"/>
      <c r="K1358" s="110"/>
      <c r="L1358" s="110"/>
    </row>
    <row r="1359" spans="1:12" ht="18" customHeight="1" x14ac:dyDescent="0.2">
      <c r="A1359" s="52" t="s">
        <v>339</v>
      </c>
      <c r="B1359" s="49" t="s">
        <v>340</v>
      </c>
      <c r="C1359" s="13">
        <v>0</v>
      </c>
      <c r="D1359" s="13" t="s">
        <v>125</v>
      </c>
      <c r="E1359" s="49" t="s">
        <v>137</v>
      </c>
      <c r="F1359" s="49" t="s">
        <v>14</v>
      </c>
      <c r="G1359" s="29" t="s">
        <v>418</v>
      </c>
      <c r="H1359" s="127" t="s">
        <v>341</v>
      </c>
      <c r="I1359" s="127"/>
      <c r="J1359" s="127"/>
      <c r="K1359" s="127"/>
      <c r="L1359" s="127"/>
    </row>
    <row r="1360" spans="1:12" ht="18" customHeight="1" x14ac:dyDescent="0.2">
      <c r="A1360" s="52" t="s">
        <v>414</v>
      </c>
      <c r="B1360" s="49" t="s">
        <v>415</v>
      </c>
      <c r="C1360" s="13" t="e">
        <f>2*C1364/(PI()*'Initial Estimates'!C167)*(1+C1359)</f>
        <v>#DIV/0!</v>
      </c>
      <c r="D1360" s="49" t="s">
        <v>125</v>
      </c>
      <c r="E1360" s="49" t="s">
        <v>137</v>
      </c>
      <c r="F1360" s="49" t="s">
        <v>14</v>
      </c>
      <c r="G1360" s="29" t="s">
        <v>416</v>
      </c>
      <c r="H1360" s="110" t="s">
        <v>417</v>
      </c>
      <c r="I1360" s="110"/>
      <c r="J1360" s="110"/>
      <c r="K1360" s="110"/>
      <c r="L1360" s="110"/>
    </row>
    <row r="1361" spans="1:12" ht="18" customHeight="1" x14ac:dyDescent="0.2">
      <c r="A1361" s="131" t="s">
        <v>501</v>
      </c>
      <c r="B1361" s="121"/>
      <c r="C1361" s="121"/>
      <c r="D1361" s="121"/>
      <c r="E1361" s="121"/>
      <c r="F1361" s="121"/>
      <c r="G1361" s="121"/>
      <c r="H1361" s="121"/>
      <c r="I1361" s="121"/>
      <c r="J1361" s="121"/>
      <c r="K1361" s="121"/>
      <c r="L1361" s="125"/>
    </row>
    <row r="1362" spans="1:12" ht="18" customHeight="1" x14ac:dyDescent="0.2">
      <c r="A1362" s="23" t="s">
        <v>5</v>
      </c>
      <c r="B1362" s="23" t="s">
        <v>96</v>
      </c>
      <c r="C1362" s="50" t="s">
        <v>7</v>
      </c>
      <c r="D1362" s="50" t="s">
        <v>125</v>
      </c>
      <c r="E1362" s="50" t="s">
        <v>8</v>
      </c>
      <c r="F1362" s="50" t="s">
        <v>9</v>
      </c>
      <c r="G1362" s="31" t="s">
        <v>10</v>
      </c>
      <c r="H1362" s="122" t="s">
        <v>11</v>
      </c>
      <c r="I1362" s="123"/>
      <c r="J1362" s="123"/>
      <c r="K1362" s="123"/>
      <c r="L1362" s="124"/>
    </row>
    <row r="1363" spans="1:12" ht="18" customHeight="1" x14ac:dyDescent="0.2">
      <c r="A1363" s="49" t="s">
        <v>379</v>
      </c>
      <c r="B1363" s="49" t="s">
        <v>380</v>
      </c>
      <c r="C1363" s="36">
        <v>1.6</v>
      </c>
      <c r="D1363" s="49" t="s">
        <v>125</v>
      </c>
      <c r="E1363" s="49" t="s">
        <v>137</v>
      </c>
      <c r="F1363" s="49" t="s">
        <v>484</v>
      </c>
      <c r="G1363" s="29" t="s">
        <v>137</v>
      </c>
      <c r="H1363" s="126" t="s">
        <v>309</v>
      </c>
      <c r="I1363" s="126"/>
      <c r="J1363" s="126"/>
      <c r="K1363" s="126"/>
      <c r="L1363" s="126"/>
    </row>
    <row r="1364" spans="1:12" ht="18" customHeight="1" x14ac:dyDescent="0.2">
      <c r="A1364" s="49" t="s">
        <v>405</v>
      </c>
      <c r="B1364" s="49" t="s">
        <v>406</v>
      </c>
      <c r="C1364" s="36">
        <v>0.14610000000000001</v>
      </c>
      <c r="D1364" s="49" t="s">
        <v>125</v>
      </c>
      <c r="E1364" s="49" t="s">
        <v>137</v>
      </c>
      <c r="F1364" s="49" t="s">
        <v>399</v>
      </c>
      <c r="G1364" s="29" t="s">
        <v>485</v>
      </c>
      <c r="H1364" s="127" t="s">
        <v>486</v>
      </c>
      <c r="I1364" s="127"/>
      <c r="J1364" s="127"/>
      <c r="K1364" s="127"/>
      <c r="L1364" s="127"/>
    </row>
    <row r="1365" spans="1:12" ht="18" customHeight="1" x14ac:dyDescent="0.2">
      <c r="A1365" s="49" t="s">
        <v>447</v>
      </c>
      <c r="B1365" s="47" t="s">
        <v>448</v>
      </c>
      <c r="C1365" s="48">
        <v>7.0376778962831052E-2</v>
      </c>
      <c r="D1365" s="49" t="s">
        <v>125</v>
      </c>
      <c r="E1365" s="49" t="s">
        <v>137</v>
      </c>
      <c r="F1365" s="49" t="s">
        <v>399</v>
      </c>
      <c r="G1365" s="29" t="s">
        <v>137</v>
      </c>
      <c r="H1365" s="127" t="s">
        <v>449</v>
      </c>
      <c r="I1365" s="127"/>
      <c r="J1365" s="127"/>
      <c r="K1365" s="127"/>
      <c r="L1365" s="127"/>
    </row>
    <row r="1366" spans="1:12" ht="18" customHeight="1" x14ac:dyDescent="0.2">
      <c r="A1366" s="49" t="s">
        <v>403</v>
      </c>
      <c r="B1366" s="49" t="s">
        <v>436</v>
      </c>
      <c r="C1366" s="36">
        <f>2.66*PI()/180</f>
        <v>4.6425758103049171E-2</v>
      </c>
      <c r="D1366" s="49" t="s">
        <v>125</v>
      </c>
      <c r="E1366" s="49" t="s">
        <v>407</v>
      </c>
      <c r="F1366" s="49" t="s">
        <v>9</v>
      </c>
      <c r="G1366" s="29" t="s">
        <v>137</v>
      </c>
      <c r="H1366" s="127" t="s">
        <v>409</v>
      </c>
      <c r="I1366" s="127"/>
      <c r="J1366" s="127"/>
      <c r="K1366" s="127"/>
      <c r="L1366" s="127"/>
    </row>
    <row r="1367" spans="1:12" ht="18" customHeight="1" x14ac:dyDescent="0.2">
      <c r="A1367" s="49" t="s">
        <v>480</v>
      </c>
      <c r="B1367" s="47" t="s">
        <v>481</v>
      </c>
      <c r="C1367" s="48">
        <f>C1365/C1369</f>
        <v>2.2363417633129049E-2</v>
      </c>
      <c r="D1367" s="49" t="s">
        <v>125</v>
      </c>
      <c r="E1367" s="49" t="s">
        <v>407</v>
      </c>
      <c r="F1367" s="49" t="s">
        <v>21</v>
      </c>
      <c r="G1367" s="29" t="s">
        <v>482</v>
      </c>
      <c r="H1367" s="127" t="s">
        <v>483</v>
      </c>
      <c r="I1367" s="127"/>
      <c r="J1367" s="127"/>
      <c r="K1367" s="127"/>
      <c r="L1367" s="127"/>
    </row>
    <row r="1368" spans="1:12" ht="18" customHeight="1" x14ac:dyDescent="0.2">
      <c r="A1368" s="49" t="s">
        <v>419</v>
      </c>
      <c r="B1368" s="49" t="s">
        <v>420</v>
      </c>
      <c r="C1368" s="36">
        <f>C1364/C1366</f>
        <v>3.1469599198726792</v>
      </c>
      <c r="D1368" s="49" t="s">
        <v>125</v>
      </c>
      <c r="E1368" s="49" t="s">
        <v>421</v>
      </c>
      <c r="F1368" s="49" t="s">
        <v>21</v>
      </c>
      <c r="G1368" s="29" t="s">
        <v>422</v>
      </c>
      <c r="H1368" s="110" t="s">
        <v>423</v>
      </c>
      <c r="I1368" s="110"/>
      <c r="J1368" s="110"/>
      <c r="K1368" s="110"/>
      <c r="L1368" s="110"/>
    </row>
    <row r="1369" spans="1:12" ht="18" customHeight="1" x14ac:dyDescent="0.2">
      <c r="A1369" s="49" t="s">
        <v>425</v>
      </c>
      <c r="B1369" s="49" t="s">
        <v>426</v>
      </c>
      <c r="C1369" s="36">
        <f>C1368</f>
        <v>3.1469599198726792</v>
      </c>
      <c r="D1369" s="49" t="s">
        <v>125</v>
      </c>
      <c r="E1369" s="49" t="s">
        <v>421</v>
      </c>
      <c r="F1369" s="49" t="s">
        <v>21</v>
      </c>
      <c r="G1369" s="29" t="s">
        <v>427</v>
      </c>
      <c r="H1369" s="110" t="s">
        <v>428</v>
      </c>
      <c r="I1369" s="110"/>
      <c r="J1369" s="110"/>
      <c r="K1369" s="110"/>
      <c r="L1369" s="110"/>
    </row>
    <row r="1370" spans="1:12" ht="18" customHeight="1" x14ac:dyDescent="0.2">
      <c r="A1370" s="52" t="s">
        <v>429</v>
      </c>
      <c r="B1370" s="49" t="s">
        <v>430</v>
      </c>
      <c r="C1370" s="36">
        <f>$C$7/C1366</f>
        <v>0.39434673125118186</v>
      </c>
      <c r="D1370" s="49" t="s">
        <v>125</v>
      </c>
      <c r="E1370" s="49" t="s">
        <v>431</v>
      </c>
      <c r="F1370" s="49" t="s">
        <v>21</v>
      </c>
      <c r="G1370" s="29" t="s">
        <v>432</v>
      </c>
      <c r="H1370" s="110" t="s">
        <v>433</v>
      </c>
      <c r="I1370" s="110"/>
      <c r="J1370" s="110"/>
      <c r="K1370" s="110"/>
      <c r="L1370" s="110"/>
    </row>
    <row r="1371" spans="1:12" ht="18" customHeight="1" x14ac:dyDescent="0.2">
      <c r="A1371" s="49" t="s">
        <v>434</v>
      </c>
      <c r="B1371" s="49" t="s">
        <v>435</v>
      </c>
      <c r="C1371" s="36">
        <f>2*'Stability Constants Subsonic'!$C$13*('Stability Constants Subsonic'!$C$4-'Stability Constants Subsonic'!$C$3)*'Stability Constants Subsonic'!$C$14*'Supersonic Stability'!C1366</f>
        <v>90925.329113588494</v>
      </c>
      <c r="D1371" s="49" t="s">
        <v>125</v>
      </c>
      <c r="E1371" s="49" t="s">
        <v>224</v>
      </c>
      <c r="F1371" s="49" t="s">
        <v>21</v>
      </c>
      <c r="G1371" s="29" t="s">
        <v>437</v>
      </c>
      <c r="H1371" s="110" t="s">
        <v>438</v>
      </c>
      <c r="I1371" s="110"/>
      <c r="J1371" s="110"/>
      <c r="K1371" s="110"/>
      <c r="L1371" s="110"/>
    </row>
    <row r="1372" spans="1:12" ht="18" customHeight="1" x14ac:dyDescent="0.2">
      <c r="A1372" s="49" t="s">
        <v>439</v>
      </c>
      <c r="B1372" s="49" t="s">
        <v>440</v>
      </c>
      <c r="C1372" s="36">
        <f>2*'Stability Constants Subsonic'!$C$13*('Stability Constants Subsonic'!$C$6-'Stability Constants Subsonic'!$C$5)*'Stability Constants Subsonic'!$C$15*'Supersonic Stability'!C1366</f>
        <v>56881.434433302042</v>
      </c>
      <c r="D1372" s="49" t="s">
        <v>125</v>
      </c>
      <c r="E1372" s="49" t="s">
        <v>224</v>
      </c>
      <c r="F1372" s="49" t="s">
        <v>21</v>
      </c>
      <c r="G1372" s="29" t="s">
        <v>442</v>
      </c>
      <c r="H1372" s="110" t="s">
        <v>438</v>
      </c>
      <c r="I1372" s="110"/>
      <c r="J1372" s="110"/>
      <c r="K1372" s="110"/>
      <c r="L1372" s="110"/>
    </row>
    <row r="1373" spans="1:12" ht="18" customHeight="1" x14ac:dyDescent="0.2">
      <c r="A1373" s="131" t="s">
        <v>503</v>
      </c>
      <c r="B1373" s="121"/>
      <c r="C1373" s="121"/>
      <c r="D1373" s="121"/>
      <c r="E1373" s="121"/>
      <c r="F1373" s="121"/>
      <c r="G1373" s="121"/>
      <c r="H1373" s="121"/>
      <c r="I1373" s="121"/>
      <c r="J1373" s="121"/>
      <c r="K1373" s="121"/>
      <c r="L1373" s="125"/>
    </row>
    <row r="1374" spans="1:12" ht="18" customHeight="1" x14ac:dyDescent="0.2">
      <c r="A1374" s="23" t="s">
        <v>5</v>
      </c>
      <c r="B1374" s="23" t="s">
        <v>96</v>
      </c>
      <c r="C1374" s="50" t="s">
        <v>7</v>
      </c>
      <c r="D1374" s="50" t="s">
        <v>125</v>
      </c>
      <c r="E1374" s="50" t="s">
        <v>8</v>
      </c>
      <c r="F1374" s="50" t="s">
        <v>9</v>
      </c>
      <c r="G1374" s="31" t="s">
        <v>10</v>
      </c>
      <c r="H1374" s="122" t="s">
        <v>11</v>
      </c>
      <c r="I1374" s="123"/>
      <c r="J1374" s="123"/>
      <c r="K1374" s="123"/>
      <c r="L1374" s="124"/>
    </row>
    <row r="1375" spans="1:12" ht="18" customHeight="1" x14ac:dyDescent="0.2">
      <c r="A1375" s="49" t="s">
        <v>379</v>
      </c>
      <c r="B1375" s="49" t="s">
        <v>380</v>
      </c>
      <c r="C1375" s="36">
        <v>1.7</v>
      </c>
      <c r="D1375" s="49" t="s">
        <v>125</v>
      </c>
      <c r="E1375" s="49" t="s">
        <v>137</v>
      </c>
      <c r="F1375" s="49" t="s">
        <v>484</v>
      </c>
      <c r="G1375" s="29" t="s">
        <v>137</v>
      </c>
      <c r="H1375" s="126" t="s">
        <v>309</v>
      </c>
      <c r="I1375" s="126"/>
      <c r="J1375" s="126"/>
      <c r="K1375" s="126"/>
      <c r="L1375" s="126"/>
    </row>
    <row r="1376" spans="1:12" ht="18" customHeight="1" x14ac:dyDescent="0.2">
      <c r="A1376" s="49" t="s">
        <v>405</v>
      </c>
      <c r="B1376" s="49" t="s">
        <v>406</v>
      </c>
      <c r="C1376" s="36">
        <v>0.1293</v>
      </c>
      <c r="D1376" s="49" t="s">
        <v>125</v>
      </c>
      <c r="E1376" s="49" t="s">
        <v>137</v>
      </c>
      <c r="F1376" s="49" t="s">
        <v>399</v>
      </c>
      <c r="G1376" s="29" t="s">
        <v>485</v>
      </c>
      <c r="H1376" s="127" t="s">
        <v>486</v>
      </c>
      <c r="I1376" s="127"/>
      <c r="J1376" s="127"/>
      <c r="K1376" s="127"/>
      <c r="L1376" s="127"/>
    </row>
    <row r="1377" spans="1:12" ht="18" customHeight="1" x14ac:dyDescent="0.2">
      <c r="A1377" s="49" t="s">
        <v>447</v>
      </c>
      <c r="B1377" s="47" t="s">
        <v>448</v>
      </c>
      <c r="C1377" s="48">
        <v>6.6867794461096905E-2</v>
      </c>
      <c r="D1377" s="49" t="s">
        <v>125</v>
      </c>
      <c r="E1377" s="49" t="s">
        <v>137</v>
      </c>
      <c r="F1377" s="49" t="s">
        <v>399</v>
      </c>
      <c r="G1377" s="29" t="s">
        <v>137</v>
      </c>
      <c r="H1377" s="127" t="s">
        <v>449</v>
      </c>
      <c r="I1377" s="127"/>
      <c r="J1377" s="127"/>
      <c r="K1377" s="127"/>
      <c r="L1377" s="127"/>
    </row>
    <row r="1378" spans="1:12" ht="18" customHeight="1" x14ac:dyDescent="0.2">
      <c r="A1378" s="49" t="s">
        <v>403</v>
      </c>
      <c r="B1378" s="49" t="s">
        <v>436</v>
      </c>
      <c r="C1378" s="36">
        <f>2.54*PI()/180</f>
        <v>4.4331363000655974E-2</v>
      </c>
      <c r="D1378" s="49" t="s">
        <v>125</v>
      </c>
      <c r="E1378" s="49" t="s">
        <v>407</v>
      </c>
      <c r="F1378" s="49" t="s">
        <v>9</v>
      </c>
      <c r="G1378" s="29" t="s">
        <v>495</v>
      </c>
      <c r="H1378" s="127" t="s">
        <v>409</v>
      </c>
      <c r="I1378" s="127"/>
      <c r="J1378" s="127"/>
      <c r="K1378" s="127"/>
      <c r="L1378" s="127"/>
    </row>
    <row r="1379" spans="1:12" ht="18" customHeight="1" x14ac:dyDescent="0.2">
      <c r="A1379" s="49" t="s">
        <v>480</v>
      </c>
      <c r="B1379" s="47" t="s">
        <v>481</v>
      </c>
      <c r="C1379" s="48">
        <f>C1377/C1381</f>
        <v>2.2926067048013456E-2</v>
      </c>
      <c r="D1379" s="49" t="s">
        <v>125</v>
      </c>
      <c r="E1379" s="49" t="s">
        <v>407</v>
      </c>
      <c r="F1379" s="49" t="s">
        <v>21</v>
      </c>
      <c r="G1379" s="29" t="s">
        <v>482</v>
      </c>
      <c r="H1379" s="127" t="s">
        <v>483</v>
      </c>
      <c r="I1379" s="127"/>
      <c r="J1379" s="127"/>
      <c r="K1379" s="127"/>
      <c r="L1379" s="127"/>
    </row>
    <row r="1380" spans="1:12" ht="18" customHeight="1" x14ac:dyDescent="0.2">
      <c r="A1380" s="49" t="s">
        <v>419</v>
      </c>
      <c r="B1380" s="49" t="s">
        <v>420</v>
      </c>
      <c r="C1380" s="36">
        <f>C1376/C1378</f>
        <v>2.9166709807250171</v>
      </c>
      <c r="D1380" s="49" t="s">
        <v>125</v>
      </c>
      <c r="E1380" s="49" t="s">
        <v>421</v>
      </c>
      <c r="F1380" s="49" t="s">
        <v>21</v>
      </c>
      <c r="G1380" s="29" t="s">
        <v>422</v>
      </c>
      <c r="H1380" s="110" t="s">
        <v>423</v>
      </c>
      <c r="I1380" s="110"/>
      <c r="J1380" s="110"/>
      <c r="K1380" s="110"/>
      <c r="L1380" s="110"/>
    </row>
    <row r="1381" spans="1:12" ht="18" customHeight="1" x14ac:dyDescent="0.2">
      <c r="A1381" s="49" t="s">
        <v>425</v>
      </c>
      <c r="B1381" s="49" t="s">
        <v>426</v>
      </c>
      <c r="C1381" s="36">
        <f>C1380</f>
        <v>2.9166709807250171</v>
      </c>
      <c r="D1381" s="49" t="s">
        <v>125</v>
      </c>
      <c r="E1381" s="49" t="s">
        <v>421</v>
      </c>
      <c r="F1381" s="49" t="s">
        <v>21</v>
      </c>
      <c r="G1381" s="29" t="s">
        <v>427</v>
      </c>
      <c r="H1381" s="110" t="s">
        <v>428</v>
      </c>
      <c r="I1381" s="110"/>
      <c r="J1381" s="110"/>
      <c r="K1381" s="110"/>
      <c r="L1381" s="110"/>
    </row>
    <row r="1382" spans="1:12" ht="18" customHeight="1" x14ac:dyDescent="0.2">
      <c r="A1382" s="52" t="s">
        <v>429</v>
      </c>
      <c r="B1382" s="49" t="s">
        <v>430</v>
      </c>
      <c r="C1382" s="36">
        <f>$C$7/C1378</f>
        <v>0.41297728548352119</v>
      </c>
      <c r="D1382" s="49" t="s">
        <v>125</v>
      </c>
      <c r="E1382" s="49" t="s">
        <v>431</v>
      </c>
      <c r="F1382" s="49" t="s">
        <v>21</v>
      </c>
      <c r="G1382" s="29" t="s">
        <v>432</v>
      </c>
      <c r="H1382" s="110" t="s">
        <v>433</v>
      </c>
      <c r="I1382" s="110"/>
      <c r="J1382" s="110"/>
      <c r="K1382" s="110"/>
      <c r="L1382" s="110"/>
    </row>
    <row r="1383" spans="1:12" ht="18" customHeight="1" x14ac:dyDescent="0.2">
      <c r="A1383" s="49" t="s">
        <v>434</v>
      </c>
      <c r="B1383" s="49" t="s">
        <v>435</v>
      </c>
      <c r="C1383" s="36">
        <f>2*'Stability Constants Subsonic'!$C$13*('Stability Constants Subsonic'!$C$4-'Stability Constants Subsonic'!$C$3)*'Stability Constants Subsonic'!$C$14*'Supersonic Stability'!C1378</f>
        <v>86823.434567110817</v>
      </c>
      <c r="D1383" s="49" t="s">
        <v>125</v>
      </c>
      <c r="E1383" s="49" t="s">
        <v>224</v>
      </c>
      <c r="F1383" s="49" t="s">
        <v>21</v>
      </c>
      <c r="G1383" s="29" t="s">
        <v>437</v>
      </c>
      <c r="H1383" s="110" t="s">
        <v>438</v>
      </c>
      <c r="I1383" s="110"/>
      <c r="J1383" s="110"/>
      <c r="K1383" s="110"/>
      <c r="L1383" s="110"/>
    </row>
    <row r="1384" spans="1:12" ht="18" customHeight="1" x14ac:dyDescent="0.2">
      <c r="A1384" s="49" t="s">
        <v>439</v>
      </c>
      <c r="B1384" s="49" t="s">
        <v>440</v>
      </c>
      <c r="C1384" s="36">
        <f>2*'Stability Constants Subsonic'!$C$13*('Stability Constants Subsonic'!$C$6-'Stability Constants Subsonic'!$C$5)*'Stability Constants Subsonic'!$C$15*'Supersonic Stability'!C1378</f>
        <v>54315.354684431273</v>
      </c>
      <c r="D1384" s="49" t="s">
        <v>125</v>
      </c>
      <c r="E1384" s="49" t="s">
        <v>224</v>
      </c>
      <c r="F1384" s="49" t="s">
        <v>21</v>
      </c>
      <c r="G1384" s="29" t="s">
        <v>442</v>
      </c>
      <c r="H1384" s="110" t="s">
        <v>438</v>
      </c>
      <c r="I1384" s="110"/>
      <c r="J1384" s="110"/>
      <c r="K1384" s="110"/>
      <c r="L1384" s="110"/>
    </row>
    <row r="1385" spans="1:12" ht="18" customHeight="1" x14ac:dyDescent="0.2">
      <c r="A1385" s="131" t="s">
        <v>502</v>
      </c>
      <c r="B1385" s="121"/>
      <c r="C1385" s="121"/>
      <c r="D1385" s="121"/>
      <c r="E1385" s="121"/>
      <c r="F1385" s="121"/>
      <c r="G1385" s="121"/>
      <c r="H1385" s="121"/>
      <c r="I1385" s="121"/>
      <c r="J1385" s="121"/>
      <c r="K1385" s="121"/>
      <c r="L1385" s="125"/>
    </row>
    <row r="1386" spans="1:12" ht="18" customHeight="1" x14ac:dyDescent="0.2">
      <c r="A1386" s="23" t="s">
        <v>5</v>
      </c>
      <c r="B1386" s="23" t="s">
        <v>96</v>
      </c>
      <c r="C1386" s="50" t="s">
        <v>7</v>
      </c>
      <c r="D1386" s="50" t="s">
        <v>125</v>
      </c>
      <c r="E1386" s="50" t="s">
        <v>8</v>
      </c>
      <c r="F1386" s="50" t="s">
        <v>9</v>
      </c>
      <c r="G1386" s="31" t="s">
        <v>10</v>
      </c>
      <c r="H1386" s="122" t="s">
        <v>11</v>
      </c>
      <c r="I1386" s="123"/>
      <c r="J1386" s="123"/>
      <c r="K1386" s="123"/>
      <c r="L1386" s="124"/>
    </row>
    <row r="1387" spans="1:12" ht="18" customHeight="1" x14ac:dyDescent="0.2">
      <c r="A1387" s="49" t="s">
        <v>379</v>
      </c>
      <c r="B1387" s="49" t="s">
        <v>380</v>
      </c>
      <c r="C1387" s="36">
        <v>1.8</v>
      </c>
      <c r="D1387" s="49" t="s">
        <v>125</v>
      </c>
      <c r="E1387" s="49" t="s">
        <v>137</v>
      </c>
      <c r="F1387" s="49" t="s">
        <v>484</v>
      </c>
      <c r="G1387" s="29" t="s">
        <v>137</v>
      </c>
      <c r="H1387" s="126" t="s">
        <v>309</v>
      </c>
      <c r="I1387" s="126"/>
      <c r="J1387" s="126"/>
      <c r="K1387" s="126"/>
      <c r="L1387" s="126"/>
    </row>
    <row r="1388" spans="1:12" ht="18" customHeight="1" x14ac:dyDescent="0.2">
      <c r="A1388" s="49" t="s">
        <v>405</v>
      </c>
      <c r="B1388" s="49" t="s">
        <v>406</v>
      </c>
      <c r="C1388" s="36">
        <v>0.1154</v>
      </c>
      <c r="D1388" s="49" t="s">
        <v>125</v>
      </c>
      <c r="E1388" s="49" t="s">
        <v>137</v>
      </c>
      <c r="F1388" s="49" t="s">
        <v>399</v>
      </c>
      <c r="G1388" s="29" t="s">
        <v>485</v>
      </c>
      <c r="H1388" s="127" t="s">
        <v>486</v>
      </c>
      <c r="I1388" s="127"/>
      <c r="J1388" s="127"/>
      <c r="K1388" s="127"/>
      <c r="L1388" s="127"/>
    </row>
    <row r="1389" spans="1:12" ht="18" customHeight="1" x14ac:dyDescent="0.2">
      <c r="A1389" s="49" t="s">
        <v>447</v>
      </c>
      <c r="B1389" s="47" t="s">
        <v>448</v>
      </c>
      <c r="C1389" s="48">
        <v>6.4615630740711527E-2</v>
      </c>
      <c r="D1389" s="49" t="s">
        <v>125</v>
      </c>
      <c r="E1389" s="49" t="s">
        <v>137</v>
      </c>
      <c r="F1389" s="49" t="s">
        <v>399</v>
      </c>
      <c r="G1389" s="29" t="s">
        <v>137</v>
      </c>
      <c r="H1389" s="127" t="s">
        <v>449</v>
      </c>
      <c r="I1389" s="127"/>
      <c r="J1389" s="127"/>
      <c r="K1389" s="127"/>
      <c r="L1389" s="127"/>
    </row>
    <row r="1390" spans="1:12" ht="18" customHeight="1" x14ac:dyDescent="0.2">
      <c r="A1390" s="49" t="s">
        <v>403</v>
      </c>
      <c r="B1390" s="49" t="s">
        <v>436</v>
      </c>
      <c r="C1390" s="36">
        <f>2.44*PI()/180</f>
        <v>4.2586033748661642E-2</v>
      </c>
      <c r="D1390" s="49" t="s">
        <v>125</v>
      </c>
      <c r="E1390" s="49" t="s">
        <v>407</v>
      </c>
      <c r="F1390" s="49" t="s">
        <v>9</v>
      </c>
      <c r="G1390" s="29" t="s">
        <v>137</v>
      </c>
      <c r="H1390" s="127" t="s">
        <v>409</v>
      </c>
      <c r="I1390" s="127"/>
      <c r="J1390" s="127"/>
      <c r="K1390" s="127"/>
      <c r="L1390" s="127"/>
    </row>
    <row r="1391" spans="1:12" ht="18" customHeight="1" x14ac:dyDescent="0.2">
      <c r="A1391" s="49" t="s">
        <v>480</v>
      </c>
      <c r="B1391" s="47" t="s">
        <v>481</v>
      </c>
      <c r="C1391" s="48">
        <f>C1389/C1393</f>
        <v>2.3845090393544193E-2</v>
      </c>
      <c r="D1391" s="49" t="s">
        <v>125</v>
      </c>
      <c r="E1391" s="49" t="s">
        <v>407</v>
      </c>
      <c r="F1391" s="49" t="s">
        <v>21</v>
      </c>
      <c r="G1391" s="29" t="s">
        <v>482</v>
      </c>
      <c r="H1391" s="127" t="s">
        <v>483</v>
      </c>
      <c r="I1391" s="127"/>
      <c r="J1391" s="127"/>
      <c r="K1391" s="127"/>
      <c r="L1391" s="127"/>
    </row>
    <row r="1392" spans="1:12" ht="18" customHeight="1" x14ac:dyDescent="0.2">
      <c r="A1392" s="49" t="s">
        <v>419</v>
      </c>
      <c r="B1392" s="49" t="s">
        <v>420</v>
      </c>
      <c r="C1392" s="36">
        <f>C1388/C1390</f>
        <v>2.7098085884465983</v>
      </c>
      <c r="D1392" s="49" t="s">
        <v>125</v>
      </c>
      <c r="E1392" s="49" t="s">
        <v>421</v>
      </c>
      <c r="F1392" s="49" t="s">
        <v>21</v>
      </c>
      <c r="G1392" s="29" t="s">
        <v>422</v>
      </c>
      <c r="H1392" s="110" t="s">
        <v>423</v>
      </c>
      <c r="I1392" s="110"/>
      <c r="J1392" s="110"/>
      <c r="K1392" s="110"/>
      <c r="L1392" s="110"/>
    </row>
    <row r="1393" spans="1:12" ht="18" customHeight="1" x14ac:dyDescent="0.2">
      <c r="A1393" s="49" t="s">
        <v>425</v>
      </c>
      <c r="B1393" s="49" t="s">
        <v>426</v>
      </c>
      <c r="C1393" s="36">
        <f>C1392</f>
        <v>2.7098085884465983</v>
      </c>
      <c r="D1393" s="49" t="s">
        <v>125</v>
      </c>
      <c r="E1393" s="49" t="s">
        <v>421</v>
      </c>
      <c r="F1393" s="49" t="s">
        <v>21</v>
      </c>
      <c r="G1393" s="29" t="s">
        <v>427</v>
      </c>
      <c r="H1393" s="110" t="s">
        <v>428</v>
      </c>
      <c r="I1393" s="110"/>
      <c r="J1393" s="110"/>
      <c r="K1393" s="110"/>
      <c r="L1393" s="110"/>
    </row>
    <row r="1394" spans="1:12" ht="18" customHeight="1" x14ac:dyDescent="0.2">
      <c r="A1394" s="52" t="s">
        <v>429</v>
      </c>
      <c r="B1394" s="49" t="s">
        <v>430</v>
      </c>
      <c r="C1394" s="36">
        <f>$C$7/C1390</f>
        <v>0.42990258406891141</v>
      </c>
      <c r="D1394" s="49" t="s">
        <v>125</v>
      </c>
      <c r="E1394" s="49" t="s">
        <v>431</v>
      </c>
      <c r="F1394" s="49" t="s">
        <v>21</v>
      </c>
      <c r="G1394" s="29" t="s">
        <v>432</v>
      </c>
      <c r="H1394" s="110" t="s">
        <v>433</v>
      </c>
      <c r="I1394" s="110"/>
      <c r="J1394" s="110"/>
      <c r="K1394" s="110"/>
      <c r="L1394" s="110"/>
    </row>
    <row r="1395" spans="1:12" ht="18" customHeight="1" x14ac:dyDescent="0.2">
      <c r="A1395" s="49" t="s">
        <v>434</v>
      </c>
      <c r="B1395" s="49" t="s">
        <v>435</v>
      </c>
      <c r="C1395" s="36">
        <f>2*'Stability Constants Subsonic'!$C$13*('Stability Constants Subsonic'!$C$4-'Stability Constants Subsonic'!$C$3)*'Stability Constants Subsonic'!$C$14*'Supersonic Stability'!C1390</f>
        <v>83405.189111712752</v>
      </c>
      <c r="D1395" s="49" t="s">
        <v>125</v>
      </c>
      <c r="E1395" s="49" t="s">
        <v>224</v>
      </c>
      <c r="F1395" s="49" t="s">
        <v>21</v>
      </c>
      <c r="G1395" s="29" t="s">
        <v>437</v>
      </c>
      <c r="H1395" s="110" t="s">
        <v>438</v>
      </c>
      <c r="I1395" s="110"/>
      <c r="J1395" s="110"/>
      <c r="K1395" s="110"/>
      <c r="L1395" s="110"/>
    </row>
    <row r="1396" spans="1:12" ht="18" customHeight="1" x14ac:dyDescent="0.2">
      <c r="A1396" s="49" t="s">
        <v>439</v>
      </c>
      <c r="B1396" s="49" t="s">
        <v>440</v>
      </c>
      <c r="C1396" s="36">
        <f>2*'Stability Constants Subsonic'!$C$13*('Stability Constants Subsonic'!$C$6-'Stability Constants Subsonic'!$C$5)*'Stability Constants Subsonic'!$C$15*'Supersonic Stability'!C1390</f>
        <v>52176.954893705632</v>
      </c>
      <c r="D1396" s="49" t="s">
        <v>125</v>
      </c>
      <c r="E1396" s="49" t="s">
        <v>224</v>
      </c>
      <c r="F1396" s="49" t="s">
        <v>21</v>
      </c>
      <c r="G1396" s="29" t="s">
        <v>442</v>
      </c>
      <c r="H1396" s="110" t="s">
        <v>438</v>
      </c>
      <c r="I1396" s="110"/>
      <c r="J1396" s="110"/>
      <c r="K1396" s="110"/>
      <c r="L1396" s="110"/>
    </row>
    <row r="1397" spans="1:12" ht="18" customHeight="1" x14ac:dyDescent="0.2">
      <c r="A1397" s="131" t="s">
        <v>513</v>
      </c>
      <c r="B1397" s="121"/>
      <c r="C1397" s="121"/>
      <c r="D1397" s="121"/>
      <c r="E1397" s="121"/>
      <c r="F1397" s="121"/>
      <c r="G1397" s="121"/>
      <c r="H1397" s="121"/>
      <c r="I1397" s="121"/>
      <c r="J1397" s="121"/>
      <c r="K1397" s="121"/>
      <c r="L1397" s="125"/>
    </row>
    <row r="1398" spans="1:12" ht="18" customHeight="1" x14ac:dyDescent="0.2">
      <c r="A1398" s="23" t="s">
        <v>5</v>
      </c>
      <c r="B1398" s="23" t="s">
        <v>96</v>
      </c>
      <c r="C1398" s="50" t="s">
        <v>7</v>
      </c>
      <c r="D1398" s="50" t="s">
        <v>125</v>
      </c>
      <c r="E1398" s="50" t="s">
        <v>8</v>
      </c>
      <c r="F1398" s="50" t="s">
        <v>9</v>
      </c>
      <c r="G1398" s="31" t="s">
        <v>459</v>
      </c>
      <c r="H1398" s="122" t="s">
        <v>11</v>
      </c>
      <c r="I1398" s="123"/>
      <c r="J1398" s="123"/>
      <c r="K1398" s="123"/>
      <c r="L1398" s="124"/>
    </row>
    <row r="1399" spans="1:12" ht="18" customHeight="1" x14ac:dyDescent="0.2">
      <c r="A1399" s="49" t="s">
        <v>450</v>
      </c>
      <c r="B1399" s="47" t="s">
        <v>446</v>
      </c>
      <c r="C1399" s="48">
        <f>(C1364 + C1365* 'Stability Constants Subsonic'!$C$16*'Supersonic Stability'!$C$4/'Initial Estimates'!$C$5)*'Stability Constants Subsonic'!$C$8/'Initial Estimates'!$C$10 - 'Supersonic Stability'!C1365*'Stability Constants Subsonic'!$C$16*'Supersonic Stability'!$C$4/'Initial Estimates'!$C$5*'Stability Constants Subsonic'!$C$10/'Initial Estimates'!$C$10+'Supersonic Stability'!$C$5+('Supersonic Stability'!C1371+'Stability Constants Subsonic'!$C$11*'Supersonic Stability'!C1372)/('Stability Constants Subsonic'!$C$13*'Initial Estimates'!$C$5*'Initial Estimates'!$C$10)</f>
        <v>1.7207556136278723E-2</v>
      </c>
      <c r="D1399" s="49" t="s">
        <v>125</v>
      </c>
      <c r="E1399" s="49" t="s">
        <v>137</v>
      </c>
      <c r="F1399" s="49" t="s">
        <v>21</v>
      </c>
      <c r="G1399" s="29" t="s">
        <v>460</v>
      </c>
      <c r="H1399" s="110" t="s">
        <v>438</v>
      </c>
      <c r="I1399" s="110"/>
      <c r="J1399" s="110"/>
      <c r="K1399" s="110"/>
      <c r="L1399" s="110"/>
    </row>
    <row r="1400" spans="1:12" ht="18" customHeight="1" x14ac:dyDescent="0.2">
      <c r="A1400" s="49" t="s">
        <v>451</v>
      </c>
      <c r="B1400" s="47" t="s">
        <v>446</v>
      </c>
      <c r="C1400" s="48">
        <f>(C1376 + C1377* 'Stability Constants Subsonic'!$C$16*'Supersonic Stability'!$C$4/'Initial Estimates'!$C$5)*'Stability Constants Subsonic'!$C$8/'Initial Estimates'!$C$10 - 'Supersonic Stability'!C1377*'Stability Constants Subsonic'!$C$16*'Supersonic Stability'!$C$4/'Initial Estimates'!$C$5*'Stability Constants Subsonic'!$C$10/'Initial Estimates'!$C$10+'Supersonic Stability'!$C$5+('Supersonic Stability'!C1383+'Stability Constants Subsonic'!$C$11*'Supersonic Stability'!C1384)/('Stability Constants Subsonic'!$C$13*'Initial Estimates'!$C$5*'Initial Estimates'!$C$10)</f>
        <v>1.5918860944429611E-2</v>
      </c>
      <c r="D1400" s="49" t="s">
        <v>125</v>
      </c>
      <c r="E1400" s="49" t="s">
        <v>137</v>
      </c>
      <c r="F1400" s="49" t="s">
        <v>21</v>
      </c>
      <c r="G1400" s="29" t="s">
        <v>460</v>
      </c>
      <c r="H1400" s="110" t="s">
        <v>438</v>
      </c>
      <c r="I1400" s="110"/>
      <c r="J1400" s="110"/>
      <c r="K1400" s="110"/>
      <c r="L1400" s="110"/>
    </row>
    <row r="1401" spans="1:12" ht="18" customHeight="1" x14ac:dyDescent="0.2">
      <c r="A1401" s="49" t="s">
        <v>452</v>
      </c>
      <c r="B1401" s="47" t="s">
        <v>446</v>
      </c>
      <c r="C1401" s="48">
        <f>(C1388 + C1389* 'Stability Constants Subsonic'!$C$16*'Supersonic Stability'!$C$4/'Initial Estimates'!$C$5)*'Stability Constants Subsonic'!$C$8/'Initial Estimates'!$C$10 - 'Supersonic Stability'!C1389*'Stability Constants Subsonic'!$C$16*'Supersonic Stability'!$C$4/'Initial Estimates'!$C$5*'Stability Constants Subsonic'!$C$10/'Initial Estimates'!$C$10+'Supersonic Stability'!$C$5+('Supersonic Stability'!C1395+'Stability Constants Subsonic'!$C$11*'Supersonic Stability'!C1396)/('Stability Constants Subsonic'!$C$13*'Initial Estimates'!$C$5*'Initial Estimates'!$C$10)</f>
        <v>1.4694352581145965E-2</v>
      </c>
      <c r="D1401" s="49" t="s">
        <v>125</v>
      </c>
      <c r="E1401" s="49" t="s">
        <v>137</v>
      </c>
      <c r="F1401" s="49" t="s">
        <v>21</v>
      </c>
      <c r="G1401" s="29" t="s">
        <v>460</v>
      </c>
      <c r="H1401" s="110" t="s">
        <v>438</v>
      </c>
      <c r="I1401" s="110"/>
      <c r="J1401" s="110"/>
      <c r="K1401" s="110"/>
      <c r="L1401" s="110"/>
    </row>
    <row r="1402" spans="1:12" ht="18" customHeight="1" x14ac:dyDescent="0.2">
      <c r="A1402" s="49" t="s">
        <v>506</v>
      </c>
      <c r="B1402" s="47" t="s">
        <v>453</v>
      </c>
      <c r="C1402" s="48">
        <f xml:space="preserve"> ( C1368 + C1369*(1 - C1370)*'Stability Constants Subsonic'!$C$16*('Supersonic Stability'!$C$4/'Initial Estimates'!$C$5))*('Stability Constants Subsonic'!$C$8/'Initial Estimates'!$C$10) - C1369*(1 - C1370)*'Stability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0.27787826558650752</v>
      </c>
      <c r="D1402" s="49" t="s">
        <v>125</v>
      </c>
      <c r="E1402" s="49" t="s">
        <v>421</v>
      </c>
      <c r="F1402" s="49" t="s">
        <v>21</v>
      </c>
      <c r="G1402" s="29" t="s">
        <v>458</v>
      </c>
      <c r="H1402" s="110" t="s">
        <v>438</v>
      </c>
      <c r="I1402" s="110"/>
      <c r="J1402" s="110"/>
      <c r="K1402" s="110"/>
      <c r="L1402" s="110"/>
    </row>
    <row r="1403" spans="1:12" ht="18" customHeight="1" x14ac:dyDescent="0.2">
      <c r="A1403" s="49" t="s">
        <v>507</v>
      </c>
      <c r="B1403" s="47" t="s">
        <v>453</v>
      </c>
      <c r="C1403" s="48">
        <f xml:space="preserve"> ( C1380 + C1381*(1 - C1382)*'Stability Constants Subsonic'!$C$16*('Supersonic Stability'!$C$4/'Initial Estimates'!$C$5))*('Stability Constants Subsonic'!$C$8/'Initial Estimates'!$C$10) - C1381*(1 - C1382)*'Stability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0.3098707865980781</v>
      </c>
      <c r="D1403" s="49" t="s">
        <v>125</v>
      </c>
      <c r="E1403" s="49" t="s">
        <v>421</v>
      </c>
      <c r="F1403" s="49" t="s">
        <v>21</v>
      </c>
      <c r="G1403" s="29" t="s">
        <v>458</v>
      </c>
      <c r="H1403" s="110" t="s">
        <v>438</v>
      </c>
      <c r="I1403" s="110"/>
      <c r="J1403" s="110"/>
      <c r="K1403" s="110"/>
      <c r="L1403" s="110"/>
    </row>
    <row r="1404" spans="1:12" ht="18" customHeight="1" x14ac:dyDescent="0.2">
      <c r="A1404" s="49" t="s">
        <v>505</v>
      </c>
      <c r="B1404" s="47" t="s">
        <v>453</v>
      </c>
      <c r="C1404" s="48">
        <f xml:space="preserve"> ( C1392 + C1393*(1 - C1394)*'Stability Constants Subsonic'!$C$16*('Supersonic Stability'!$C$4/'Initial Estimates'!$C$5))*('Stability Constants Subsonic'!$C$8/'Initial Estimates'!$C$10) - C1393*(1 - C1394)*'Stability Constants Subsonic'!$C$16*'Supersonic Stability'!$C$3 + 2*('Stability Constants Subsonic'!$C$4-'Stability Constants Subsonic'!$C$3)*'Stability Constants Subsonic'!$C$14/('Initial Estimates'!$C$10*'Initial Estimates'!$C$5) + 2*'Stability Constants Subsonic'!$C$11*('Stability Constants Subsonic'!$C$6-'Stability Constants Subsonic'!$C$5)*'Stability Constants Subsonic'!$C$15/('Initial Estimates'!$C$10*'Initial Estimates'!$C$5)</f>
        <v>0.33701902754565116</v>
      </c>
      <c r="D1404" s="49" t="s">
        <v>125</v>
      </c>
      <c r="E1404" s="49" t="s">
        <v>421</v>
      </c>
      <c r="F1404" s="49" t="s">
        <v>21</v>
      </c>
      <c r="G1404" s="29" t="s">
        <v>458</v>
      </c>
      <c r="H1404" s="110" t="s">
        <v>438</v>
      </c>
      <c r="I1404" s="110"/>
      <c r="J1404" s="110"/>
      <c r="K1404" s="110"/>
      <c r="L1404" s="110"/>
    </row>
    <row r="1411" spans="7:7" ht="18" customHeight="1" x14ac:dyDescent="0.2">
      <c r="G1411" s="49"/>
    </row>
    <row r="1412" spans="7:7" ht="18" customHeight="1" x14ac:dyDescent="0.2">
      <c r="G1412" s="49"/>
    </row>
  </sheetData>
  <dataConsolidate/>
  <mergeCells count="1198">
    <mergeCell ref="H1201:L1201"/>
    <mergeCell ref="H1210:L1210"/>
    <mergeCell ref="H1228:L1228"/>
    <mergeCell ref="H1184:L1184"/>
    <mergeCell ref="H1185:L1185"/>
    <mergeCell ref="H1186:L1186"/>
    <mergeCell ref="H1187:L1187"/>
    <mergeCell ref="H1188:L1188"/>
    <mergeCell ref="H1189:L1189"/>
    <mergeCell ref="A1190:L1190"/>
    <mergeCell ref="H1191:L1191"/>
    <mergeCell ref="H1192:L1192"/>
    <mergeCell ref="H1175:L1175"/>
    <mergeCell ref="H1176:L1176"/>
    <mergeCell ref="H1177:L1177"/>
    <mergeCell ref="H1178:L1178"/>
    <mergeCell ref="H1179:L1179"/>
    <mergeCell ref="H1180:L1180"/>
    <mergeCell ref="H1181:L1181"/>
    <mergeCell ref="H1182:L1182"/>
    <mergeCell ref="H1183:L1183"/>
    <mergeCell ref="H1166:L1166"/>
    <mergeCell ref="H1167:L1167"/>
    <mergeCell ref="H1168:L1168"/>
    <mergeCell ref="H1169:L1169"/>
    <mergeCell ref="H1170:L1170"/>
    <mergeCell ref="H1171:L1171"/>
    <mergeCell ref="H1172:L1172"/>
    <mergeCell ref="H1173:L1173"/>
    <mergeCell ref="H1174:L1174"/>
    <mergeCell ref="H1157:L1157"/>
    <mergeCell ref="H1158:L1158"/>
    <mergeCell ref="H1159:L1159"/>
    <mergeCell ref="H1160:L1160"/>
    <mergeCell ref="H1161:L1161"/>
    <mergeCell ref="H1162:L1162"/>
    <mergeCell ref="H1163:L1163"/>
    <mergeCell ref="H1164:L1164"/>
    <mergeCell ref="H1165:L1165"/>
    <mergeCell ref="H1148:L1148"/>
    <mergeCell ref="H1149:L1149"/>
    <mergeCell ref="H1150:L1150"/>
    <mergeCell ref="H1151:L1151"/>
    <mergeCell ref="H1152:L1152"/>
    <mergeCell ref="H1153:L1153"/>
    <mergeCell ref="H1154:L1154"/>
    <mergeCell ref="H1155:L1155"/>
    <mergeCell ref="H1156:L1156"/>
    <mergeCell ref="H1139:L1139"/>
    <mergeCell ref="H1140:L1140"/>
    <mergeCell ref="H1141:L1141"/>
    <mergeCell ref="H1142:L1142"/>
    <mergeCell ref="H1143:L1143"/>
    <mergeCell ref="H1144:L1144"/>
    <mergeCell ref="H1145:L1145"/>
    <mergeCell ref="H1146:L1146"/>
    <mergeCell ref="H1147:L1147"/>
    <mergeCell ref="H1130:L1130"/>
    <mergeCell ref="H1131:L1131"/>
    <mergeCell ref="H1132:L1132"/>
    <mergeCell ref="H1133:L1133"/>
    <mergeCell ref="H1134:L1134"/>
    <mergeCell ref="H1135:L1135"/>
    <mergeCell ref="H1136:L1136"/>
    <mergeCell ref="H1137:L1137"/>
    <mergeCell ref="H1138:L1138"/>
    <mergeCell ref="H1121:L1121"/>
    <mergeCell ref="H1122:L1122"/>
    <mergeCell ref="H1123:L1123"/>
    <mergeCell ref="H1124:L1124"/>
    <mergeCell ref="H1125:L1125"/>
    <mergeCell ref="H1126:L1126"/>
    <mergeCell ref="H1127:L1127"/>
    <mergeCell ref="H1128:L1128"/>
    <mergeCell ref="H1129:L1129"/>
    <mergeCell ref="H1112:L1112"/>
    <mergeCell ref="H1113:L1113"/>
    <mergeCell ref="H1114:L1114"/>
    <mergeCell ref="H1115:L1115"/>
    <mergeCell ref="H1116:L1116"/>
    <mergeCell ref="H1117:L1117"/>
    <mergeCell ref="H1118:L1118"/>
    <mergeCell ref="H1119:L1119"/>
    <mergeCell ref="H1120:L1120"/>
    <mergeCell ref="H1103:L1103"/>
    <mergeCell ref="H1104:L1104"/>
    <mergeCell ref="H1105:L1105"/>
    <mergeCell ref="A1106:L1106"/>
    <mergeCell ref="H1107:L1107"/>
    <mergeCell ref="H1108:L1108"/>
    <mergeCell ref="H1109:L1109"/>
    <mergeCell ref="H1110:L1110"/>
    <mergeCell ref="H1111:L1111"/>
    <mergeCell ref="H1094:L1094"/>
    <mergeCell ref="H1095:L1095"/>
    <mergeCell ref="H1096:L1096"/>
    <mergeCell ref="H1097:L1097"/>
    <mergeCell ref="H1098:L1098"/>
    <mergeCell ref="H1099:L1099"/>
    <mergeCell ref="H1100:L1100"/>
    <mergeCell ref="H1101:L1101"/>
    <mergeCell ref="H1102:L1102"/>
    <mergeCell ref="H1085:L1085"/>
    <mergeCell ref="H1086:L1086"/>
    <mergeCell ref="H1087:L1087"/>
    <mergeCell ref="H1088:L1088"/>
    <mergeCell ref="H1089:L1089"/>
    <mergeCell ref="H1090:L1090"/>
    <mergeCell ref="H1091:L1091"/>
    <mergeCell ref="H1092:L1092"/>
    <mergeCell ref="H1093:L1093"/>
    <mergeCell ref="H1076:L1076"/>
    <mergeCell ref="H1077:L1077"/>
    <mergeCell ref="H1078:L1078"/>
    <mergeCell ref="H1079:L1079"/>
    <mergeCell ref="H1080:L1080"/>
    <mergeCell ref="H1081:L1081"/>
    <mergeCell ref="H1082:L1082"/>
    <mergeCell ref="H1083:L1083"/>
    <mergeCell ref="H1084:L1084"/>
    <mergeCell ref="H1067:L1067"/>
    <mergeCell ref="H1068:L1068"/>
    <mergeCell ref="H1069:L1069"/>
    <mergeCell ref="H1070:L1070"/>
    <mergeCell ref="H1071:L1071"/>
    <mergeCell ref="H1072:L1072"/>
    <mergeCell ref="H1073:L1073"/>
    <mergeCell ref="H1074:L1074"/>
    <mergeCell ref="H1075:L1075"/>
    <mergeCell ref="H1058:L1058"/>
    <mergeCell ref="H1059:L1059"/>
    <mergeCell ref="H1060:L1060"/>
    <mergeCell ref="H1061:L1061"/>
    <mergeCell ref="H1062:L1062"/>
    <mergeCell ref="H1063:L1063"/>
    <mergeCell ref="H1064:L1064"/>
    <mergeCell ref="H1065:L1065"/>
    <mergeCell ref="H1066:L1066"/>
    <mergeCell ref="H1049:L1049"/>
    <mergeCell ref="H1050:L1050"/>
    <mergeCell ref="H1051:L1051"/>
    <mergeCell ref="H1052:L1052"/>
    <mergeCell ref="H1053:L1053"/>
    <mergeCell ref="H1054:L1054"/>
    <mergeCell ref="H1055:L1055"/>
    <mergeCell ref="H1056:L1056"/>
    <mergeCell ref="H1057:L1057"/>
    <mergeCell ref="H1040:L1040"/>
    <mergeCell ref="H1041:L1041"/>
    <mergeCell ref="H1042:L1042"/>
    <mergeCell ref="H1043:L1043"/>
    <mergeCell ref="H1044:L1044"/>
    <mergeCell ref="H1045:L1045"/>
    <mergeCell ref="H1046:L1046"/>
    <mergeCell ref="H1047:L1047"/>
    <mergeCell ref="H1048:L1048"/>
    <mergeCell ref="H1031:L1031"/>
    <mergeCell ref="H1032:L1032"/>
    <mergeCell ref="H1033:L1033"/>
    <mergeCell ref="H1034:L1034"/>
    <mergeCell ref="H1035:L1035"/>
    <mergeCell ref="H1036:L1036"/>
    <mergeCell ref="H1037:L1037"/>
    <mergeCell ref="H1038:L1038"/>
    <mergeCell ref="H1039:L1039"/>
    <mergeCell ref="A1022:L1022"/>
    <mergeCell ref="H1023:L1023"/>
    <mergeCell ref="H1024:L1024"/>
    <mergeCell ref="H1025:L1025"/>
    <mergeCell ref="H1026:L1026"/>
    <mergeCell ref="H1027:L1027"/>
    <mergeCell ref="H1028:L1028"/>
    <mergeCell ref="H1029:L1029"/>
    <mergeCell ref="H1030:L1030"/>
    <mergeCell ref="H1013:L1013"/>
    <mergeCell ref="H1014:L1014"/>
    <mergeCell ref="H1015:L1015"/>
    <mergeCell ref="H1016:L1016"/>
    <mergeCell ref="H1017:L1017"/>
    <mergeCell ref="H1018:L1018"/>
    <mergeCell ref="H1019:L1019"/>
    <mergeCell ref="H1020:L1020"/>
    <mergeCell ref="H1021:L1021"/>
    <mergeCell ref="H1004:L1004"/>
    <mergeCell ref="H1005:L1005"/>
    <mergeCell ref="H1006:L1006"/>
    <mergeCell ref="H1007:L1007"/>
    <mergeCell ref="H1008:L1008"/>
    <mergeCell ref="H1009:L1009"/>
    <mergeCell ref="H1010:L1010"/>
    <mergeCell ref="H1011:L1011"/>
    <mergeCell ref="H1012:L1012"/>
    <mergeCell ref="H995:L995"/>
    <mergeCell ref="H996:L996"/>
    <mergeCell ref="H997:L997"/>
    <mergeCell ref="H998:L998"/>
    <mergeCell ref="H999:L999"/>
    <mergeCell ref="H1000:L1000"/>
    <mergeCell ref="H1001:L1001"/>
    <mergeCell ref="H1002:L1002"/>
    <mergeCell ref="H1003:L1003"/>
    <mergeCell ref="H986:L986"/>
    <mergeCell ref="H987:L987"/>
    <mergeCell ref="H988:L988"/>
    <mergeCell ref="H989:L989"/>
    <mergeCell ref="H990:L990"/>
    <mergeCell ref="H991:L991"/>
    <mergeCell ref="H992:L992"/>
    <mergeCell ref="H993:L993"/>
    <mergeCell ref="H994:L994"/>
    <mergeCell ref="H977:L977"/>
    <mergeCell ref="H978:L978"/>
    <mergeCell ref="H979:L979"/>
    <mergeCell ref="H980:L980"/>
    <mergeCell ref="H981:L981"/>
    <mergeCell ref="H982:L982"/>
    <mergeCell ref="H983:L983"/>
    <mergeCell ref="H984:L984"/>
    <mergeCell ref="H985:L985"/>
    <mergeCell ref="H968:L968"/>
    <mergeCell ref="H969:L969"/>
    <mergeCell ref="H970:L970"/>
    <mergeCell ref="H971:L971"/>
    <mergeCell ref="H972:L972"/>
    <mergeCell ref="H973:L973"/>
    <mergeCell ref="H974:L974"/>
    <mergeCell ref="H975:L975"/>
    <mergeCell ref="H976:L976"/>
    <mergeCell ref="H959:L959"/>
    <mergeCell ref="H960:L960"/>
    <mergeCell ref="H961:L961"/>
    <mergeCell ref="H962:L962"/>
    <mergeCell ref="H963:L963"/>
    <mergeCell ref="H964:L964"/>
    <mergeCell ref="H965:L965"/>
    <mergeCell ref="H966:L966"/>
    <mergeCell ref="H967:L967"/>
    <mergeCell ref="H950:L950"/>
    <mergeCell ref="H951:L951"/>
    <mergeCell ref="H952:L952"/>
    <mergeCell ref="H953:L953"/>
    <mergeCell ref="H954:L954"/>
    <mergeCell ref="H955:L955"/>
    <mergeCell ref="H956:L956"/>
    <mergeCell ref="H957:L957"/>
    <mergeCell ref="H958:L958"/>
    <mergeCell ref="H941:L941"/>
    <mergeCell ref="H942:L942"/>
    <mergeCell ref="H943:L943"/>
    <mergeCell ref="H944:L944"/>
    <mergeCell ref="H945:L945"/>
    <mergeCell ref="H946:L946"/>
    <mergeCell ref="H947:L947"/>
    <mergeCell ref="H948:L948"/>
    <mergeCell ref="H949:L949"/>
    <mergeCell ref="H882:L882"/>
    <mergeCell ref="H883:L883"/>
    <mergeCell ref="H892:L892"/>
    <mergeCell ref="H901:L901"/>
    <mergeCell ref="H919:L919"/>
    <mergeCell ref="A937:L937"/>
    <mergeCell ref="A938:L938"/>
    <mergeCell ref="H939:L939"/>
    <mergeCell ref="H940:L940"/>
    <mergeCell ref="H873:L873"/>
    <mergeCell ref="H874:L874"/>
    <mergeCell ref="H875:L875"/>
    <mergeCell ref="H876:L876"/>
    <mergeCell ref="H877:L877"/>
    <mergeCell ref="H878:L878"/>
    <mergeCell ref="H879:L879"/>
    <mergeCell ref="H880:L880"/>
    <mergeCell ref="A881:L881"/>
    <mergeCell ref="H864:L864"/>
    <mergeCell ref="H865:L865"/>
    <mergeCell ref="H866:L866"/>
    <mergeCell ref="H867:L867"/>
    <mergeCell ref="H868:L868"/>
    <mergeCell ref="H869:L869"/>
    <mergeCell ref="H870:L870"/>
    <mergeCell ref="H871:L871"/>
    <mergeCell ref="H872:L872"/>
    <mergeCell ref="H855:L855"/>
    <mergeCell ref="H856:L856"/>
    <mergeCell ref="H857:L857"/>
    <mergeCell ref="H858:L858"/>
    <mergeCell ref="H859:L859"/>
    <mergeCell ref="H860:L860"/>
    <mergeCell ref="H861:L861"/>
    <mergeCell ref="H862:L862"/>
    <mergeCell ref="H863:L863"/>
    <mergeCell ref="H846:L846"/>
    <mergeCell ref="H847:L847"/>
    <mergeCell ref="H848:L848"/>
    <mergeCell ref="H849:L849"/>
    <mergeCell ref="H850:L850"/>
    <mergeCell ref="H851:L851"/>
    <mergeCell ref="H852:L852"/>
    <mergeCell ref="H853:L853"/>
    <mergeCell ref="H854:L854"/>
    <mergeCell ref="H837:L837"/>
    <mergeCell ref="H838:L838"/>
    <mergeCell ref="H839:L839"/>
    <mergeCell ref="H840:L840"/>
    <mergeCell ref="H841:L841"/>
    <mergeCell ref="H842:L842"/>
    <mergeCell ref="H843:L843"/>
    <mergeCell ref="H844:L844"/>
    <mergeCell ref="H845:L845"/>
    <mergeCell ref="H828:L828"/>
    <mergeCell ref="H829:L829"/>
    <mergeCell ref="H830:L830"/>
    <mergeCell ref="H831:L831"/>
    <mergeCell ref="H832:L832"/>
    <mergeCell ref="H833:L833"/>
    <mergeCell ref="H834:L834"/>
    <mergeCell ref="H835:L835"/>
    <mergeCell ref="H836:L836"/>
    <mergeCell ref="H819:L819"/>
    <mergeCell ref="H820:L820"/>
    <mergeCell ref="H821:L821"/>
    <mergeCell ref="H822:L822"/>
    <mergeCell ref="H823:L823"/>
    <mergeCell ref="H824:L824"/>
    <mergeCell ref="H825:L825"/>
    <mergeCell ref="H826:L826"/>
    <mergeCell ref="H827:L827"/>
    <mergeCell ref="H810:L810"/>
    <mergeCell ref="H811:L811"/>
    <mergeCell ref="H812:L812"/>
    <mergeCell ref="H813:L813"/>
    <mergeCell ref="H814:L814"/>
    <mergeCell ref="H815:L815"/>
    <mergeCell ref="H816:L816"/>
    <mergeCell ref="H817:L817"/>
    <mergeCell ref="H818:L818"/>
    <mergeCell ref="H801:L801"/>
    <mergeCell ref="H802:L802"/>
    <mergeCell ref="H803:L803"/>
    <mergeCell ref="H804:L804"/>
    <mergeCell ref="H805:L805"/>
    <mergeCell ref="H806:L806"/>
    <mergeCell ref="H807:L807"/>
    <mergeCell ref="H808:L808"/>
    <mergeCell ref="H809:L809"/>
    <mergeCell ref="H792:L792"/>
    <mergeCell ref="H793:L793"/>
    <mergeCell ref="H794:L794"/>
    <mergeCell ref="H795:L795"/>
    <mergeCell ref="H796:L796"/>
    <mergeCell ref="A797:L797"/>
    <mergeCell ref="H798:L798"/>
    <mergeCell ref="H799:L799"/>
    <mergeCell ref="H800:L800"/>
    <mergeCell ref="H783:L783"/>
    <mergeCell ref="H784:L784"/>
    <mergeCell ref="H785:L785"/>
    <mergeCell ref="H786:L786"/>
    <mergeCell ref="H787:L787"/>
    <mergeCell ref="H788:L788"/>
    <mergeCell ref="H789:L789"/>
    <mergeCell ref="H790:L790"/>
    <mergeCell ref="H791:L791"/>
    <mergeCell ref="H774:L774"/>
    <mergeCell ref="H775:L775"/>
    <mergeCell ref="H776:L776"/>
    <mergeCell ref="H777:L777"/>
    <mergeCell ref="H778:L778"/>
    <mergeCell ref="H779:L779"/>
    <mergeCell ref="H780:L780"/>
    <mergeCell ref="H781:L781"/>
    <mergeCell ref="H782:L782"/>
    <mergeCell ref="H765:L765"/>
    <mergeCell ref="H766:L766"/>
    <mergeCell ref="H767:L767"/>
    <mergeCell ref="H768:L768"/>
    <mergeCell ref="H769:L769"/>
    <mergeCell ref="H770:L770"/>
    <mergeCell ref="H771:L771"/>
    <mergeCell ref="H772:L772"/>
    <mergeCell ref="H773:L773"/>
    <mergeCell ref="H756:L756"/>
    <mergeCell ref="H757:L757"/>
    <mergeCell ref="H758:L758"/>
    <mergeCell ref="H759:L759"/>
    <mergeCell ref="H760:L760"/>
    <mergeCell ref="H761:L761"/>
    <mergeCell ref="H762:L762"/>
    <mergeCell ref="H763:L763"/>
    <mergeCell ref="H764:L764"/>
    <mergeCell ref="H747:L747"/>
    <mergeCell ref="H748:L748"/>
    <mergeCell ref="H749:L749"/>
    <mergeCell ref="H750:L750"/>
    <mergeCell ref="H751:L751"/>
    <mergeCell ref="H752:L752"/>
    <mergeCell ref="H753:L753"/>
    <mergeCell ref="H754:L754"/>
    <mergeCell ref="H755:L755"/>
    <mergeCell ref="H738:L738"/>
    <mergeCell ref="H739:L739"/>
    <mergeCell ref="H740:L740"/>
    <mergeCell ref="H741:L741"/>
    <mergeCell ref="H742:L742"/>
    <mergeCell ref="H743:L743"/>
    <mergeCell ref="H744:L744"/>
    <mergeCell ref="H745:L745"/>
    <mergeCell ref="H746:L746"/>
    <mergeCell ref="H729:L729"/>
    <mergeCell ref="H730:L730"/>
    <mergeCell ref="H731:L731"/>
    <mergeCell ref="H732:L732"/>
    <mergeCell ref="H733:L733"/>
    <mergeCell ref="H734:L734"/>
    <mergeCell ref="H735:L735"/>
    <mergeCell ref="H736:L736"/>
    <mergeCell ref="H737:L737"/>
    <mergeCell ref="H720:L720"/>
    <mergeCell ref="H721:L721"/>
    <mergeCell ref="H722:L722"/>
    <mergeCell ref="H723:L723"/>
    <mergeCell ref="H724:L724"/>
    <mergeCell ref="H725:L725"/>
    <mergeCell ref="H726:L726"/>
    <mergeCell ref="H727:L727"/>
    <mergeCell ref="H728:L728"/>
    <mergeCell ref="H711:L711"/>
    <mergeCell ref="H712:L712"/>
    <mergeCell ref="A713:L713"/>
    <mergeCell ref="H714:L714"/>
    <mergeCell ref="H715:L715"/>
    <mergeCell ref="H716:L716"/>
    <mergeCell ref="H717:L717"/>
    <mergeCell ref="H718:L718"/>
    <mergeCell ref="H719:L719"/>
    <mergeCell ref="H702:L702"/>
    <mergeCell ref="H703:L703"/>
    <mergeCell ref="H704:L704"/>
    <mergeCell ref="H705:L705"/>
    <mergeCell ref="H706:L706"/>
    <mergeCell ref="H707:L707"/>
    <mergeCell ref="H708:L708"/>
    <mergeCell ref="H709:L709"/>
    <mergeCell ref="H710:L710"/>
    <mergeCell ref="H693:L693"/>
    <mergeCell ref="H694:L694"/>
    <mergeCell ref="H695:L695"/>
    <mergeCell ref="H696:L696"/>
    <mergeCell ref="H697:L697"/>
    <mergeCell ref="H698:L698"/>
    <mergeCell ref="H699:L699"/>
    <mergeCell ref="H700:L700"/>
    <mergeCell ref="H701:L701"/>
    <mergeCell ref="H684:L684"/>
    <mergeCell ref="H685:L685"/>
    <mergeCell ref="H686:L686"/>
    <mergeCell ref="H687:L687"/>
    <mergeCell ref="H688:L688"/>
    <mergeCell ref="H689:L689"/>
    <mergeCell ref="H690:L690"/>
    <mergeCell ref="H691:L691"/>
    <mergeCell ref="H692:L692"/>
    <mergeCell ref="H675:L675"/>
    <mergeCell ref="H676:L676"/>
    <mergeCell ref="H677:L677"/>
    <mergeCell ref="H678:L678"/>
    <mergeCell ref="H679:L679"/>
    <mergeCell ref="H680:L680"/>
    <mergeCell ref="H681:L681"/>
    <mergeCell ref="H682:L682"/>
    <mergeCell ref="H683:L683"/>
    <mergeCell ref="H666:L666"/>
    <mergeCell ref="H667:L667"/>
    <mergeCell ref="H668:L668"/>
    <mergeCell ref="H669:L669"/>
    <mergeCell ref="H670:L670"/>
    <mergeCell ref="H671:L671"/>
    <mergeCell ref="H672:L672"/>
    <mergeCell ref="H673:L673"/>
    <mergeCell ref="H674:L674"/>
    <mergeCell ref="H657:L657"/>
    <mergeCell ref="H658:L658"/>
    <mergeCell ref="H659:L659"/>
    <mergeCell ref="H660:L660"/>
    <mergeCell ref="H661:L661"/>
    <mergeCell ref="H662:L662"/>
    <mergeCell ref="H663:L663"/>
    <mergeCell ref="H664:L664"/>
    <mergeCell ref="H665:L665"/>
    <mergeCell ref="H648:L648"/>
    <mergeCell ref="H649:L649"/>
    <mergeCell ref="H650:L650"/>
    <mergeCell ref="H651:L651"/>
    <mergeCell ref="H652:L652"/>
    <mergeCell ref="H653:L653"/>
    <mergeCell ref="H654:L654"/>
    <mergeCell ref="H655:L655"/>
    <mergeCell ref="H656:L656"/>
    <mergeCell ref="H639:L639"/>
    <mergeCell ref="H640:L640"/>
    <mergeCell ref="H641:L641"/>
    <mergeCell ref="H642:L642"/>
    <mergeCell ref="H643:L643"/>
    <mergeCell ref="H644:L644"/>
    <mergeCell ref="H645:L645"/>
    <mergeCell ref="H646:L646"/>
    <mergeCell ref="H647:L647"/>
    <mergeCell ref="H630:L630"/>
    <mergeCell ref="H631:L631"/>
    <mergeCell ref="H632:L632"/>
    <mergeCell ref="H633:L633"/>
    <mergeCell ref="H634:L634"/>
    <mergeCell ref="H635:L635"/>
    <mergeCell ref="H636:L636"/>
    <mergeCell ref="H637:L637"/>
    <mergeCell ref="H638:L638"/>
    <mergeCell ref="A570:L570"/>
    <mergeCell ref="H571:L571"/>
    <mergeCell ref="H572:L572"/>
    <mergeCell ref="H581:L581"/>
    <mergeCell ref="H590:L590"/>
    <mergeCell ref="H608:L608"/>
    <mergeCell ref="A626:L626"/>
    <mergeCell ref="A627:L628"/>
    <mergeCell ref="A629:L629"/>
    <mergeCell ref="H561:L561"/>
    <mergeCell ref="H562:L562"/>
    <mergeCell ref="H563:L563"/>
    <mergeCell ref="H564:L564"/>
    <mergeCell ref="H565:L565"/>
    <mergeCell ref="H566:L566"/>
    <mergeCell ref="H567:L567"/>
    <mergeCell ref="H568:L568"/>
    <mergeCell ref="H569:L569"/>
    <mergeCell ref="H552:L552"/>
    <mergeCell ref="H553:L553"/>
    <mergeCell ref="H554:L554"/>
    <mergeCell ref="H555:L555"/>
    <mergeCell ref="H556:L556"/>
    <mergeCell ref="H557:L557"/>
    <mergeCell ref="H558:L558"/>
    <mergeCell ref="H559:L559"/>
    <mergeCell ref="H560:L560"/>
    <mergeCell ref="H543:L543"/>
    <mergeCell ref="H544:L544"/>
    <mergeCell ref="H545:L545"/>
    <mergeCell ref="H546:L546"/>
    <mergeCell ref="H547:L547"/>
    <mergeCell ref="H548:L548"/>
    <mergeCell ref="H549:L549"/>
    <mergeCell ref="H550:L550"/>
    <mergeCell ref="H551:L551"/>
    <mergeCell ref="H534:L534"/>
    <mergeCell ref="H535:L535"/>
    <mergeCell ref="H536:L536"/>
    <mergeCell ref="H537:L537"/>
    <mergeCell ref="H538:L538"/>
    <mergeCell ref="H539:L539"/>
    <mergeCell ref="H540:L540"/>
    <mergeCell ref="H541:L541"/>
    <mergeCell ref="H542:L542"/>
    <mergeCell ref="H525:L525"/>
    <mergeCell ref="H526:L526"/>
    <mergeCell ref="H527:L527"/>
    <mergeCell ref="H528:L528"/>
    <mergeCell ref="H529:L529"/>
    <mergeCell ref="H530:L530"/>
    <mergeCell ref="H531:L531"/>
    <mergeCell ref="H532:L532"/>
    <mergeCell ref="H533:L533"/>
    <mergeCell ref="H516:L516"/>
    <mergeCell ref="H517:L517"/>
    <mergeCell ref="H518:L518"/>
    <mergeCell ref="H519:L519"/>
    <mergeCell ref="H520:L520"/>
    <mergeCell ref="H521:L521"/>
    <mergeCell ref="H522:L522"/>
    <mergeCell ref="H523:L523"/>
    <mergeCell ref="H524:L524"/>
    <mergeCell ref="H507:L507"/>
    <mergeCell ref="H508:L508"/>
    <mergeCell ref="H509:L509"/>
    <mergeCell ref="H510:L510"/>
    <mergeCell ref="H511:L511"/>
    <mergeCell ref="H512:L512"/>
    <mergeCell ref="H513:L513"/>
    <mergeCell ref="H514:L514"/>
    <mergeCell ref="H515:L515"/>
    <mergeCell ref="H498:L498"/>
    <mergeCell ref="H499:L499"/>
    <mergeCell ref="H500:L500"/>
    <mergeCell ref="H501:L501"/>
    <mergeCell ref="H502:L502"/>
    <mergeCell ref="H503:L503"/>
    <mergeCell ref="H504:L504"/>
    <mergeCell ref="H505:L505"/>
    <mergeCell ref="H506:L506"/>
    <mergeCell ref="H489:L489"/>
    <mergeCell ref="H490:L490"/>
    <mergeCell ref="H491:L491"/>
    <mergeCell ref="H492:L492"/>
    <mergeCell ref="H493:L493"/>
    <mergeCell ref="H494:L494"/>
    <mergeCell ref="H495:L495"/>
    <mergeCell ref="H496:L496"/>
    <mergeCell ref="H497:L497"/>
    <mergeCell ref="H480:L480"/>
    <mergeCell ref="H481:L481"/>
    <mergeCell ref="H482:L482"/>
    <mergeCell ref="H483:L483"/>
    <mergeCell ref="H484:L484"/>
    <mergeCell ref="H485:L485"/>
    <mergeCell ref="A486:L486"/>
    <mergeCell ref="H487:L487"/>
    <mergeCell ref="H488:L488"/>
    <mergeCell ref="H471:L471"/>
    <mergeCell ref="H472:L472"/>
    <mergeCell ref="H473:L473"/>
    <mergeCell ref="H474:L474"/>
    <mergeCell ref="H475:L475"/>
    <mergeCell ref="H476:L476"/>
    <mergeCell ref="H477:L477"/>
    <mergeCell ref="H478:L478"/>
    <mergeCell ref="H479:L479"/>
    <mergeCell ref="H462:L462"/>
    <mergeCell ref="H463:L463"/>
    <mergeCell ref="H464:L464"/>
    <mergeCell ref="H465:L465"/>
    <mergeCell ref="H466:L466"/>
    <mergeCell ref="H467:L467"/>
    <mergeCell ref="H468:L468"/>
    <mergeCell ref="H469:L469"/>
    <mergeCell ref="H470:L470"/>
    <mergeCell ref="H453:L453"/>
    <mergeCell ref="H454:L454"/>
    <mergeCell ref="H455:L455"/>
    <mergeCell ref="H456:L456"/>
    <mergeCell ref="H457:L457"/>
    <mergeCell ref="H458:L458"/>
    <mergeCell ref="H459:L459"/>
    <mergeCell ref="H460:L460"/>
    <mergeCell ref="H461:L461"/>
    <mergeCell ref="H444:L444"/>
    <mergeCell ref="H445:L445"/>
    <mergeCell ref="H446:L446"/>
    <mergeCell ref="H447:L447"/>
    <mergeCell ref="H448:L448"/>
    <mergeCell ref="H449:L449"/>
    <mergeCell ref="H450:L450"/>
    <mergeCell ref="H451:L451"/>
    <mergeCell ref="H452:L452"/>
    <mergeCell ref="H435:L435"/>
    <mergeCell ref="H436:L436"/>
    <mergeCell ref="H437:L437"/>
    <mergeCell ref="H438:L438"/>
    <mergeCell ref="H439:L439"/>
    <mergeCell ref="H440:L440"/>
    <mergeCell ref="H441:L441"/>
    <mergeCell ref="H442:L442"/>
    <mergeCell ref="H443:L443"/>
    <mergeCell ref="H426:L426"/>
    <mergeCell ref="H427:L427"/>
    <mergeCell ref="H428:L428"/>
    <mergeCell ref="H429:L429"/>
    <mergeCell ref="H430:L430"/>
    <mergeCell ref="H431:L431"/>
    <mergeCell ref="H432:L432"/>
    <mergeCell ref="H433:L433"/>
    <mergeCell ref="H434:L434"/>
    <mergeCell ref="H417:L417"/>
    <mergeCell ref="H418:L418"/>
    <mergeCell ref="H419:L419"/>
    <mergeCell ref="H420:L420"/>
    <mergeCell ref="H421:L421"/>
    <mergeCell ref="H422:L422"/>
    <mergeCell ref="H423:L423"/>
    <mergeCell ref="H424:L424"/>
    <mergeCell ref="H425:L425"/>
    <mergeCell ref="H408:L408"/>
    <mergeCell ref="H409:L409"/>
    <mergeCell ref="H410:L410"/>
    <mergeCell ref="H411:L411"/>
    <mergeCell ref="H412:L412"/>
    <mergeCell ref="H413:L413"/>
    <mergeCell ref="H414:L414"/>
    <mergeCell ref="H415:L415"/>
    <mergeCell ref="H416:L416"/>
    <mergeCell ref="H399:L399"/>
    <mergeCell ref="H400:L400"/>
    <mergeCell ref="H401:L401"/>
    <mergeCell ref="A402:L402"/>
    <mergeCell ref="H403:L403"/>
    <mergeCell ref="H404:L404"/>
    <mergeCell ref="H405:L405"/>
    <mergeCell ref="H406:L406"/>
    <mergeCell ref="H407:L407"/>
    <mergeCell ref="H390:L390"/>
    <mergeCell ref="H391:L391"/>
    <mergeCell ref="H392:L392"/>
    <mergeCell ref="H393:L393"/>
    <mergeCell ref="H394:L394"/>
    <mergeCell ref="H395:L395"/>
    <mergeCell ref="H396:L396"/>
    <mergeCell ref="H397:L397"/>
    <mergeCell ref="H398:L398"/>
    <mergeCell ref="H381:L381"/>
    <mergeCell ref="H382:L382"/>
    <mergeCell ref="H383:L383"/>
    <mergeCell ref="H384:L384"/>
    <mergeCell ref="H385:L385"/>
    <mergeCell ref="H386:L386"/>
    <mergeCell ref="H387:L387"/>
    <mergeCell ref="H388:L388"/>
    <mergeCell ref="H389:L389"/>
    <mergeCell ref="H372:L372"/>
    <mergeCell ref="H373:L373"/>
    <mergeCell ref="H374:L374"/>
    <mergeCell ref="H375:L375"/>
    <mergeCell ref="H376:L376"/>
    <mergeCell ref="H377:L377"/>
    <mergeCell ref="H378:L378"/>
    <mergeCell ref="H379:L379"/>
    <mergeCell ref="H380:L380"/>
    <mergeCell ref="H363:L363"/>
    <mergeCell ref="H364:L364"/>
    <mergeCell ref="H365:L365"/>
    <mergeCell ref="H366:L366"/>
    <mergeCell ref="H367:L367"/>
    <mergeCell ref="H368:L368"/>
    <mergeCell ref="H369:L369"/>
    <mergeCell ref="H370:L370"/>
    <mergeCell ref="H371:L371"/>
    <mergeCell ref="H354:L354"/>
    <mergeCell ref="H355:L355"/>
    <mergeCell ref="H356:L356"/>
    <mergeCell ref="H357:L357"/>
    <mergeCell ref="H358:L358"/>
    <mergeCell ref="H359:L359"/>
    <mergeCell ref="H360:L360"/>
    <mergeCell ref="H361:L361"/>
    <mergeCell ref="H362:L362"/>
    <mergeCell ref="H345:L345"/>
    <mergeCell ref="H346:L346"/>
    <mergeCell ref="H347:L347"/>
    <mergeCell ref="H348:L348"/>
    <mergeCell ref="H349:L349"/>
    <mergeCell ref="H350:L350"/>
    <mergeCell ref="H351:L351"/>
    <mergeCell ref="H352:L352"/>
    <mergeCell ref="H353:L353"/>
    <mergeCell ref="H336:L336"/>
    <mergeCell ref="H337:L337"/>
    <mergeCell ref="H338:L338"/>
    <mergeCell ref="H339:L339"/>
    <mergeCell ref="H340:L340"/>
    <mergeCell ref="H341:L341"/>
    <mergeCell ref="H342:L342"/>
    <mergeCell ref="H343:L343"/>
    <mergeCell ref="H344:L344"/>
    <mergeCell ref="H327:L327"/>
    <mergeCell ref="H328:L328"/>
    <mergeCell ref="H329:L329"/>
    <mergeCell ref="H330:L330"/>
    <mergeCell ref="H331:L331"/>
    <mergeCell ref="H332:L332"/>
    <mergeCell ref="H333:L333"/>
    <mergeCell ref="H334:L334"/>
    <mergeCell ref="H335:L335"/>
    <mergeCell ref="A318:L318"/>
    <mergeCell ref="H319:L319"/>
    <mergeCell ref="H320:L320"/>
    <mergeCell ref="H321:L321"/>
    <mergeCell ref="H322:L322"/>
    <mergeCell ref="H323:L323"/>
    <mergeCell ref="H324:L324"/>
    <mergeCell ref="H325:L325"/>
    <mergeCell ref="H326:L326"/>
    <mergeCell ref="H1403:L1403"/>
    <mergeCell ref="H1404:L1404"/>
    <mergeCell ref="A1397:L1397"/>
    <mergeCell ref="H1398:L1398"/>
    <mergeCell ref="H1399:L1399"/>
    <mergeCell ref="H1400:L1400"/>
    <mergeCell ref="H1401:L1401"/>
    <mergeCell ref="H1402:L1402"/>
    <mergeCell ref="H1391:L1391"/>
    <mergeCell ref="H1392:L1392"/>
    <mergeCell ref="H1393:L1393"/>
    <mergeCell ref="H1394:L1394"/>
    <mergeCell ref="H1395:L1395"/>
    <mergeCell ref="H1396:L1396"/>
    <mergeCell ref="H1386:L1386"/>
    <mergeCell ref="H1387:L1387"/>
    <mergeCell ref="H1388:L1388"/>
    <mergeCell ref="H1389:L1389"/>
    <mergeCell ref="H1390:L1390"/>
    <mergeCell ref="H1379:L1379"/>
    <mergeCell ref="H1380:L1380"/>
    <mergeCell ref="H1381:L1381"/>
    <mergeCell ref="H1382:L1382"/>
    <mergeCell ref="H1383:L1383"/>
    <mergeCell ref="H1384:L1384"/>
    <mergeCell ref="A1385:L1385"/>
    <mergeCell ref="A1373:L1373"/>
    <mergeCell ref="H1374:L1374"/>
    <mergeCell ref="H1375:L1375"/>
    <mergeCell ref="H1376:L1376"/>
    <mergeCell ref="H1377:L1377"/>
    <mergeCell ref="H1378:L1378"/>
    <mergeCell ref="H1367:L1367"/>
    <mergeCell ref="H1368:L1368"/>
    <mergeCell ref="H1369:L1369"/>
    <mergeCell ref="H1370:L1370"/>
    <mergeCell ref="H1371:L1371"/>
    <mergeCell ref="H1372:L1372"/>
    <mergeCell ref="A1361:L1361"/>
    <mergeCell ref="H1362:L1362"/>
    <mergeCell ref="H1363:L1363"/>
    <mergeCell ref="H1364:L1364"/>
    <mergeCell ref="H1365:L1365"/>
    <mergeCell ref="H1366:L1366"/>
    <mergeCell ref="H1355:L1355"/>
    <mergeCell ref="H1356:L1356"/>
    <mergeCell ref="H1357:L1357"/>
    <mergeCell ref="H1358:L1358"/>
    <mergeCell ref="H1359:L1359"/>
    <mergeCell ref="H1360:L1360"/>
    <mergeCell ref="H1347:L1347"/>
    <mergeCell ref="H1348:L1348"/>
    <mergeCell ref="H1349:L1349"/>
    <mergeCell ref="H1350:L1350"/>
    <mergeCell ref="H1341:L1341"/>
    <mergeCell ref="H1342:L1342"/>
    <mergeCell ref="A1343:L1343"/>
    <mergeCell ref="H1344:L1344"/>
    <mergeCell ref="H1345:L1345"/>
    <mergeCell ref="H1346:L1346"/>
    <mergeCell ref="H1335:L1335"/>
    <mergeCell ref="H1336:L1336"/>
    <mergeCell ref="H1337:L1337"/>
    <mergeCell ref="H1338:L1338"/>
    <mergeCell ref="H1339:L1339"/>
    <mergeCell ref="H1340:L1340"/>
    <mergeCell ref="H1329:L1329"/>
    <mergeCell ref="H1330:L1330"/>
    <mergeCell ref="A1331:L1331"/>
    <mergeCell ref="H1332:L1332"/>
    <mergeCell ref="H1333:L1333"/>
    <mergeCell ref="H1334:L1334"/>
    <mergeCell ref="H1323:L1323"/>
    <mergeCell ref="H1324:L1324"/>
    <mergeCell ref="H1325:L1325"/>
    <mergeCell ref="H1326:L1326"/>
    <mergeCell ref="H1327:L1327"/>
    <mergeCell ref="H1328:L1328"/>
    <mergeCell ref="H1317:L1317"/>
    <mergeCell ref="H1318:L1318"/>
    <mergeCell ref="A1319:L1319"/>
    <mergeCell ref="H1320:L1320"/>
    <mergeCell ref="H1321:L1321"/>
    <mergeCell ref="H1322:L1322"/>
    <mergeCell ref="H1311:L1311"/>
    <mergeCell ref="H1312:L1312"/>
    <mergeCell ref="H1313:L1313"/>
    <mergeCell ref="H1314:L1314"/>
    <mergeCell ref="H1315:L1315"/>
    <mergeCell ref="H1316:L1316"/>
    <mergeCell ref="H1305:L1305"/>
    <mergeCell ref="H1306:L1306"/>
    <mergeCell ref="A1307:L1307"/>
    <mergeCell ref="H1308:L1308"/>
    <mergeCell ref="H1309:L1309"/>
    <mergeCell ref="H1310:L1310"/>
    <mergeCell ref="A1298:L1299"/>
    <mergeCell ref="A1300:L1300"/>
    <mergeCell ref="H1301:L1301"/>
    <mergeCell ref="H1302:L1302"/>
    <mergeCell ref="H1303:L1303"/>
    <mergeCell ref="H1304:L1304"/>
    <mergeCell ref="H1296:L1296"/>
    <mergeCell ref="H1290:L1290"/>
    <mergeCell ref="H1291:L1291"/>
    <mergeCell ref="H1292:L1292"/>
    <mergeCell ref="H1293:L1293"/>
    <mergeCell ref="H1294:L1294"/>
    <mergeCell ref="H1295:L1295"/>
    <mergeCell ref="H1284:L1284"/>
    <mergeCell ref="H1285:L1285"/>
    <mergeCell ref="H1286:L1286"/>
    <mergeCell ref="H1287:L1287"/>
    <mergeCell ref="H1288:L1288"/>
    <mergeCell ref="H1278:L1278"/>
    <mergeCell ref="H1279:L1279"/>
    <mergeCell ref="H1280:L1280"/>
    <mergeCell ref="H1281:L1281"/>
    <mergeCell ref="H1282:L1282"/>
    <mergeCell ref="H1283:L1283"/>
    <mergeCell ref="H1256:L1256"/>
    <mergeCell ref="H1257:L1257"/>
    <mergeCell ref="H1258:L1258"/>
    <mergeCell ref="H1259:L1259"/>
    <mergeCell ref="H1272:L1272"/>
    <mergeCell ref="H1273:L1273"/>
    <mergeCell ref="H1274:L1274"/>
    <mergeCell ref="H1275:L1275"/>
    <mergeCell ref="H1276:L1276"/>
    <mergeCell ref="H1266:L1266"/>
    <mergeCell ref="H1267:L1267"/>
    <mergeCell ref="H1268:L1268"/>
    <mergeCell ref="H1269:L1269"/>
    <mergeCell ref="H1270:L1270"/>
    <mergeCell ref="H1271:L1271"/>
    <mergeCell ref="H185:L185"/>
    <mergeCell ref="H186:L186"/>
    <mergeCell ref="H187:L187"/>
    <mergeCell ref="H188:L188"/>
    <mergeCell ref="A260:L260"/>
    <mergeCell ref="H261:L261"/>
    <mergeCell ref="H262:L262"/>
    <mergeCell ref="H1248:L1248"/>
    <mergeCell ref="H1249:L1249"/>
    <mergeCell ref="H271:L271"/>
    <mergeCell ref="H280:L280"/>
    <mergeCell ref="H298:L298"/>
    <mergeCell ref="A1246:L1246"/>
    <mergeCell ref="H1247:L1247"/>
    <mergeCell ref="A316:L317"/>
    <mergeCell ref="H189:L189"/>
    <mergeCell ref="H190:L190"/>
    <mergeCell ref="H191:L191"/>
    <mergeCell ref="H192:L192"/>
    <mergeCell ref="H193:L193"/>
    <mergeCell ref="H194:L194"/>
    <mergeCell ref="H195:L195"/>
    <mergeCell ref="H196:L196"/>
    <mergeCell ref="H197:L197"/>
    <mergeCell ref="A176:L176"/>
    <mergeCell ref="H177:L177"/>
    <mergeCell ref="H178:L178"/>
    <mergeCell ref="H179:L179"/>
    <mergeCell ref="H180:L180"/>
    <mergeCell ref="H181:L181"/>
    <mergeCell ref="H182:L182"/>
    <mergeCell ref="H183:L183"/>
    <mergeCell ref="H184:L184"/>
    <mergeCell ref="A92:L92"/>
    <mergeCell ref="H29:L29"/>
    <mergeCell ref="H38:L38"/>
    <mergeCell ref="H47:L47"/>
    <mergeCell ref="H56:L56"/>
    <mergeCell ref="H65:L65"/>
    <mergeCell ref="H74:L74"/>
    <mergeCell ref="H30:L30"/>
    <mergeCell ref="H31:L31"/>
    <mergeCell ref="H32:L32"/>
    <mergeCell ref="H33:L33"/>
    <mergeCell ref="H34:L34"/>
    <mergeCell ref="H35:L35"/>
    <mergeCell ref="H36:L36"/>
    <mergeCell ref="H37:L37"/>
    <mergeCell ref="H48:L48"/>
    <mergeCell ref="H49:L49"/>
    <mergeCell ref="H50:L50"/>
    <mergeCell ref="H51:L51"/>
    <mergeCell ref="H52:L52"/>
    <mergeCell ref="H53:L53"/>
    <mergeCell ref="H54:L54"/>
    <mergeCell ref="H55:L55"/>
    <mergeCell ref="H40:L40"/>
    <mergeCell ref="H7:L7"/>
    <mergeCell ref="A8:L8"/>
    <mergeCell ref="H9:L9"/>
    <mergeCell ref="H10:L10"/>
    <mergeCell ref="H11:L11"/>
    <mergeCell ref="H20:L20"/>
    <mergeCell ref="A1:L1"/>
    <mergeCell ref="H2:L2"/>
    <mergeCell ref="H3:L3"/>
    <mergeCell ref="H4:L4"/>
    <mergeCell ref="H5:L5"/>
    <mergeCell ref="H6:L6"/>
    <mergeCell ref="H12:L12"/>
    <mergeCell ref="H13:L13"/>
    <mergeCell ref="H14:L14"/>
    <mergeCell ref="H15:L15"/>
    <mergeCell ref="H16:L16"/>
    <mergeCell ref="H17:L17"/>
    <mergeCell ref="H18:L18"/>
    <mergeCell ref="H19:L19"/>
    <mergeCell ref="H21:L21"/>
    <mergeCell ref="H22:L22"/>
    <mergeCell ref="H23:L23"/>
    <mergeCell ref="H24:L24"/>
    <mergeCell ref="H25:L25"/>
    <mergeCell ref="H26:L26"/>
    <mergeCell ref="H27:L27"/>
    <mergeCell ref="H28:L28"/>
    <mergeCell ref="H39:L39"/>
    <mergeCell ref="H41:L41"/>
    <mergeCell ref="H42:L42"/>
    <mergeCell ref="H43:L43"/>
    <mergeCell ref="H44:L44"/>
    <mergeCell ref="H45:L45"/>
    <mergeCell ref="H46:L46"/>
    <mergeCell ref="H57:L57"/>
    <mergeCell ref="H58:L58"/>
    <mergeCell ref="H59:L59"/>
    <mergeCell ref="H60:L60"/>
    <mergeCell ref="H61:L61"/>
    <mergeCell ref="H62:L62"/>
    <mergeCell ref="H63:L63"/>
    <mergeCell ref="H64:L64"/>
    <mergeCell ref="H75:L75"/>
    <mergeCell ref="H66:L66"/>
    <mergeCell ref="H67:L67"/>
    <mergeCell ref="H68:L68"/>
    <mergeCell ref="H69:L69"/>
    <mergeCell ref="H70:L70"/>
    <mergeCell ref="H71:L71"/>
    <mergeCell ref="H72:L72"/>
    <mergeCell ref="H73:L73"/>
    <mergeCell ref="H86:L86"/>
    <mergeCell ref="H87:L87"/>
    <mergeCell ref="H88:L88"/>
    <mergeCell ref="H89:L89"/>
    <mergeCell ref="H90:L90"/>
    <mergeCell ref="H91:L91"/>
    <mergeCell ref="H76:L76"/>
    <mergeCell ref="H77:L77"/>
    <mergeCell ref="H78:L78"/>
    <mergeCell ref="H79:L79"/>
    <mergeCell ref="H80:L80"/>
    <mergeCell ref="H81:L81"/>
    <mergeCell ref="H82:L82"/>
    <mergeCell ref="H84:L84"/>
    <mergeCell ref="H85:L85"/>
    <mergeCell ref="H83:L83"/>
    <mergeCell ref="H120:L120"/>
    <mergeCell ref="H121:L121"/>
    <mergeCell ref="H122:L122"/>
    <mergeCell ref="H123:L123"/>
    <mergeCell ref="H124:L124"/>
    <mergeCell ref="H125:L125"/>
    <mergeCell ref="H126:L126"/>
    <mergeCell ref="H128:L128"/>
    <mergeCell ref="H129:L129"/>
    <mergeCell ref="H127:L127"/>
    <mergeCell ref="H93:L93"/>
    <mergeCell ref="H94:L94"/>
    <mergeCell ref="H95:L95"/>
    <mergeCell ref="H96:L96"/>
    <mergeCell ref="H97:L97"/>
    <mergeCell ref="H98:L98"/>
    <mergeCell ref="H99:L99"/>
    <mergeCell ref="H100:L100"/>
    <mergeCell ref="H101:L101"/>
    <mergeCell ref="H102:L102"/>
    <mergeCell ref="H103:L103"/>
    <mergeCell ref="H104:L104"/>
    <mergeCell ref="H105:L105"/>
    <mergeCell ref="H106:L106"/>
    <mergeCell ref="H107:L107"/>
    <mergeCell ref="H108:L108"/>
    <mergeCell ref="H109:L109"/>
    <mergeCell ref="H110:L110"/>
    <mergeCell ref="H111:L111"/>
    <mergeCell ref="H112:L112"/>
    <mergeCell ref="H113:L113"/>
    <mergeCell ref="H114:L114"/>
    <mergeCell ref="H115:L115"/>
    <mergeCell ref="H116:L116"/>
    <mergeCell ref="H117:L117"/>
    <mergeCell ref="H118:L118"/>
    <mergeCell ref="H119:L119"/>
    <mergeCell ref="H130:L130"/>
    <mergeCell ref="H131:L131"/>
    <mergeCell ref="H132:L132"/>
    <mergeCell ref="H133:L133"/>
    <mergeCell ref="H134:L134"/>
    <mergeCell ref="H135:L135"/>
    <mergeCell ref="H136:L136"/>
    <mergeCell ref="H137:L137"/>
    <mergeCell ref="H138:L138"/>
    <mergeCell ref="H139:L139"/>
    <mergeCell ref="H140:L140"/>
    <mergeCell ref="H141:L141"/>
    <mergeCell ref="H142:L142"/>
    <mergeCell ref="H143:L143"/>
    <mergeCell ref="H144:L144"/>
    <mergeCell ref="H145:L145"/>
    <mergeCell ref="H146:L146"/>
    <mergeCell ref="H147:L147"/>
    <mergeCell ref="H148:L148"/>
    <mergeCell ref="H149:L149"/>
    <mergeCell ref="H158:L158"/>
    <mergeCell ref="H159:L159"/>
    <mergeCell ref="H160:L160"/>
    <mergeCell ref="H161:L161"/>
    <mergeCell ref="H162:L162"/>
    <mergeCell ref="H163:L163"/>
    <mergeCell ref="H164:L164"/>
    <mergeCell ref="H174:L174"/>
    <mergeCell ref="H175:L175"/>
    <mergeCell ref="H150:L150"/>
    <mergeCell ref="H151:L151"/>
    <mergeCell ref="H152:L152"/>
    <mergeCell ref="H153:L153"/>
    <mergeCell ref="H154:L154"/>
    <mergeCell ref="H155:L155"/>
    <mergeCell ref="H156:L156"/>
    <mergeCell ref="H157:L157"/>
    <mergeCell ref="H165:L165"/>
    <mergeCell ref="H166:L166"/>
    <mergeCell ref="H167:L167"/>
    <mergeCell ref="H168:L168"/>
    <mergeCell ref="H169:L169"/>
    <mergeCell ref="H170:L170"/>
    <mergeCell ref="H171:L171"/>
    <mergeCell ref="H172:L172"/>
    <mergeCell ref="H173:L173"/>
    <mergeCell ref="H198:L198"/>
    <mergeCell ref="H199:L199"/>
    <mergeCell ref="H200:L200"/>
    <mergeCell ref="H201:L201"/>
    <mergeCell ref="H202:L202"/>
    <mergeCell ref="H203:L203"/>
    <mergeCell ref="H204:L204"/>
    <mergeCell ref="H205:L205"/>
    <mergeCell ref="H206:L206"/>
    <mergeCell ref="H207:L207"/>
    <mergeCell ref="H208:L208"/>
    <mergeCell ref="H209:L209"/>
    <mergeCell ref="H210:L210"/>
    <mergeCell ref="H211:L211"/>
    <mergeCell ref="H212:L212"/>
    <mergeCell ref="H213:L213"/>
    <mergeCell ref="H214:L214"/>
    <mergeCell ref="H215:L215"/>
    <mergeCell ref="H216:L216"/>
    <mergeCell ref="H217:L217"/>
    <mergeCell ref="H218:L218"/>
    <mergeCell ref="H219:L219"/>
    <mergeCell ref="H220:L220"/>
    <mergeCell ref="H221:L221"/>
    <mergeCell ref="H222:L222"/>
    <mergeCell ref="H223:L223"/>
    <mergeCell ref="H224:L224"/>
    <mergeCell ref="H225:L225"/>
    <mergeCell ref="H226:L226"/>
    <mergeCell ref="H227:L227"/>
    <mergeCell ref="H228:L228"/>
    <mergeCell ref="H229:L229"/>
    <mergeCell ref="H230:L230"/>
    <mergeCell ref="H231:L231"/>
    <mergeCell ref="H232:L232"/>
    <mergeCell ref="H233:L233"/>
    <mergeCell ref="H234:L234"/>
    <mergeCell ref="H235:L235"/>
    <mergeCell ref="H236:L236"/>
    <mergeCell ref="H237:L237"/>
    <mergeCell ref="H238:L238"/>
    <mergeCell ref="H239:L239"/>
    <mergeCell ref="H240:L240"/>
    <mergeCell ref="H241:L241"/>
    <mergeCell ref="H242:L242"/>
    <mergeCell ref="H243:L243"/>
    <mergeCell ref="H244:L244"/>
    <mergeCell ref="H245:L245"/>
    <mergeCell ref="H246:L246"/>
    <mergeCell ref="H247:L247"/>
    <mergeCell ref="H248:L248"/>
    <mergeCell ref="H249:L249"/>
    <mergeCell ref="H250:L250"/>
    <mergeCell ref="H251:L251"/>
    <mergeCell ref="H252:L252"/>
    <mergeCell ref="H253:L253"/>
    <mergeCell ref="H254:L254"/>
    <mergeCell ref="H255:L255"/>
    <mergeCell ref="H256:L256"/>
    <mergeCell ref="H257:L257"/>
    <mergeCell ref="H258:L258"/>
    <mergeCell ref="H259:L259"/>
    <mergeCell ref="A1354:L1354"/>
    <mergeCell ref="A1352:L1353"/>
    <mergeCell ref="A1289:L1289"/>
    <mergeCell ref="A1277:L1277"/>
    <mergeCell ref="A1265:L1265"/>
    <mergeCell ref="A1253:L1253"/>
    <mergeCell ref="H1250:L1250"/>
    <mergeCell ref="H1251:L1251"/>
    <mergeCell ref="H1252:L1252"/>
    <mergeCell ref="H1260:L1260"/>
    <mergeCell ref="H1261:L1261"/>
    <mergeCell ref="H1262:L1262"/>
    <mergeCell ref="H1263:L1263"/>
    <mergeCell ref="H1264:L1264"/>
    <mergeCell ref="H1254:L1254"/>
    <mergeCell ref="H1255:L1255"/>
  </mergeCells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4"/>
  <sheetViews>
    <sheetView topLeftCell="A29" workbookViewId="0">
      <selection activeCell="D313" sqref="D313"/>
    </sheetView>
  </sheetViews>
  <sheetFormatPr baseColWidth="10" defaultColWidth="15.1640625" defaultRowHeight="15" x14ac:dyDescent="0.2"/>
  <cols>
    <col min="1" max="2" width="16.1640625" style="56" customWidth="1"/>
    <col min="3" max="3" width="17.33203125" style="56" customWidth="1"/>
    <col min="4" max="4" width="30.33203125" style="56" customWidth="1"/>
    <col min="5" max="5" width="31.6640625" style="56" customWidth="1"/>
    <col min="6" max="6" width="30.6640625" style="56" customWidth="1"/>
    <col min="7" max="7" width="30.1640625" style="56" customWidth="1"/>
    <col min="8" max="16384" width="15.1640625" style="56"/>
  </cols>
  <sheetData>
    <row r="1" spans="1:26" s="57" customFormat="1" ht="22" customHeight="1" x14ac:dyDescent="0.2">
      <c r="A1" s="133" t="s">
        <v>534</v>
      </c>
      <c r="B1" s="134"/>
      <c r="C1" s="134"/>
      <c r="D1" s="134"/>
      <c r="E1" s="134"/>
      <c r="F1" s="134"/>
      <c r="G1" s="134"/>
      <c r="H1" s="80"/>
      <c r="I1" s="80"/>
      <c r="J1" s="80"/>
      <c r="K1" s="80"/>
      <c r="L1" s="81"/>
    </row>
    <row r="2" spans="1:26" ht="16" x14ac:dyDescent="0.2">
      <c r="A2" s="82" t="s">
        <v>61</v>
      </c>
      <c r="B2" s="82" t="s">
        <v>528</v>
      </c>
      <c r="C2" s="83" t="s">
        <v>529</v>
      </c>
      <c r="D2" s="83" t="s">
        <v>530</v>
      </c>
      <c r="E2" s="83" t="s">
        <v>531</v>
      </c>
      <c r="F2" s="83" t="s">
        <v>532</v>
      </c>
      <c r="G2" s="83" t="s">
        <v>533</v>
      </c>
    </row>
    <row r="3" spans="1:26" ht="16" x14ac:dyDescent="0.2">
      <c r="A3" s="75" t="s">
        <v>26</v>
      </c>
      <c r="B3" s="76">
        <v>5.5979999999999995E-4</v>
      </c>
      <c r="C3" s="77">
        <v>216.65</v>
      </c>
      <c r="D3" s="78">
        <f t="shared" ref="D3:D11" si="0">(0.5*(1.6*968)^2)*B3</f>
        <v>671.41892505600003</v>
      </c>
      <c r="E3" s="79">
        <f t="shared" ref="E3:E11" si="1">(0.5*(1.7*968)^2)*B3</f>
        <v>757.96902086399984</v>
      </c>
      <c r="F3" s="79">
        <f t="shared" ref="F3:F11" si="2">(0.5*(1.8*968)^2)*B3</f>
        <v>849.764577024</v>
      </c>
      <c r="G3" s="75">
        <f t="shared" ref="G3:G11" si="3">2.969*10^-7</f>
        <v>2.9689999999999997E-7</v>
      </c>
    </row>
    <row r="4" spans="1:26" ht="16" x14ac:dyDescent="0.2">
      <c r="A4" s="75" t="s">
        <v>27</v>
      </c>
      <c r="B4" s="76">
        <v>5.3359999999999996E-4</v>
      </c>
      <c r="C4" s="77">
        <v>216.65</v>
      </c>
      <c r="D4" s="78">
        <f t="shared" si="0"/>
        <v>639.99488819200008</v>
      </c>
      <c r="E4" s="79">
        <f t="shared" si="1"/>
        <v>722.4942292479999</v>
      </c>
      <c r="F4" s="79">
        <f t="shared" si="2"/>
        <v>809.99353036800005</v>
      </c>
      <c r="G4" s="75">
        <f t="shared" si="3"/>
        <v>2.9689999999999997E-7</v>
      </c>
    </row>
    <row r="5" spans="1:26" ht="16" x14ac:dyDescent="0.2">
      <c r="A5" s="75" t="s">
        <v>33</v>
      </c>
      <c r="B5" s="76">
        <v>5.0869999999999995E-4</v>
      </c>
      <c r="C5" s="77">
        <v>216.65</v>
      </c>
      <c r="D5" s="78">
        <f t="shared" si="0"/>
        <v>610.13005926400001</v>
      </c>
      <c r="E5" s="79">
        <f t="shared" si="1"/>
        <v>688.77963721599986</v>
      </c>
      <c r="F5" s="79">
        <f t="shared" si="2"/>
        <v>772.19585625599996</v>
      </c>
      <c r="G5" s="75">
        <f t="shared" si="3"/>
        <v>2.9689999999999997E-7</v>
      </c>
    </row>
    <row r="6" spans="1:26" ht="16" x14ac:dyDescent="0.2">
      <c r="A6" s="75" t="s">
        <v>35</v>
      </c>
      <c r="B6" s="76">
        <v>4.8490000000000002E-4</v>
      </c>
      <c r="C6" s="77">
        <v>216.65</v>
      </c>
      <c r="D6" s="78">
        <f t="shared" si="0"/>
        <v>581.58456012800013</v>
      </c>
      <c r="E6" s="79">
        <f t="shared" si="1"/>
        <v>656.55444483199994</v>
      </c>
      <c r="F6" s="79">
        <f t="shared" si="2"/>
        <v>736.06795891200011</v>
      </c>
      <c r="G6" s="75">
        <f t="shared" si="3"/>
        <v>2.9689999999999997E-7</v>
      </c>
    </row>
    <row r="7" spans="1:26" ht="16" x14ac:dyDescent="0.2">
      <c r="A7" s="75" t="s">
        <v>38</v>
      </c>
      <c r="B7" s="76">
        <v>4.6230000000000002E-4</v>
      </c>
      <c r="C7" s="77">
        <v>216.65</v>
      </c>
      <c r="D7" s="78">
        <f t="shared" si="0"/>
        <v>554.47832985600007</v>
      </c>
      <c r="E7" s="79">
        <f t="shared" si="1"/>
        <v>625.95405206399994</v>
      </c>
      <c r="F7" s="79">
        <f t="shared" si="2"/>
        <v>701.76163622400009</v>
      </c>
      <c r="G7" s="75">
        <f t="shared" si="3"/>
        <v>2.9689999999999997E-7</v>
      </c>
    </row>
    <row r="8" spans="1:26" ht="16" x14ac:dyDescent="0.2">
      <c r="A8" s="75" t="s">
        <v>40</v>
      </c>
      <c r="B8" s="76">
        <v>4.4069999999999998E-4</v>
      </c>
      <c r="C8" s="77">
        <v>216.65</v>
      </c>
      <c r="D8" s="78">
        <f t="shared" si="0"/>
        <v>528.57149030400001</v>
      </c>
      <c r="E8" s="79">
        <f t="shared" si="1"/>
        <v>596.70765897599995</v>
      </c>
      <c r="F8" s="79">
        <f t="shared" si="2"/>
        <v>668.97329241600005</v>
      </c>
      <c r="G8" s="75">
        <f t="shared" si="3"/>
        <v>2.9689999999999997E-7</v>
      </c>
    </row>
    <row r="9" spans="1:26" ht="16" x14ac:dyDescent="0.2">
      <c r="A9" s="75" t="s">
        <v>42</v>
      </c>
      <c r="B9" s="76">
        <v>4.2010000000000002E-4</v>
      </c>
      <c r="C9" s="77">
        <v>216.65</v>
      </c>
      <c r="D9" s="78">
        <f t="shared" si="0"/>
        <v>503.86404147200011</v>
      </c>
      <c r="E9" s="79">
        <f t="shared" si="1"/>
        <v>568.81526556799997</v>
      </c>
      <c r="F9" s="79">
        <f t="shared" si="2"/>
        <v>637.70292748800011</v>
      </c>
      <c r="G9" s="75">
        <f t="shared" si="3"/>
        <v>2.9689999999999997E-7</v>
      </c>
    </row>
    <row r="10" spans="1:26" ht="16" x14ac:dyDescent="0.2">
      <c r="A10" s="75" t="s">
        <v>45</v>
      </c>
      <c r="B10" s="76">
        <v>4.0049999999999998E-4</v>
      </c>
      <c r="C10" s="77">
        <v>216.65</v>
      </c>
      <c r="D10" s="78">
        <f t="shared" si="0"/>
        <v>480.35598336000004</v>
      </c>
      <c r="E10" s="79">
        <f t="shared" si="1"/>
        <v>542.2768718399999</v>
      </c>
      <c r="F10" s="79">
        <f t="shared" si="2"/>
        <v>607.95054144000005</v>
      </c>
      <c r="G10" s="75">
        <f t="shared" si="3"/>
        <v>2.9689999999999997E-7</v>
      </c>
    </row>
    <row r="11" spans="1:26" ht="16" x14ac:dyDescent="0.2">
      <c r="A11" s="75" t="s">
        <v>46</v>
      </c>
      <c r="B11" s="76">
        <v>3.8170000000000001E-4</v>
      </c>
      <c r="C11" s="77">
        <v>216.65</v>
      </c>
      <c r="D11" s="78">
        <f t="shared" si="0"/>
        <v>457.80743782400009</v>
      </c>
      <c r="E11" s="79">
        <f t="shared" si="1"/>
        <v>516.82167785599995</v>
      </c>
      <c r="F11" s="79">
        <f t="shared" si="2"/>
        <v>579.41253849600002</v>
      </c>
      <c r="G11" s="75">
        <f t="shared" si="3"/>
        <v>2.9689999999999997E-7</v>
      </c>
    </row>
    <row r="12" spans="1:26" ht="15" customHeight="1" x14ac:dyDescent="0.2"/>
    <row r="13" spans="1:26" ht="15" customHeight="1" x14ac:dyDescent="0.2"/>
    <row r="14" spans="1:26" ht="15" customHeight="1" x14ac:dyDescent="0.2"/>
    <row r="15" spans="1:26" ht="15" customHeight="1" x14ac:dyDescent="0.2"/>
    <row r="16" spans="1:26" ht="15" customHeight="1" x14ac:dyDescent="0.2">
      <c r="A16" s="88" t="s">
        <v>537</v>
      </c>
      <c r="B16" s="89"/>
      <c r="C16" s="89"/>
      <c r="D16" s="89"/>
      <c r="E16" s="89"/>
      <c r="F16" s="89"/>
      <c r="G16" s="89"/>
      <c r="H16" s="89"/>
      <c r="I16" s="90"/>
      <c r="J16" s="90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/>
      <c r="Z16"/>
    </row>
    <row r="17" spans="1:26" ht="17" x14ac:dyDescent="0.2">
      <c r="A17" s="88" t="s">
        <v>44</v>
      </c>
      <c r="B17" s="88" t="s">
        <v>538</v>
      </c>
      <c r="C17" s="88" t="s">
        <v>539</v>
      </c>
      <c r="D17" s="88" t="s">
        <v>540</v>
      </c>
      <c r="E17" s="88" t="s">
        <v>541</v>
      </c>
      <c r="F17" s="88" t="s">
        <v>542</v>
      </c>
      <c r="G17" s="88" t="s">
        <v>543</v>
      </c>
      <c r="H17" s="88" t="s">
        <v>544</v>
      </c>
      <c r="I17" s="88" t="s">
        <v>545</v>
      </c>
      <c r="J17" s="88" t="s">
        <v>546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</row>
    <row r="18" spans="1:26" ht="17" x14ac:dyDescent="0.2">
      <c r="A18" s="84">
        <v>1</v>
      </c>
      <c r="B18" s="87">
        <v>4.99E-2</v>
      </c>
      <c r="C18" s="87">
        <v>-4.8500000000000001E-2</v>
      </c>
      <c r="D18" s="87">
        <v>3.62E-3</v>
      </c>
      <c r="E18" s="87">
        <v>1.1299999999999999E-2</v>
      </c>
      <c r="F18" s="84">
        <v>4.4257</v>
      </c>
      <c r="G18" s="84">
        <v>1.96136</v>
      </c>
      <c r="H18" s="84">
        <v>2.8561700000000001</v>
      </c>
      <c r="I18" s="84">
        <v>0.90888000000000002</v>
      </c>
      <c r="J18" s="84">
        <v>54.543999999999997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</row>
    <row r="19" spans="1:26" ht="17" x14ac:dyDescent="0.2">
      <c r="A19" s="84">
        <v>2</v>
      </c>
      <c r="B19" s="87">
        <v>9.98E-2</v>
      </c>
      <c r="C19" s="87">
        <v>-9.7199999999999995E-2</v>
      </c>
      <c r="D19" s="87">
        <v>7.1999999999999998E-3</v>
      </c>
      <c r="E19" s="87">
        <v>1.3599999999999999E-2</v>
      </c>
      <c r="F19" s="84">
        <v>7.3251999999999997</v>
      </c>
      <c r="G19" s="84">
        <v>2.0799599999999998</v>
      </c>
      <c r="H19" s="84">
        <v>2.85887</v>
      </c>
      <c r="I19" s="84">
        <v>0.90925</v>
      </c>
      <c r="J19" s="84">
        <v>54.597999999999999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</row>
    <row r="20" spans="1:26" ht="17" x14ac:dyDescent="0.2">
      <c r="A20" s="84">
        <v>3</v>
      </c>
      <c r="B20" s="87">
        <v>0.15</v>
      </c>
      <c r="C20" s="87">
        <v>-0.14599999999999999</v>
      </c>
      <c r="D20" s="87">
        <v>1.0800000000000001E-2</v>
      </c>
      <c r="E20" s="87">
        <v>1.77E-2</v>
      </c>
      <c r="F20" s="84">
        <v>8.4785000000000004</v>
      </c>
      <c r="G20" s="84">
        <v>2.2067100000000002</v>
      </c>
      <c r="H20" s="84">
        <v>2.8586299999999998</v>
      </c>
      <c r="I20" s="84">
        <v>0.90932999999999997</v>
      </c>
      <c r="J20" s="84">
        <v>54.609000000000002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</row>
    <row r="21" spans="1:26" ht="17" x14ac:dyDescent="0.2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</row>
    <row r="22" spans="1:26" ht="15" customHeight="1" x14ac:dyDescent="0.2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</row>
    <row r="23" spans="1:26" ht="17" x14ac:dyDescent="0.2">
      <c r="A23" s="88" t="s">
        <v>547</v>
      </c>
      <c r="B23" s="89"/>
      <c r="C23" s="89"/>
      <c r="D23" s="89"/>
      <c r="E23" s="89"/>
      <c r="F23" s="89"/>
      <c r="G23" s="89"/>
      <c r="H23" s="89"/>
      <c r="I23" s="90"/>
      <c r="J23" s="90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/>
      <c r="Z23"/>
    </row>
    <row r="24" spans="1:26" ht="17" x14ac:dyDescent="0.2">
      <c r="A24" s="88" t="s">
        <v>44</v>
      </c>
      <c r="B24" s="88" t="s">
        <v>538</v>
      </c>
      <c r="C24" s="88" t="s">
        <v>539</v>
      </c>
      <c r="D24" s="88" t="s">
        <v>540</v>
      </c>
      <c r="E24" s="88" t="s">
        <v>541</v>
      </c>
      <c r="F24" s="88" t="s">
        <v>542</v>
      </c>
      <c r="G24" s="88" t="s">
        <v>543</v>
      </c>
      <c r="H24" s="88" t="s">
        <v>544</v>
      </c>
      <c r="I24" s="88" t="s">
        <v>545</v>
      </c>
      <c r="J24" s="88" t="s">
        <v>546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</row>
    <row r="25" spans="1:26" ht="17" x14ac:dyDescent="0.2">
      <c r="A25" s="84">
        <v>1</v>
      </c>
      <c r="B25" s="87">
        <v>4.6699999999999998E-2</v>
      </c>
      <c r="C25" s="87">
        <v>-4.5199999999999997E-2</v>
      </c>
      <c r="D25" s="87">
        <v>3.5999999999999999E-3</v>
      </c>
      <c r="E25" s="87">
        <v>1.12E-2</v>
      </c>
      <c r="F25" s="84">
        <v>4.1700999999999997</v>
      </c>
      <c r="G25" s="84">
        <v>2.0580099999999999</v>
      </c>
      <c r="H25" s="84">
        <v>2.6735899999999999</v>
      </c>
      <c r="I25" s="84">
        <v>0.90581999999999996</v>
      </c>
      <c r="J25" s="84">
        <v>54.093000000000004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</row>
    <row r="26" spans="1:26" ht="17" x14ac:dyDescent="0.2">
      <c r="A26" s="84">
        <v>2</v>
      </c>
      <c r="B26" s="87">
        <v>9.3299999999999994E-2</v>
      </c>
      <c r="C26" s="87">
        <v>-9.0300000000000005E-2</v>
      </c>
      <c r="D26" s="87">
        <v>7.2399999999999999E-3</v>
      </c>
      <c r="E26" s="87">
        <v>1.35E-2</v>
      </c>
      <c r="F26" s="84">
        <v>6.9314999999999998</v>
      </c>
      <c r="G26" s="84">
        <v>2.1920099999999998</v>
      </c>
      <c r="H26" s="84">
        <v>2.6715900000000001</v>
      </c>
      <c r="I26" s="84">
        <v>0.90556000000000003</v>
      </c>
      <c r="J26" s="84">
        <v>54.055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</row>
    <row r="27" spans="1:26" ht="17" x14ac:dyDescent="0.2">
      <c r="A27" s="84">
        <v>3</v>
      </c>
      <c r="B27" s="87">
        <v>0.14000000000000001</v>
      </c>
      <c r="C27" s="87">
        <v>-0.13500000000000001</v>
      </c>
      <c r="D27" s="87">
        <v>1.0999999999999999E-2</v>
      </c>
      <c r="E27" s="87">
        <v>1.7299999999999999E-2</v>
      </c>
      <c r="F27" s="84">
        <v>8.0778999999999996</v>
      </c>
      <c r="G27" s="84">
        <v>2.3051699999999999</v>
      </c>
      <c r="H27" s="84">
        <v>2.66561</v>
      </c>
      <c r="I27" s="84">
        <v>0.90500999999999998</v>
      </c>
      <c r="J27" s="84">
        <v>53.972999999999999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</row>
    <row r="28" spans="1:26" ht="17" x14ac:dyDescent="0.2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</row>
    <row r="29" spans="1:26" ht="17" x14ac:dyDescent="0.2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</row>
    <row r="30" spans="1:26" ht="17" x14ac:dyDescent="0.2">
      <c r="A30" s="88" t="s">
        <v>548</v>
      </c>
      <c r="B30" s="89"/>
      <c r="C30" s="89"/>
      <c r="D30" s="89"/>
      <c r="E30" s="89"/>
      <c r="F30" s="89"/>
      <c r="G30" s="89"/>
      <c r="H30" s="89"/>
      <c r="I30" s="90"/>
      <c r="J30" s="90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/>
      <c r="Z30"/>
    </row>
    <row r="31" spans="1:26" ht="17" x14ac:dyDescent="0.2">
      <c r="A31" s="88" t="s">
        <v>44</v>
      </c>
      <c r="B31" s="88" t="s">
        <v>538</v>
      </c>
      <c r="C31" s="88" t="s">
        <v>539</v>
      </c>
      <c r="D31" s="88" t="s">
        <v>540</v>
      </c>
      <c r="E31" s="88" t="s">
        <v>541</v>
      </c>
      <c r="F31" s="88" t="s">
        <v>542</v>
      </c>
      <c r="G31" s="88" t="s">
        <v>543</v>
      </c>
      <c r="H31" s="88" t="s">
        <v>544</v>
      </c>
      <c r="I31" s="88" t="s">
        <v>545</v>
      </c>
      <c r="J31" s="88" t="s">
        <v>546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</row>
    <row r="32" spans="1:26" ht="17" x14ac:dyDescent="0.2">
      <c r="A32" s="84">
        <v>1</v>
      </c>
      <c r="B32" s="87">
        <v>4.3700000000000003E-2</v>
      </c>
      <c r="C32" s="87">
        <v>-4.2099999999999999E-2</v>
      </c>
      <c r="D32" s="87">
        <v>3.63E-3</v>
      </c>
      <c r="E32" s="87">
        <v>1.12E-2</v>
      </c>
      <c r="F32" s="84">
        <v>3.9077999999999999</v>
      </c>
      <c r="G32" s="84">
        <v>2.1452100000000001</v>
      </c>
      <c r="H32" s="84">
        <v>2.5027400000000002</v>
      </c>
      <c r="I32" s="84">
        <v>0.90183999999999997</v>
      </c>
      <c r="J32" s="84">
        <v>53.506999999999998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</row>
    <row r="33" spans="1:26" ht="17" x14ac:dyDescent="0.2">
      <c r="A33" s="84">
        <v>2</v>
      </c>
      <c r="B33" s="87">
        <v>8.72E-2</v>
      </c>
      <c r="C33" s="87">
        <v>-8.4000000000000005E-2</v>
      </c>
      <c r="D33" s="87">
        <v>7.3000000000000001E-3</v>
      </c>
      <c r="E33" s="87">
        <v>1.3299999999999999E-2</v>
      </c>
      <c r="F33" s="84">
        <v>6.5439999999999996</v>
      </c>
      <c r="G33" s="84">
        <v>2.2909799999999998</v>
      </c>
      <c r="H33" s="84">
        <v>2.4989400000000002</v>
      </c>
      <c r="I33" s="84">
        <v>0.90142</v>
      </c>
      <c r="J33" s="84">
        <v>53.447000000000003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</row>
    <row r="34" spans="1:26" ht="17" x14ac:dyDescent="0.2">
      <c r="A34" s="84">
        <v>3</v>
      </c>
      <c r="B34" s="87">
        <v>0.13</v>
      </c>
      <c r="C34" s="87">
        <v>-0.126</v>
      </c>
      <c r="D34" s="87">
        <v>1.11E-2</v>
      </c>
      <c r="E34" s="87">
        <v>1.6899999999999998E-2</v>
      </c>
      <c r="F34" s="84">
        <v>7.6973000000000003</v>
      </c>
      <c r="G34" s="84">
        <v>2.3928600000000002</v>
      </c>
      <c r="H34" s="84">
        <v>2.4910199999999998</v>
      </c>
      <c r="I34" s="84">
        <v>0.90066000000000002</v>
      </c>
      <c r="J34" s="84">
        <v>53.334000000000003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</row>
  </sheetData>
  <mergeCells count="1">
    <mergeCell ref="A1:G1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66"/>
  <sheetViews>
    <sheetView topLeftCell="A308" zoomScale="110" zoomScaleNormal="110" zoomScalePageLayoutView="110" workbookViewId="0">
      <selection activeCell="C340" sqref="C340"/>
    </sheetView>
  </sheetViews>
  <sheetFormatPr baseColWidth="10" defaultRowHeight="15" x14ac:dyDescent="0.2"/>
  <cols>
    <col min="1" max="1" width="28.1640625" style="62" customWidth="1"/>
    <col min="2" max="3" width="10.83203125" style="62"/>
    <col min="4" max="4" width="4.1640625" style="62" customWidth="1"/>
    <col min="5" max="5" width="10.83203125" style="62"/>
    <col min="6" max="6" width="27.83203125" style="62" customWidth="1"/>
    <col min="7" max="7" width="31.1640625" style="62" customWidth="1"/>
    <col min="8" max="16384" width="10.83203125" style="62"/>
  </cols>
  <sheetData>
    <row r="1" spans="1:12" s="63" customFormat="1" ht="22" customHeight="1" x14ac:dyDescent="0.2">
      <c r="A1" s="118" t="s">
        <v>551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2" s="63" customFormat="1" ht="18" customHeight="1" x14ac:dyDescent="0.2">
      <c r="A2" s="23" t="s">
        <v>5</v>
      </c>
      <c r="B2" s="23" t="s">
        <v>96</v>
      </c>
      <c r="C2" s="64" t="s">
        <v>7</v>
      </c>
      <c r="D2" s="64" t="s">
        <v>125</v>
      </c>
      <c r="E2" s="64" t="s">
        <v>8</v>
      </c>
      <c r="F2" s="64" t="s">
        <v>9</v>
      </c>
      <c r="G2" s="31" t="s">
        <v>10</v>
      </c>
      <c r="H2" s="122" t="s">
        <v>11</v>
      </c>
      <c r="I2" s="123"/>
      <c r="J2" s="123"/>
      <c r="K2" s="123"/>
      <c r="L2" s="124"/>
    </row>
    <row r="3" spans="1:12" x14ac:dyDescent="0.2">
      <c r="A3" s="62" t="s">
        <v>516</v>
      </c>
      <c r="B3" s="62" t="s">
        <v>474</v>
      </c>
      <c r="C3" s="62">
        <f>'Initial Estimates'!$C$67</f>
        <v>69845</v>
      </c>
      <c r="D3" s="62" t="s">
        <v>125</v>
      </c>
      <c r="E3" s="62" t="s">
        <v>223</v>
      </c>
      <c r="F3" s="62" t="s">
        <v>517</v>
      </c>
      <c r="G3" s="62" t="s">
        <v>518</v>
      </c>
      <c r="H3" s="140" t="s">
        <v>519</v>
      </c>
      <c r="I3" s="140"/>
      <c r="J3" s="140"/>
      <c r="K3" s="140"/>
      <c r="L3" s="140"/>
    </row>
    <row r="4" spans="1:12" x14ac:dyDescent="0.2">
      <c r="A4" s="62" t="s">
        <v>555</v>
      </c>
      <c r="B4" s="62" t="s">
        <v>520</v>
      </c>
      <c r="C4" s="62">
        <f>$C$3/CFD!D3/'Initial Estimates'!$C$5</f>
        <v>0.10002496405735427</v>
      </c>
      <c r="D4" s="62" t="s">
        <v>125</v>
      </c>
      <c r="E4" s="62" t="s">
        <v>137</v>
      </c>
      <c r="F4" s="62" t="s">
        <v>21</v>
      </c>
      <c r="G4" s="62" t="s">
        <v>535</v>
      </c>
      <c r="H4" s="139" t="s">
        <v>536</v>
      </c>
      <c r="I4" s="139"/>
      <c r="J4" s="139"/>
      <c r="K4" s="139"/>
      <c r="L4" s="139"/>
    </row>
    <row r="5" spans="1:12" x14ac:dyDescent="0.2">
      <c r="A5" s="69">
        <v>42000</v>
      </c>
      <c r="B5" s="62" t="s">
        <v>520</v>
      </c>
      <c r="C5" s="62">
        <f>$C$3/CFD!D4/'Initial Estimates'!$C$5</f>
        <v>0.10493623478130983</v>
      </c>
      <c r="D5" s="62" t="s">
        <v>125</v>
      </c>
      <c r="E5" s="62" t="s">
        <v>137</v>
      </c>
      <c r="F5" s="62" t="s">
        <v>21</v>
      </c>
      <c r="G5" s="62" t="s">
        <v>535</v>
      </c>
      <c r="H5" s="139" t="s">
        <v>536</v>
      </c>
      <c r="I5" s="139"/>
      <c r="J5" s="139"/>
      <c r="K5" s="139"/>
      <c r="L5" s="139"/>
    </row>
    <row r="6" spans="1:12" x14ac:dyDescent="0.2">
      <c r="A6" s="69">
        <v>43000</v>
      </c>
      <c r="B6" s="62" t="s">
        <v>520</v>
      </c>
      <c r="C6" s="62">
        <f>$C$3/CFD!D5/'Initial Estimates'!$C$5</f>
        <v>0.11007268503893636</v>
      </c>
      <c r="D6" s="62" t="s">
        <v>125</v>
      </c>
      <c r="E6" s="62" t="s">
        <v>137</v>
      </c>
      <c r="F6" s="62" t="s">
        <v>21</v>
      </c>
      <c r="G6" s="62" t="s">
        <v>535</v>
      </c>
      <c r="H6" s="139" t="s">
        <v>536</v>
      </c>
      <c r="I6" s="139"/>
      <c r="J6" s="139"/>
      <c r="K6" s="139"/>
      <c r="L6" s="139"/>
    </row>
    <row r="7" spans="1:12" x14ac:dyDescent="0.2">
      <c r="A7" s="69">
        <v>44000</v>
      </c>
      <c r="B7" s="62" t="s">
        <v>520</v>
      </c>
      <c r="C7" s="62">
        <f>$C$3/CFD!D6/'Initial Estimates'!$C$5</f>
        <v>0.11547530393752714</v>
      </c>
      <c r="D7" s="62" t="s">
        <v>125</v>
      </c>
      <c r="E7" s="62" t="s">
        <v>137</v>
      </c>
      <c r="F7" s="62" t="s">
        <v>21</v>
      </c>
      <c r="G7" s="62" t="s">
        <v>535</v>
      </c>
      <c r="H7" s="139" t="s">
        <v>536</v>
      </c>
      <c r="I7" s="139"/>
      <c r="J7" s="139"/>
      <c r="K7" s="139"/>
      <c r="L7" s="139"/>
    </row>
    <row r="8" spans="1:12" x14ac:dyDescent="0.2">
      <c r="A8" s="69">
        <v>45000</v>
      </c>
      <c r="B8" s="62" t="s">
        <v>520</v>
      </c>
      <c r="C8" s="62">
        <f>$C$3/CFD!D7/'Initial Estimates'!$C$5</f>
        <v>0.12112043019534267</v>
      </c>
      <c r="D8" s="62" t="s">
        <v>125</v>
      </c>
      <c r="E8" s="62" t="s">
        <v>137</v>
      </c>
      <c r="F8" s="62" t="s">
        <v>21</v>
      </c>
      <c r="G8" s="62" t="s">
        <v>535</v>
      </c>
      <c r="H8" s="139" t="s">
        <v>536</v>
      </c>
      <c r="I8" s="139"/>
      <c r="J8" s="139"/>
      <c r="K8" s="139"/>
      <c r="L8" s="139"/>
    </row>
    <row r="9" spans="1:12" x14ac:dyDescent="0.2">
      <c r="A9" s="69">
        <v>46000</v>
      </c>
      <c r="B9" s="62" t="s">
        <v>520</v>
      </c>
      <c r="C9" s="62">
        <f>$C$3/CFD!D8/'Initial Estimates'!$C$5</f>
        <v>0.12705689784276589</v>
      </c>
      <c r="D9" s="62" t="s">
        <v>125</v>
      </c>
      <c r="E9" s="62" t="s">
        <v>137</v>
      </c>
      <c r="F9" s="62" t="s">
        <v>21</v>
      </c>
      <c r="G9" s="62" t="s">
        <v>535</v>
      </c>
      <c r="H9" s="139" t="s">
        <v>536</v>
      </c>
      <c r="I9" s="139"/>
      <c r="J9" s="139"/>
      <c r="K9" s="139"/>
      <c r="L9" s="139"/>
    </row>
    <row r="10" spans="1:12" x14ac:dyDescent="0.2">
      <c r="A10" s="69">
        <v>47000</v>
      </c>
      <c r="B10" s="62" t="s">
        <v>520</v>
      </c>
      <c r="C10" s="62">
        <f>$C$3/CFD!D9/'Initial Estimates'!$C$5</f>
        <v>0.13328725274769557</v>
      </c>
      <c r="D10" s="62" t="s">
        <v>125</v>
      </c>
      <c r="E10" s="62" t="s">
        <v>137</v>
      </c>
      <c r="F10" s="62" t="s">
        <v>21</v>
      </c>
      <c r="G10" s="62" t="s">
        <v>535</v>
      </c>
      <c r="H10" s="139" t="s">
        <v>536</v>
      </c>
      <c r="I10" s="139"/>
      <c r="J10" s="139"/>
      <c r="K10" s="139"/>
      <c r="L10" s="139"/>
    </row>
    <row r="11" spans="1:12" x14ac:dyDescent="0.2">
      <c r="A11" s="69">
        <v>48000</v>
      </c>
      <c r="B11" s="62" t="s">
        <v>520</v>
      </c>
      <c r="C11" s="62">
        <f>$C$3/CFD!D10/'Initial Estimates'!$C$5</f>
        <v>0.13981017448016708</v>
      </c>
      <c r="D11" s="62" t="s">
        <v>125</v>
      </c>
      <c r="E11" s="62" t="s">
        <v>137</v>
      </c>
      <c r="F11" s="62" t="s">
        <v>21</v>
      </c>
      <c r="G11" s="62" t="s">
        <v>535</v>
      </c>
      <c r="H11" s="139" t="s">
        <v>536</v>
      </c>
      <c r="I11" s="139"/>
      <c r="J11" s="139"/>
      <c r="K11" s="139"/>
      <c r="L11" s="139"/>
    </row>
    <row r="12" spans="1:12" x14ac:dyDescent="0.2">
      <c r="A12" s="69">
        <v>49000</v>
      </c>
      <c r="B12" s="62" t="s">
        <v>520</v>
      </c>
      <c r="C12" s="62">
        <f>$C$3/CFD!D11/'Initial Estimates'!$C$5</f>
        <v>0.14669629258398459</v>
      </c>
      <c r="D12" s="62" t="s">
        <v>125</v>
      </c>
      <c r="E12" s="62" t="s">
        <v>137</v>
      </c>
      <c r="F12" s="62" t="s">
        <v>21</v>
      </c>
      <c r="G12" s="62" t="s">
        <v>535</v>
      </c>
      <c r="H12" s="139" t="s">
        <v>536</v>
      </c>
      <c r="I12" s="139"/>
      <c r="J12" s="139"/>
      <c r="K12" s="139"/>
      <c r="L12" s="139"/>
    </row>
    <row r="13" spans="1:12" x14ac:dyDescent="0.2">
      <c r="A13" s="62" t="s">
        <v>556</v>
      </c>
      <c r="B13" s="62" t="s">
        <v>549</v>
      </c>
      <c r="C13" s="74">
        <f xml:space="preserve"> ABS((C4-CFD!$B$19)/(CFD!$B$20-CFD!$B$19)*(CFD!$E$20-CFD!$E$19) + CFD!$E$19)</f>
        <v>1.3618373558469173E-2</v>
      </c>
      <c r="D13" s="62" t="s">
        <v>125</v>
      </c>
      <c r="E13" s="62" t="s">
        <v>137</v>
      </c>
      <c r="F13" s="62" t="s">
        <v>21</v>
      </c>
      <c r="G13" s="62" t="s">
        <v>550</v>
      </c>
      <c r="H13" s="139" t="s">
        <v>526</v>
      </c>
      <c r="I13" s="139"/>
      <c r="J13" s="139"/>
      <c r="K13" s="139"/>
      <c r="L13" s="139"/>
    </row>
    <row r="14" spans="1:12" x14ac:dyDescent="0.2">
      <c r="A14" s="69">
        <v>42000</v>
      </c>
      <c r="B14" s="62" t="s">
        <v>549</v>
      </c>
      <c r="C14" s="74">
        <f xml:space="preserve"> ABS((C5-CFD!$B$19)/(CFD!$B$20-CFD!$B$19)*(CFD!$E$20-CFD!$E$19) + CFD!$E$19)</f>
        <v>1.4019493278951599E-2</v>
      </c>
      <c r="D14" s="62" t="s">
        <v>125</v>
      </c>
      <c r="E14" s="62" t="s">
        <v>137</v>
      </c>
      <c r="F14" s="62" t="s">
        <v>21</v>
      </c>
      <c r="G14" s="62" t="s">
        <v>550</v>
      </c>
      <c r="H14" s="139" t="s">
        <v>526</v>
      </c>
      <c r="I14" s="139"/>
      <c r="J14" s="139"/>
      <c r="K14" s="139"/>
      <c r="L14" s="139"/>
    </row>
    <row r="15" spans="1:12" x14ac:dyDescent="0.2">
      <c r="A15" s="69">
        <v>43000</v>
      </c>
      <c r="B15" s="62" t="s">
        <v>549</v>
      </c>
      <c r="C15" s="74">
        <f xml:space="preserve"> ABS((C6-CFD!$B$19)/(CFD!$B$20-CFD!$B$19)*(CFD!$E$20-CFD!$E$19) + CFD!$E$19)</f>
        <v>1.4439004156566515E-2</v>
      </c>
      <c r="D15" s="62" t="s">
        <v>125</v>
      </c>
      <c r="E15" s="62" t="s">
        <v>137</v>
      </c>
      <c r="F15" s="62" t="s">
        <v>21</v>
      </c>
      <c r="G15" s="62" t="s">
        <v>550</v>
      </c>
      <c r="H15" s="139" t="s">
        <v>526</v>
      </c>
      <c r="I15" s="139"/>
      <c r="J15" s="139"/>
      <c r="K15" s="139"/>
      <c r="L15" s="139"/>
    </row>
    <row r="16" spans="1:12" x14ac:dyDescent="0.2">
      <c r="A16" s="69">
        <v>44000</v>
      </c>
      <c r="B16" s="62" t="s">
        <v>549</v>
      </c>
      <c r="C16" s="74">
        <f xml:space="preserve"> ABS((C7-CFD!$B$19)/(CFD!$B$20-CFD!$B$19)*(CFD!$E$20-CFD!$E$19) + CFD!$E$19)</f>
        <v>1.4880253907248233E-2</v>
      </c>
      <c r="D16" s="62" t="s">
        <v>125</v>
      </c>
      <c r="E16" s="62" t="s">
        <v>137</v>
      </c>
      <c r="F16" s="62" t="s">
        <v>21</v>
      </c>
      <c r="G16" s="62" t="s">
        <v>550</v>
      </c>
      <c r="H16" s="139" t="s">
        <v>526</v>
      </c>
      <c r="I16" s="139"/>
      <c r="J16" s="139"/>
      <c r="K16" s="139"/>
      <c r="L16" s="139"/>
    </row>
    <row r="17" spans="1:12" x14ac:dyDescent="0.2">
      <c r="A17" s="69">
        <v>45000</v>
      </c>
      <c r="B17" s="62" t="s">
        <v>549</v>
      </c>
      <c r="C17" s="74">
        <f xml:space="preserve"> ABS((C8-CFD!$B$19)/(CFD!$B$20-CFD!$B$19)*(CFD!$E$20-CFD!$E$19) + CFD!$E$19)</f>
        <v>1.5341310035874601E-2</v>
      </c>
      <c r="D17" s="62" t="s">
        <v>125</v>
      </c>
      <c r="E17" s="62" t="s">
        <v>137</v>
      </c>
      <c r="F17" s="62" t="s">
        <v>21</v>
      </c>
      <c r="G17" s="62" t="s">
        <v>550</v>
      </c>
      <c r="H17" s="139" t="s">
        <v>526</v>
      </c>
      <c r="I17" s="139"/>
      <c r="J17" s="139"/>
      <c r="K17" s="139"/>
      <c r="L17" s="139"/>
    </row>
    <row r="18" spans="1:12" x14ac:dyDescent="0.2">
      <c r="A18" s="69">
        <v>46000</v>
      </c>
      <c r="B18" s="62" t="s">
        <v>549</v>
      </c>
      <c r="C18" s="74">
        <f xml:space="preserve"> ABS((C9-CFD!$B$19)/(CFD!$B$20-CFD!$B$19)*(CFD!$E$20-CFD!$E$19) + CFD!$E$19)</f>
        <v>1.5826160979190044E-2</v>
      </c>
      <c r="D18" s="62" t="s">
        <v>125</v>
      </c>
      <c r="E18" s="62" t="s">
        <v>137</v>
      </c>
      <c r="F18" s="62" t="s">
        <v>21</v>
      </c>
      <c r="G18" s="62" t="s">
        <v>550</v>
      </c>
      <c r="H18" s="139" t="s">
        <v>526</v>
      </c>
      <c r="I18" s="139"/>
      <c r="J18" s="139"/>
      <c r="K18" s="139"/>
      <c r="L18" s="139"/>
    </row>
    <row r="19" spans="1:12" x14ac:dyDescent="0.2">
      <c r="A19" s="69">
        <v>47000</v>
      </c>
      <c r="B19" s="62" t="s">
        <v>549</v>
      </c>
      <c r="C19" s="74">
        <f xml:space="preserve"> ABS((C10-CFD!$B$19)/(CFD!$B$20-CFD!$B$19)*(CFD!$E$20-CFD!$E$19) + CFD!$E$19)</f>
        <v>1.633501466664446E-2</v>
      </c>
      <c r="D19" s="62" t="s">
        <v>125</v>
      </c>
      <c r="E19" s="62" t="s">
        <v>137</v>
      </c>
      <c r="F19" s="62" t="s">
        <v>21</v>
      </c>
      <c r="G19" s="62" t="s">
        <v>550</v>
      </c>
      <c r="H19" s="139" t="s">
        <v>526</v>
      </c>
      <c r="I19" s="139"/>
      <c r="J19" s="139"/>
      <c r="K19" s="139"/>
      <c r="L19" s="139"/>
    </row>
    <row r="20" spans="1:12" x14ac:dyDescent="0.2">
      <c r="A20" s="69">
        <v>48000</v>
      </c>
      <c r="B20" s="62" t="s">
        <v>549</v>
      </c>
      <c r="C20" s="74">
        <f xml:space="preserve"> ABS((C11-CFD!$B$19)/(CFD!$B$20-CFD!$B$19)*(CFD!$E$20-CFD!$E$19) + CFD!$E$19)</f>
        <v>1.6867763254356277E-2</v>
      </c>
      <c r="D20" s="62" t="s">
        <v>125</v>
      </c>
      <c r="E20" s="62" t="s">
        <v>137</v>
      </c>
      <c r="F20" s="62" t="s">
        <v>21</v>
      </c>
      <c r="G20" s="62" t="s">
        <v>550</v>
      </c>
      <c r="H20" s="139" t="s">
        <v>526</v>
      </c>
      <c r="I20" s="139"/>
      <c r="J20" s="139"/>
      <c r="K20" s="139"/>
      <c r="L20" s="139"/>
    </row>
    <row r="21" spans="1:12" x14ac:dyDescent="0.2">
      <c r="A21" s="69">
        <v>49000</v>
      </c>
      <c r="B21" s="62" t="s">
        <v>549</v>
      </c>
      <c r="C21" s="74">
        <f xml:space="preserve"> ABS((C12-CFD!$B$19)/(CFD!$B$20-CFD!$B$19)*(CFD!$E$20-CFD!$E$19) + CFD!$E$19)</f>
        <v>1.743017529072384E-2</v>
      </c>
      <c r="D21" s="62" t="s">
        <v>125</v>
      </c>
      <c r="E21" s="62" t="s">
        <v>137</v>
      </c>
      <c r="F21" s="62" t="s">
        <v>21</v>
      </c>
      <c r="G21" s="62" t="s">
        <v>550</v>
      </c>
      <c r="H21" s="139" t="s">
        <v>526</v>
      </c>
      <c r="I21" s="139"/>
      <c r="J21" s="139"/>
      <c r="K21" s="139"/>
      <c r="L21" s="139"/>
    </row>
    <row r="22" spans="1:12" x14ac:dyDescent="0.2">
      <c r="A22" s="62" t="s">
        <v>553</v>
      </c>
      <c r="B22" s="62" t="s">
        <v>552</v>
      </c>
      <c r="C22" s="74">
        <f>CFD!D3*'Initial Estimates'!$C$5*'Final Aircraft Checkouts'!C13</f>
        <v>9509.3790850639634</v>
      </c>
      <c r="D22" s="62" t="s">
        <v>125</v>
      </c>
      <c r="E22" s="62" t="s">
        <v>137</v>
      </c>
      <c r="F22" s="62" t="s">
        <v>21</v>
      </c>
      <c r="G22" s="62" t="s">
        <v>554</v>
      </c>
      <c r="H22" s="139" t="s">
        <v>536</v>
      </c>
      <c r="I22" s="139"/>
      <c r="J22" s="139"/>
      <c r="K22" s="139"/>
      <c r="L22" s="139"/>
    </row>
    <row r="23" spans="1:12" x14ac:dyDescent="0.2">
      <c r="A23" s="69">
        <v>42000</v>
      </c>
      <c r="B23" s="62" t="s">
        <v>552</v>
      </c>
      <c r="C23" s="74">
        <f>CFD!D4*'Initial Estimates'!$C$5*'Final Aircraft Checkouts'!C14</f>
        <v>9331.3001949139707</v>
      </c>
      <c r="D23" s="62" t="s">
        <v>125</v>
      </c>
      <c r="E23" s="62" t="s">
        <v>137</v>
      </c>
      <c r="F23" s="62" t="s">
        <v>21</v>
      </c>
      <c r="G23" s="62" t="s">
        <v>554</v>
      </c>
      <c r="H23" s="139" t="s">
        <v>536</v>
      </c>
      <c r="I23" s="139"/>
      <c r="J23" s="139"/>
      <c r="K23" s="139"/>
      <c r="L23" s="139"/>
    </row>
    <row r="24" spans="1:12" x14ac:dyDescent="0.2">
      <c r="A24" s="69">
        <v>43000</v>
      </c>
      <c r="B24" s="62" t="s">
        <v>552</v>
      </c>
      <c r="C24" s="74">
        <f>CFD!D5*'Initial Estimates'!$C$5*'Final Aircraft Checkouts'!C15</f>
        <v>9162.0572802294337</v>
      </c>
      <c r="D24" s="62" t="s">
        <v>125</v>
      </c>
      <c r="E24" s="62" t="s">
        <v>137</v>
      </c>
      <c r="F24" s="62" t="s">
        <v>21</v>
      </c>
      <c r="G24" s="62" t="s">
        <v>554</v>
      </c>
      <c r="H24" s="139" t="s">
        <v>536</v>
      </c>
      <c r="I24" s="139"/>
      <c r="J24" s="139"/>
      <c r="K24" s="139"/>
      <c r="L24" s="139"/>
    </row>
    <row r="25" spans="1:12" x14ac:dyDescent="0.2">
      <c r="A25" s="69">
        <v>44000</v>
      </c>
      <c r="B25" s="62" t="s">
        <v>552</v>
      </c>
      <c r="C25" s="74">
        <f>CFD!D6*'Initial Estimates'!$C$5*'Final Aircraft Checkouts'!C16</f>
        <v>9000.2909601695155</v>
      </c>
      <c r="D25" s="62" t="s">
        <v>125</v>
      </c>
      <c r="E25" s="62" t="s">
        <v>137</v>
      </c>
      <c r="F25" s="62" t="s">
        <v>21</v>
      </c>
      <c r="G25" s="62" t="s">
        <v>554</v>
      </c>
      <c r="H25" s="139" t="s">
        <v>536</v>
      </c>
      <c r="I25" s="139"/>
      <c r="J25" s="139"/>
      <c r="K25" s="139"/>
      <c r="L25" s="139"/>
    </row>
    <row r="26" spans="1:12" x14ac:dyDescent="0.2">
      <c r="A26" s="69">
        <v>45000</v>
      </c>
      <c r="B26" s="62" t="s">
        <v>552</v>
      </c>
      <c r="C26" s="74">
        <f>CFD!D7*'Initial Estimates'!$C$5*'Final Aircraft Checkouts'!C17</f>
        <v>8846.6809251546347</v>
      </c>
      <c r="D26" s="62" t="s">
        <v>125</v>
      </c>
      <c r="E26" s="62" t="s">
        <v>137</v>
      </c>
      <c r="F26" s="62" t="s">
        <v>21</v>
      </c>
      <c r="G26" s="62" t="s">
        <v>554</v>
      </c>
      <c r="H26" s="139" t="s">
        <v>536</v>
      </c>
      <c r="I26" s="139"/>
      <c r="J26" s="139"/>
      <c r="K26" s="139"/>
      <c r="L26" s="139"/>
    </row>
    <row r="27" spans="1:12" x14ac:dyDescent="0.2">
      <c r="A27" s="69">
        <v>46000</v>
      </c>
      <c r="B27" s="62" t="s">
        <v>552</v>
      </c>
      <c r="C27" s="74">
        <f>CFD!D8*'Initial Estimates'!$C$5*'Final Aircraft Checkouts'!C18</f>
        <v>8699.8677943439525</v>
      </c>
      <c r="D27" s="62" t="s">
        <v>125</v>
      </c>
      <c r="E27" s="62" t="s">
        <v>137</v>
      </c>
      <c r="F27" s="62" t="s">
        <v>21</v>
      </c>
      <c r="G27" s="62" t="s">
        <v>554</v>
      </c>
      <c r="H27" s="139" t="s">
        <v>536</v>
      </c>
      <c r="I27" s="139"/>
      <c r="J27" s="139"/>
      <c r="K27" s="139"/>
      <c r="L27" s="139"/>
    </row>
    <row r="28" spans="1:12" x14ac:dyDescent="0.2">
      <c r="A28" s="69">
        <v>47000</v>
      </c>
      <c r="B28" s="62" t="s">
        <v>552</v>
      </c>
      <c r="C28" s="74">
        <f>CFD!D9*'Initial Estimates'!$C$5*'Final Aircraft Checkouts'!C19</f>
        <v>8559.8515677374689</v>
      </c>
      <c r="D28" s="62" t="s">
        <v>125</v>
      </c>
      <c r="E28" s="62" t="s">
        <v>137</v>
      </c>
      <c r="F28" s="62" t="s">
        <v>21</v>
      </c>
      <c r="G28" s="62" t="s">
        <v>554</v>
      </c>
      <c r="H28" s="139" t="s">
        <v>536</v>
      </c>
      <c r="I28" s="139"/>
      <c r="J28" s="139"/>
      <c r="K28" s="139"/>
      <c r="L28" s="139"/>
    </row>
    <row r="29" spans="1:12" x14ac:dyDescent="0.2">
      <c r="A29" s="69">
        <v>48000</v>
      </c>
      <c r="B29" s="62" t="s">
        <v>552</v>
      </c>
      <c r="C29" s="74">
        <f>CFD!D10*'Initial Estimates'!$C$5*'Final Aircraft Checkouts'!C20</f>
        <v>8426.6322453351841</v>
      </c>
      <c r="D29" s="62" t="s">
        <v>125</v>
      </c>
      <c r="E29" s="62" t="s">
        <v>137</v>
      </c>
      <c r="F29" s="62" t="s">
        <v>21</v>
      </c>
      <c r="G29" s="62" t="s">
        <v>554</v>
      </c>
      <c r="H29" s="139" t="s">
        <v>536</v>
      </c>
      <c r="I29" s="139"/>
      <c r="J29" s="139"/>
      <c r="K29" s="139"/>
      <c r="L29" s="139"/>
    </row>
    <row r="30" spans="1:12" x14ac:dyDescent="0.2">
      <c r="A30" s="69">
        <v>49000</v>
      </c>
      <c r="B30" s="62" t="s">
        <v>552</v>
      </c>
      <c r="C30" s="74">
        <f>CFD!D11*'Initial Estimates'!$C$5*'Final Aircraft Checkouts'!C21</f>
        <v>8298.8504462962574</v>
      </c>
      <c r="D30" s="62" t="s">
        <v>125</v>
      </c>
      <c r="E30" s="62" t="s">
        <v>137</v>
      </c>
      <c r="F30" s="62" t="s">
        <v>21</v>
      </c>
      <c r="G30" s="62" t="s">
        <v>554</v>
      </c>
      <c r="H30" s="139" t="s">
        <v>536</v>
      </c>
      <c r="I30" s="139"/>
      <c r="J30" s="139"/>
      <c r="K30" s="139"/>
      <c r="L30" s="139"/>
    </row>
    <row r="31" spans="1:12" ht="21" x14ac:dyDescent="0.2">
      <c r="A31" s="118" t="s">
        <v>561</v>
      </c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20"/>
    </row>
    <row r="32" spans="1:12" ht="16" x14ac:dyDescent="0.2">
      <c r="A32" s="23" t="s">
        <v>5</v>
      </c>
      <c r="B32" s="23" t="s">
        <v>96</v>
      </c>
      <c r="C32" s="64" t="s">
        <v>7</v>
      </c>
      <c r="D32" s="64" t="s">
        <v>125</v>
      </c>
      <c r="E32" s="64" t="s">
        <v>8</v>
      </c>
      <c r="F32" s="64" t="s">
        <v>9</v>
      </c>
      <c r="G32" s="31" t="s">
        <v>10</v>
      </c>
      <c r="H32" s="122" t="s">
        <v>11</v>
      </c>
      <c r="I32" s="123"/>
      <c r="J32" s="123"/>
      <c r="K32" s="123"/>
      <c r="L32" s="124"/>
    </row>
    <row r="33" spans="1:12" x14ac:dyDescent="0.2">
      <c r="A33" s="62" t="s">
        <v>516</v>
      </c>
      <c r="B33" s="62" t="s">
        <v>474</v>
      </c>
      <c r="C33" s="62">
        <f>C3</f>
        <v>69845</v>
      </c>
      <c r="D33" s="62" t="s">
        <v>125</v>
      </c>
      <c r="E33" s="62" t="s">
        <v>223</v>
      </c>
      <c r="F33" s="62" t="s">
        <v>517</v>
      </c>
      <c r="G33" s="62" t="s">
        <v>518</v>
      </c>
      <c r="H33" s="140" t="s">
        <v>519</v>
      </c>
      <c r="I33" s="140"/>
      <c r="J33" s="140"/>
      <c r="K33" s="140"/>
      <c r="L33" s="140"/>
    </row>
    <row r="34" spans="1:12" x14ac:dyDescent="0.2">
      <c r="A34" s="62" t="s">
        <v>555</v>
      </c>
      <c r="B34" s="62" t="s">
        <v>520</v>
      </c>
      <c r="C34" s="62">
        <f>$C$33/CFD!E3/'Initial Estimates'!$C$5</f>
        <v>8.8603428369144283E-2</v>
      </c>
      <c r="D34" s="62" t="s">
        <v>125</v>
      </c>
      <c r="E34" s="62" t="s">
        <v>137</v>
      </c>
      <c r="F34" s="62" t="s">
        <v>21</v>
      </c>
      <c r="G34" s="62" t="s">
        <v>535</v>
      </c>
      <c r="H34" s="139" t="s">
        <v>536</v>
      </c>
      <c r="I34" s="139"/>
      <c r="J34" s="139"/>
      <c r="K34" s="139"/>
      <c r="L34" s="139"/>
    </row>
    <row r="35" spans="1:12" x14ac:dyDescent="0.2">
      <c r="A35" s="69">
        <v>42000</v>
      </c>
      <c r="B35" s="62" t="s">
        <v>520</v>
      </c>
      <c r="C35" s="62">
        <f>$C$33/CFD!E4/'Initial Estimates'!$C$5</f>
        <v>9.295389655368623E-2</v>
      </c>
      <c r="D35" s="62" t="s">
        <v>125</v>
      </c>
      <c r="E35" s="62" t="s">
        <v>137</v>
      </c>
      <c r="F35" s="62" t="s">
        <v>21</v>
      </c>
      <c r="G35" s="62" t="s">
        <v>535</v>
      </c>
      <c r="H35" s="139" t="s">
        <v>536</v>
      </c>
      <c r="I35" s="139"/>
      <c r="J35" s="139"/>
      <c r="K35" s="139"/>
      <c r="L35" s="139"/>
    </row>
    <row r="36" spans="1:12" x14ac:dyDescent="0.2">
      <c r="A36" s="69">
        <v>43000</v>
      </c>
      <c r="B36" s="62" t="s">
        <v>520</v>
      </c>
      <c r="C36" s="62">
        <f>$C$33/CFD!E5/'Initial Estimates'!$C$5</f>
        <v>9.7503831729992094E-2</v>
      </c>
      <c r="D36" s="62" t="s">
        <v>125</v>
      </c>
      <c r="E36" s="62" t="s">
        <v>137</v>
      </c>
      <c r="F36" s="62" t="s">
        <v>21</v>
      </c>
      <c r="G36" s="62" t="s">
        <v>535</v>
      </c>
      <c r="H36" s="139" t="s">
        <v>536</v>
      </c>
      <c r="I36" s="139"/>
      <c r="J36" s="139"/>
      <c r="K36" s="139"/>
      <c r="L36" s="139"/>
    </row>
    <row r="37" spans="1:12" x14ac:dyDescent="0.2">
      <c r="A37" s="69">
        <v>44000</v>
      </c>
      <c r="B37" s="62" t="s">
        <v>520</v>
      </c>
      <c r="C37" s="62">
        <f>$C$33/CFD!E6/'Initial Estimates'!$C$5</f>
        <v>0.10228954258825937</v>
      </c>
      <c r="D37" s="62" t="s">
        <v>125</v>
      </c>
      <c r="E37" s="62" t="s">
        <v>137</v>
      </c>
      <c r="F37" s="62" t="s">
        <v>21</v>
      </c>
      <c r="G37" s="62" t="s">
        <v>535</v>
      </c>
      <c r="H37" s="139" t="s">
        <v>536</v>
      </c>
      <c r="I37" s="139"/>
      <c r="J37" s="139"/>
      <c r="K37" s="139"/>
      <c r="L37" s="139"/>
    </row>
    <row r="38" spans="1:12" x14ac:dyDescent="0.2">
      <c r="A38" s="69">
        <v>45000</v>
      </c>
      <c r="B38" s="62" t="s">
        <v>520</v>
      </c>
      <c r="C38" s="62">
        <f>$C$33/CFD!E7/'Initial Estimates'!$C$5</f>
        <v>0.10729006965400599</v>
      </c>
      <c r="D38" s="62" t="s">
        <v>125</v>
      </c>
      <c r="E38" s="62" t="s">
        <v>137</v>
      </c>
      <c r="F38" s="62" t="s">
        <v>21</v>
      </c>
      <c r="G38" s="62" t="s">
        <v>535</v>
      </c>
      <c r="H38" s="139" t="s">
        <v>536</v>
      </c>
      <c r="I38" s="139"/>
      <c r="J38" s="139"/>
      <c r="K38" s="139"/>
      <c r="L38" s="139"/>
    </row>
    <row r="39" spans="1:12" x14ac:dyDescent="0.2">
      <c r="A39" s="69">
        <v>46000</v>
      </c>
      <c r="B39" s="62" t="s">
        <v>520</v>
      </c>
      <c r="C39" s="62">
        <f>$C$33/CFD!E8/'Initial Estimates'!$C$5</f>
        <v>0.11254867075345354</v>
      </c>
      <c r="D39" s="62" t="s">
        <v>125</v>
      </c>
      <c r="E39" s="62" t="s">
        <v>137</v>
      </c>
      <c r="F39" s="62" t="s">
        <v>21</v>
      </c>
      <c r="G39" s="62" t="s">
        <v>535</v>
      </c>
      <c r="H39" s="139" t="s">
        <v>536</v>
      </c>
      <c r="I39" s="139"/>
      <c r="J39" s="139"/>
      <c r="K39" s="139"/>
      <c r="L39" s="139"/>
    </row>
    <row r="40" spans="1:12" x14ac:dyDescent="0.2">
      <c r="A40" s="69">
        <v>47000</v>
      </c>
      <c r="B40" s="62" t="s">
        <v>520</v>
      </c>
      <c r="C40" s="62">
        <f>$C$33/CFD!E9/'Initial Estimates'!$C$5</f>
        <v>0.11806760104986186</v>
      </c>
      <c r="D40" s="62" t="s">
        <v>125</v>
      </c>
      <c r="E40" s="62" t="s">
        <v>137</v>
      </c>
      <c r="F40" s="62" t="s">
        <v>21</v>
      </c>
      <c r="G40" s="62" t="s">
        <v>535</v>
      </c>
      <c r="H40" s="139" t="s">
        <v>536</v>
      </c>
      <c r="I40" s="139"/>
      <c r="J40" s="139"/>
      <c r="K40" s="139"/>
      <c r="L40" s="139"/>
    </row>
    <row r="41" spans="1:12" x14ac:dyDescent="0.2">
      <c r="A41" s="69">
        <v>48000</v>
      </c>
      <c r="B41" s="62" t="s">
        <v>520</v>
      </c>
      <c r="C41" s="62">
        <f>$C$33/CFD!E10/'Initial Estimates'!$C$5</f>
        <v>0.12384569088900618</v>
      </c>
      <c r="D41" s="62" t="s">
        <v>125</v>
      </c>
      <c r="E41" s="62" t="s">
        <v>137</v>
      </c>
      <c r="F41" s="62" t="s">
        <v>21</v>
      </c>
      <c r="G41" s="62" t="s">
        <v>535</v>
      </c>
      <c r="H41" s="139" t="s">
        <v>536</v>
      </c>
      <c r="I41" s="139"/>
      <c r="J41" s="139"/>
      <c r="K41" s="139"/>
      <c r="L41" s="139"/>
    </row>
    <row r="42" spans="1:12" x14ac:dyDescent="0.2">
      <c r="A42" s="69">
        <v>49000</v>
      </c>
      <c r="B42" s="62" t="s">
        <v>520</v>
      </c>
      <c r="C42" s="62">
        <f>$C$33/CFD!E11/'Initial Estimates'!$C$5</f>
        <v>0.1299455048494812</v>
      </c>
      <c r="D42" s="62" t="s">
        <v>125</v>
      </c>
      <c r="E42" s="62" t="s">
        <v>137</v>
      </c>
      <c r="F42" s="62" t="s">
        <v>21</v>
      </c>
      <c r="G42" s="62" t="s">
        <v>535</v>
      </c>
      <c r="H42" s="139" t="s">
        <v>536</v>
      </c>
      <c r="I42" s="139"/>
      <c r="J42" s="139"/>
      <c r="K42" s="139"/>
      <c r="L42" s="139"/>
    </row>
    <row r="43" spans="1:12" x14ac:dyDescent="0.2">
      <c r="A43" s="62" t="s">
        <v>556</v>
      </c>
      <c r="B43" s="62" t="s">
        <v>549</v>
      </c>
      <c r="C43" s="74">
        <f xml:space="preserve"> ABS((C34-CFD!$B$25)/(CFD!$B$26-CFD!$B$25)*(CFD!$E$26-CFD!$E$25) + CFD!$E$25)</f>
        <v>1.3268194962425577E-2</v>
      </c>
      <c r="D43" s="62" t="s">
        <v>125</v>
      </c>
      <c r="E43" s="62" t="s">
        <v>137</v>
      </c>
      <c r="F43" s="62" t="s">
        <v>21</v>
      </c>
      <c r="G43" s="62" t="s">
        <v>550</v>
      </c>
      <c r="H43" s="139" t="s">
        <v>526</v>
      </c>
      <c r="I43" s="139"/>
      <c r="J43" s="139"/>
      <c r="K43" s="139"/>
      <c r="L43" s="139"/>
    </row>
    <row r="44" spans="1:12" x14ac:dyDescent="0.2">
      <c r="A44" s="69">
        <v>42000</v>
      </c>
      <c r="B44" s="62" t="s">
        <v>549</v>
      </c>
      <c r="C44" s="74">
        <f xml:space="preserve"> ABS((C35-CFD!$B$25)/(CFD!$B$26-CFD!$B$25)*(CFD!$E$26-CFD!$E$25) + CFD!$E$25)</f>
        <v>1.3482917641061767E-2</v>
      </c>
      <c r="D44" s="62" t="s">
        <v>125</v>
      </c>
      <c r="E44" s="62" t="s">
        <v>137</v>
      </c>
      <c r="F44" s="62" t="s">
        <v>21</v>
      </c>
      <c r="G44" s="62" t="s">
        <v>550</v>
      </c>
      <c r="H44" s="139" t="s">
        <v>526</v>
      </c>
      <c r="I44" s="139"/>
      <c r="J44" s="139"/>
      <c r="K44" s="139"/>
      <c r="L44" s="139"/>
    </row>
    <row r="45" spans="1:12" x14ac:dyDescent="0.2">
      <c r="A45" s="69">
        <v>43000</v>
      </c>
      <c r="B45" s="62" t="s">
        <v>549</v>
      </c>
      <c r="C45" s="74">
        <f xml:space="preserve"> ABS((C36-CFD!$B$25)/(CFD!$B$26-CFD!$B$25)*(CFD!$E$26-CFD!$E$25) + CFD!$E$25)</f>
        <v>1.3707485257059695E-2</v>
      </c>
      <c r="D45" s="62" t="s">
        <v>125</v>
      </c>
      <c r="E45" s="62" t="s">
        <v>137</v>
      </c>
      <c r="F45" s="62" t="s">
        <v>21</v>
      </c>
      <c r="G45" s="62" t="s">
        <v>550</v>
      </c>
      <c r="H45" s="139" t="s">
        <v>526</v>
      </c>
      <c r="I45" s="139"/>
      <c r="J45" s="139"/>
      <c r="K45" s="139"/>
      <c r="L45" s="139"/>
    </row>
    <row r="46" spans="1:12" x14ac:dyDescent="0.2">
      <c r="A46" s="69">
        <v>44000</v>
      </c>
      <c r="B46" s="62" t="s">
        <v>549</v>
      </c>
      <c r="C46" s="74">
        <f xml:space="preserve"> ABS((C37-CFD!$B$25)/(CFD!$B$26-CFD!$B$25)*(CFD!$E$26-CFD!$E$25) + CFD!$E$25)</f>
        <v>1.3943689870235977E-2</v>
      </c>
      <c r="D46" s="62" t="s">
        <v>125</v>
      </c>
      <c r="E46" s="62" t="s">
        <v>137</v>
      </c>
      <c r="F46" s="62" t="s">
        <v>21</v>
      </c>
      <c r="G46" s="62" t="s">
        <v>550</v>
      </c>
      <c r="H46" s="139" t="s">
        <v>526</v>
      </c>
      <c r="I46" s="139"/>
      <c r="J46" s="139"/>
      <c r="K46" s="139"/>
      <c r="L46" s="139"/>
    </row>
    <row r="47" spans="1:12" x14ac:dyDescent="0.2">
      <c r="A47" s="69">
        <v>45000</v>
      </c>
      <c r="B47" s="62" t="s">
        <v>549</v>
      </c>
      <c r="C47" s="74">
        <f xml:space="preserve"> ABS((C38-CFD!$B$25)/(CFD!$B$26-CFD!$B$25)*(CFD!$E$26-CFD!$E$25) + CFD!$E$25)</f>
        <v>1.4190497000090424E-2</v>
      </c>
      <c r="D47" s="62" t="s">
        <v>125</v>
      </c>
      <c r="E47" s="62" t="s">
        <v>137</v>
      </c>
      <c r="F47" s="62" t="s">
        <v>21</v>
      </c>
      <c r="G47" s="62" t="s">
        <v>550</v>
      </c>
      <c r="H47" s="139" t="s">
        <v>526</v>
      </c>
      <c r="I47" s="139"/>
      <c r="J47" s="139"/>
      <c r="K47" s="139"/>
      <c r="L47" s="139"/>
    </row>
    <row r="48" spans="1:12" x14ac:dyDescent="0.2">
      <c r="A48" s="69">
        <v>46000</v>
      </c>
      <c r="B48" s="62" t="s">
        <v>549</v>
      </c>
      <c r="C48" s="74">
        <f xml:space="preserve"> ABS((C39-CFD!$B$25)/(CFD!$B$26-CFD!$B$25)*(CFD!$E$26-CFD!$E$25) + CFD!$E$25)</f>
        <v>1.4450041689548136E-2</v>
      </c>
      <c r="D48" s="62" t="s">
        <v>125</v>
      </c>
      <c r="E48" s="62" t="s">
        <v>137</v>
      </c>
      <c r="F48" s="62" t="s">
        <v>21</v>
      </c>
      <c r="G48" s="62" t="s">
        <v>550</v>
      </c>
      <c r="H48" s="139" t="s">
        <v>526</v>
      </c>
      <c r="I48" s="139"/>
      <c r="J48" s="139"/>
      <c r="K48" s="139"/>
      <c r="L48" s="139"/>
    </row>
    <row r="49" spans="1:12" x14ac:dyDescent="0.2">
      <c r="A49" s="69">
        <v>47000</v>
      </c>
      <c r="B49" s="62" t="s">
        <v>549</v>
      </c>
      <c r="C49" s="74">
        <f xml:space="preserve"> ABS((C40-CFD!$B$25)/(CFD!$B$26-CFD!$B$25)*(CFD!$E$26-CFD!$E$25) + CFD!$E$25)</f>
        <v>1.4722435244950264E-2</v>
      </c>
      <c r="D49" s="62" t="s">
        <v>125</v>
      </c>
      <c r="E49" s="62" t="s">
        <v>137</v>
      </c>
      <c r="F49" s="62" t="s">
        <v>21</v>
      </c>
      <c r="G49" s="62" t="s">
        <v>550</v>
      </c>
      <c r="H49" s="139" t="s">
        <v>526</v>
      </c>
      <c r="I49" s="139"/>
      <c r="J49" s="139"/>
      <c r="K49" s="139"/>
      <c r="L49" s="139"/>
    </row>
    <row r="50" spans="1:12" x14ac:dyDescent="0.2">
      <c r="A50" s="69">
        <v>48000</v>
      </c>
      <c r="B50" s="62" t="s">
        <v>549</v>
      </c>
      <c r="C50" s="74">
        <f xml:space="preserve"> ABS((C41-CFD!$B$25)/(CFD!$B$26-CFD!$B$25)*(CFD!$E$26-CFD!$E$25) + CFD!$E$25)</f>
        <v>1.500761993658185E-2</v>
      </c>
      <c r="D50" s="62" t="s">
        <v>125</v>
      </c>
      <c r="E50" s="62" t="s">
        <v>137</v>
      </c>
      <c r="F50" s="62" t="s">
        <v>21</v>
      </c>
      <c r="G50" s="62" t="s">
        <v>550</v>
      </c>
      <c r="H50" s="139" t="s">
        <v>526</v>
      </c>
      <c r="I50" s="139"/>
      <c r="J50" s="139"/>
      <c r="K50" s="139"/>
      <c r="L50" s="139"/>
    </row>
    <row r="51" spans="1:12" x14ac:dyDescent="0.2">
      <c r="A51" s="69">
        <v>49000</v>
      </c>
      <c r="B51" s="62" t="s">
        <v>549</v>
      </c>
      <c r="C51" s="74">
        <f xml:space="preserve"> ABS((C42-CFD!$B$25)/(CFD!$B$26-CFD!$B$25)*(CFD!$E$26-CFD!$E$25) + CFD!$E$25)</f>
        <v>1.5308683715746927E-2</v>
      </c>
      <c r="D51" s="62" t="s">
        <v>125</v>
      </c>
      <c r="E51" s="62" t="s">
        <v>137</v>
      </c>
      <c r="F51" s="62" t="s">
        <v>21</v>
      </c>
      <c r="G51" s="62" t="s">
        <v>550</v>
      </c>
      <c r="H51" s="139" t="s">
        <v>526</v>
      </c>
      <c r="I51" s="139"/>
      <c r="J51" s="139"/>
      <c r="K51" s="139"/>
      <c r="L51" s="139"/>
    </row>
    <row r="52" spans="1:12" x14ac:dyDescent="0.2">
      <c r="A52" s="62" t="s">
        <v>553</v>
      </c>
      <c r="B52" s="62" t="s">
        <v>552</v>
      </c>
      <c r="C52" s="74">
        <f>CFD!E3*'Initial Estimates'!$C$5*'Final Aircraft Checkouts'!C43</f>
        <v>10459.155974074465</v>
      </c>
      <c r="D52" s="62" t="s">
        <v>125</v>
      </c>
      <c r="E52" s="62" t="s">
        <v>137</v>
      </c>
      <c r="F52" s="62" t="s">
        <v>21</v>
      </c>
      <c r="G52" s="62" t="s">
        <v>554</v>
      </c>
      <c r="H52" s="139" t="s">
        <v>536</v>
      </c>
      <c r="I52" s="139"/>
      <c r="J52" s="139"/>
      <c r="K52" s="139"/>
      <c r="L52" s="139"/>
    </row>
    <row r="53" spans="1:12" x14ac:dyDescent="0.2">
      <c r="A53" s="69">
        <v>42000</v>
      </c>
      <c r="B53" s="62" t="s">
        <v>552</v>
      </c>
      <c r="C53" s="74">
        <f>CFD!E4*'Initial Estimates'!$C$5*'Final Aircraft Checkouts'!C44</f>
        <v>10130.983396656909</v>
      </c>
      <c r="D53" s="62" t="s">
        <v>125</v>
      </c>
      <c r="E53" s="62" t="s">
        <v>137</v>
      </c>
      <c r="F53" s="62" t="s">
        <v>21</v>
      </c>
      <c r="G53" s="62" t="s">
        <v>554</v>
      </c>
      <c r="H53" s="139" t="s">
        <v>536</v>
      </c>
      <c r="I53" s="139"/>
      <c r="J53" s="139"/>
      <c r="K53" s="139"/>
      <c r="L53" s="139"/>
    </row>
    <row r="54" spans="1:12" x14ac:dyDescent="0.2">
      <c r="A54" s="69">
        <v>43000</v>
      </c>
      <c r="B54" s="62" t="s">
        <v>552</v>
      </c>
      <c r="C54" s="74">
        <f>CFD!E5*'Initial Estimates'!$C$5*'Final Aircraft Checkouts'!C45</f>
        <v>9819.0941914012928</v>
      </c>
      <c r="D54" s="62" t="s">
        <v>125</v>
      </c>
      <c r="E54" s="62" t="s">
        <v>137</v>
      </c>
      <c r="F54" s="62" t="s">
        <v>21</v>
      </c>
      <c r="G54" s="62" t="s">
        <v>554</v>
      </c>
      <c r="H54" s="139" t="s">
        <v>536</v>
      </c>
      <c r="I54" s="139"/>
      <c r="J54" s="139"/>
      <c r="K54" s="139"/>
      <c r="L54" s="139"/>
    </row>
    <row r="55" spans="1:12" x14ac:dyDescent="0.2">
      <c r="A55" s="69">
        <v>44000</v>
      </c>
      <c r="B55" s="62" t="s">
        <v>552</v>
      </c>
      <c r="C55" s="74">
        <f>CFD!E6*'Initial Estimates'!$C$5*'Final Aircraft Checkouts'!C46</f>
        <v>9520.9832241288586</v>
      </c>
      <c r="D55" s="62" t="s">
        <v>125</v>
      </c>
      <c r="E55" s="62" t="s">
        <v>137</v>
      </c>
      <c r="F55" s="62" t="s">
        <v>21</v>
      </c>
      <c r="G55" s="62" t="s">
        <v>554</v>
      </c>
      <c r="H55" s="139" t="s">
        <v>536</v>
      </c>
      <c r="I55" s="139"/>
      <c r="J55" s="139"/>
      <c r="K55" s="139"/>
      <c r="L55" s="139"/>
    </row>
    <row r="56" spans="1:12" x14ac:dyDescent="0.2">
      <c r="A56" s="69">
        <v>45000</v>
      </c>
      <c r="B56" s="62" t="s">
        <v>552</v>
      </c>
      <c r="C56" s="74">
        <f>CFD!E7*'Initial Estimates'!$C$5*'Final Aircraft Checkouts'!C47</f>
        <v>9237.9030619289824</v>
      </c>
      <c r="D56" s="62" t="s">
        <v>125</v>
      </c>
      <c r="E56" s="62" t="s">
        <v>137</v>
      </c>
      <c r="F56" s="62" t="s">
        <v>21</v>
      </c>
      <c r="G56" s="62" t="s">
        <v>554</v>
      </c>
      <c r="H56" s="139" t="s">
        <v>536</v>
      </c>
      <c r="I56" s="139"/>
      <c r="J56" s="139"/>
      <c r="K56" s="139"/>
      <c r="L56" s="139"/>
    </row>
    <row r="57" spans="1:12" x14ac:dyDescent="0.2">
      <c r="A57" s="69">
        <v>46000</v>
      </c>
      <c r="B57" s="62" t="s">
        <v>552</v>
      </c>
      <c r="C57" s="74">
        <f>CFD!E8*'Initial Estimates'!$C$5*'Final Aircraft Checkouts'!C48</f>
        <v>8967.3485706229058</v>
      </c>
      <c r="D57" s="62" t="s">
        <v>125</v>
      </c>
      <c r="E57" s="62" t="s">
        <v>137</v>
      </c>
      <c r="F57" s="62" t="s">
        <v>21</v>
      </c>
      <c r="G57" s="62" t="s">
        <v>554</v>
      </c>
      <c r="H57" s="139" t="s">
        <v>536</v>
      </c>
      <c r="I57" s="139"/>
      <c r="J57" s="139"/>
      <c r="K57" s="139"/>
      <c r="L57" s="139"/>
    </row>
    <row r="58" spans="1:12" x14ac:dyDescent="0.2">
      <c r="A58" s="69">
        <v>47000</v>
      </c>
      <c r="B58" s="62" t="s">
        <v>552</v>
      </c>
      <c r="C58" s="74">
        <f>CFD!E9*'Initial Estimates'!$C$5*'Final Aircraft Checkouts'!C49</f>
        <v>8709.3197502106304</v>
      </c>
      <c r="D58" s="62" t="s">
        <v>125</v>
      </c>
      <c r="E58" s="62" t="s">
        <v>137</v>
      </c>
      <c r="F58" s="62" t="s">
        <v>21</v>
      </c>
      <c r="G58" s="62" t="s">
        <v>554</v>
      </c>
      <c r="H58" s="139" t="s">
        <v>536</v>
      </c>
      <c r="I58" s="139"/>
      <c r="J58" s="139"/>
      <c r="K58" s="139"/>
      <c r="L58" s="139"/>
    </row>
    <row r="59" spans="1:12" x14ac:dyDescent="0.2">
      <c r="A59" s="69">
        <v>48000</v>
      </c>
      <c r="B59" s="62" t="s">
        <v>552</v>
      </c>
      <c r="C59" s="74">
        <f>CFD!E10*'Initial Estimates'!$C$5*'Final Aircraft Checkouts'!C50</f>
        <v>8463.816600692151</v>
      </c>
      <c r="D59" s="62" t="s">
        <v>125</v>
      </c>
      <c r="E59" s="62" t="s">
        <v>137</v>
      </c>
      <c r="F59" s="62" t="s">
        <v>21</v>
      </c>
      <c r="G59" s="62" t="s">
        <v>554</v>
      </c>
      <c r="H59" s="139" t="s">
        <v>536</v>
      </c>
      <c r="I59" s="139"/>
      <c r="J59" s="139"/>
      <c r="K59" s="139"/>
      <c r="L59" s="139"/>
    </row>
    <row r="60" spans="1:12" x14ac:dyDescent="0.2">
      <c r="A60" s="69">
        <v>49000</v>
      </c>
      <c r="B60" s="62" t="s">
        <v>552</v>
      </c>
      <c r="C60" s="74">
        <f>CFD!E11*'Initial Estimates'!$C$5*'Final Aircraft Checkouts'!C51</f>
        <v>8228.3339878887164</v>
      </c>
      <c r="D60" s="62" t="s">
        <v>125</v>
      </c>
      <c r="E60" s="62" t="s">
        <v>137</v>
      </c>
      <c r="F60" s="62" t="s">
        <v>21</v>
      </c>
      <c r="G60" s="62" t="s">
        <v>554</v>
      </c>
      <c r="H60" s="139" t="s">
        <v>536</v>
      </c>
      <c r="I60" s="139"/>
      <c r="J60" s="139"/>
      <c r="K60" s="139"/>
      <c r="L60" s="139"/>
    </row>
    <row r="61" spans="1:12" ht="21" x14ac:dyDescent="0.2">
      <c r="A61" s="118" t="s">
        <v>564</v>
      </c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20"/>
    </row>
    <row r="62" spans="1:12" ht="16" x14ac:dyDescent="0.2">
      <c r="A62" s="23" t="s">
        <v>5</v>
      </c>
      <c r="B62" s="23" t="s">
        <v>96</v>
      </c>
      <c r="C62" s="64" t="s">
        <v>7</v>
      </c>
      <c r="D62" s="64" t="s">
        <v>125</v>
      </c>
      <c r="E62" s="64" t="s">
        <v>8</v>
      </c>
      <c r="F62" s="64" t="s">
        <v>9</v>
      </c>
      <c r="G62" s="31" t="s">
        <v>10</v>
      </c>
      <c r="H62" s="122" t="s">
        <v>11</v>
      </c>
      <c r="I62" s="123"/>
      <c r="J62" s="123"/>
      <c r="K62" s="123"/>
      <c r="L62" s="124"/>
    </row>
    <row r="63" spans="1:12" x14ac:dyDescent="0.2">
      <c r="A63" s="62" t="s">
        <v>516</v>
      </c>
      <c r="B63" s="62" t="s">
        <v>474</v>
      </c>
      <c r="C63" s="62">
        <f>C3</f>
        <v>69845</v>
      </c>
      <c r="D63" s="62" t="s">
        <v>125</v>
      </c>
      <c r="E63" s="62" t="s">
        <v>223</v>
      </c>
      <c r="F63" s="62" t="s">
        <v>517</v>
      </c>
      <c r="G63" s="62" t="s">
        <v>518</v>
      </c>
      <c r="H63" s="140" t="s">
        <v>519</v>
      </c>
      <c r="I63" s="140"/>
      <c r="J63" s="140"/>
      <c r="K63" s="140"/>
      <c r="L63" s="140"/>
    </row>
    <row r="64" spans="1:12" x14ac:dyDescent="0.2">
      <c r="A64" s="62" t="s">
        <v>555</v>
      </c>
      <c r="B64" s="62" t="s">
        <v>520</v>
      </c>
      <c r="C64" s="74">
        <f>$C$63/CFD!F3/'Initial Estimates'!$C$5</f>
        <v>7.9032070366304621E-2</v>
      </c>
      <c r="D64" s="62" t="s">
        <v>125</v>
      </c>
      <c r="E64" s="62" t="s">
        <v>137</v>
      </c>
      <c r="F64" s="62" t="s">
        <v>21</v>
      </c>
      <c r="G64" s="62" t="s">
        <v>535</v>
      </c>
      <c r="H64" s="139" t="s">
        <v>536</v>
      </c>
      <c r="I64" s="139"/>
      <c r="J64" s="139"/>
      <c r="K64" s="139"/>
      <c r="L64" s="139"/>
    </row>
    <row r="65" spans="1:12" x14ac:dyDescent="0.2">
      <c r="A65" s="69">
        <v>42000</v>
      </c>
      <c r="B65" s="62" t="s">
        <v>520</v>
      </c>
      <c r="C65" s="74">
        <f>$C$63/CFD!F4/'Initial Estimates'!$C$5</f>
        <v>8.2912580567948493E-2</v>
      </c>
      <c r="D65" s="62" t="s">
        <v>125</v>
      </c>
      <c r="E65" s="62" t="s">
        <v>137</v>
      </c>
      <c r="F65" s="62" t="s">
        <v>21</v>
      </c>
      <c r="G65" s="62" t="s">
        <v>535</v>
      </c>
      <c r="H65" s="139" t="s">
        <v>536</v>
      </c>
      <c r="I65" s="139"/>
      <c r="J65" s="139"/>
      <c r="K65" s="139"/>
      <c r="L65" s="139"/>
    </row>
    <row r="66" spans="1:12" x14ac:dyDescent="0.2">
      <c r="A66" s="69">
        <v>43000</v>
      </c>
      <c r="B66" s="62" t="s">
        <v>520</v>
      </c>
      <c r="C66" s="74">
        <f>$C$63/CFD!F5/'Initial Estimates'!$C$5</f>
        <v>8.6971010401134904E-2</v>
      </c>
      <c r="D66" s="62" t="s">
        <v>125</v>
      </c>
      <c r="E66" s="62" t="s">
        <v>137</v>
      </c>
      <c r="F66" s="62" t="s">
        <v>21</v>
      </c>
      <c r="G66" s="62" t="s">
        <v>535</v>
      </c>
      <c r="H66" s="139" t="s">
        <v>536</v>
      </c>
      <c r="I66" s="139"/>
      <c r="J66" s="139"/>
      <c r="K66" s="139"/>
      <c r="L66" s="139"/>
    </row>
    <row r="67" spans="1:12" x14ac:dyDescent="0.2">
      <c r="A67" s="69">
        <v>44000</v>
      </c>
      <c r="B67" s="62" t="s">
        <v>520</v>
      </c>
      <c r="C67" s="74">
        <f>$C$63/CFD!F6/'Initial Estimates'!$C$5</f>
        <v>9.1239746321009105E-2</v>
      </c>
      <c r="D67" s="62" t="s">
        <v>125</v>
      </c>
      <c r="E67" s="62" t="s">
        <v>137</v>
      </c>
      <c r="F67" s="62" t="s">
        <v>21</v>
      </c>
      <c r="G67" s="62" t="s">
        <v>535</v>
      </c>
      <c r="H67" s="139" t="s">
        <v>536</v>
      </c>
      <c r="I67" s="139"/>
      <c r="J67" s="139"/>
      <c r="K67" s="139"/>
      <c r="L67" s="139"/>
    </row>
    <row r="68" spans="1:12" x14ac:dyDescent="0.2">
      <c r="A68" s="69">
        <v>45000</v>
      </c>
      <c r="B68" s="62" t="s">
        <v>520</v>
      </c>
      <c r="C68" s="74">
        <f>$C$63/CFD!F7/'Initial Estimates'!$C$5</f>
        <v>9.5700092993851002E-2</v>
      </c>
      <c r="D68" s="62" t="s">
        <v>125</v>
      </c>
      <c r="E68" s="62" t="s">
        <v>137</v>
      </c>
      <c r="F68" s="62" t="s">
        <v>21</v>
      </c>
      <c r="G68" s="62" t="s">
        <v>535</v>
      </c>
      <c r="H68" s="139" t="s">
        <v>536</v>
      </c>
      <c r="I68" s="139"/>
      <c r="J68" s="139"/>
      <c r="K68" s="139"/>
      <c r="L68" s="139"/>
    </row>
    <row r="69" spans="1:12" x14ac:dyDescent="0.2">
      <c r="A69" s="69">
        <v>46000</v>
      </c>
      <c r="B69" s="62" t="s">
        <v>520</v>
      </c>
      <c r="C69" s="74">
        <f>$C$63/CFD!F8/'Initial Estimates'!$C$5</f>
        <v>0.10039063533255575</v>
      </c>
      <c r="D69" s="62" t="s">
        <v>125</v>
      </c>
      <c r="E69" s="62" t="s">
        <v>137</v>
      </c>
      <c r="F69" s="62" t="s">
        <v>21</v>
      </c>
      <c r="G69" s="62" t="s">
        <v>535</v>
      </c>
      <c r="H69" s="139" t="s">
        <v>536</v>
      </c>
      <c r="I69" s="139"/>
      <c r="J69" s="139"/>
      <c r="K69" s="139"/>
      <c r="L69" s="139"/>
    </row>
    <row r="70" spans="1:12" x14ac:dyDescent="0.2">
      <c r="A70" s="69">
        <v>47000</v>
      </c>
      <c r="B70" s="62" t="s">
        <v>520</v>
      </c>
      <c r="C70" s="74">
        <f>$C$63/CFD!F9/'Initial Estimates'!$C$5</f>
        <v>0.10531338488706812</v>
      </c>
      <c r="D70" s="62" t="s">
        <v>125</v>
      </c>
      <c r="E70" s="62" t="s">
        <v>137</v>
      </c>
      <c r="F70" s="62" t="s">
        <v>21</v>
      </c>
      <c r="G70" s="62" t="s">
        <v>535</v>
      </c>
      <c r="H70" s="139" t="s">
        <v>536</v>
      </c>
      <c r="I70" s="139"/>
      <c r="J70" s="139"/>
      <c r="K70" s="139"/>
      <c r="L70" s="139"/>
    </row>
    <row r="71" spans="1:12" x14ac:dyDescent="0.2">
      <c r="A71" s="69">
        <v>48000</v>
      </c>
      <c r="B71" s="62" t="s">
        <v>520</v>
      </c>
      <c r="C71" s="74">
        <f>$C$63/CFD!F10/'Initial Estimates'!$C$5</f>
        <v>0.11046729835469993</v>
      </c>
      <c r="D71" s="62" t="s">
        <v>125</v>
      </c>
      <c r="E71" s="62" t="s">
        <v>137</v>
      </c>
      <c r="F71" s="62" t="s">
        <v>21</v>
      </c>
      <c r="G71" s="62" t="s">
        <v>535</v>
      </c>
      <c r="H71" s="139" t="s">
        <v>536</v>
      </c>
      <c r="I71" s="139"/>
      <c r="J71" s="139"/>
      <c r="K71" s="139"/>
      <c r="L71" s="139"/>
    </row>
    <row r="72" spans="1:12" x14ac:dyDescent="0.2">
      <c r="A72" s="69">
        <v>49000</v>
      </c>
      <c r="B72" s="62" t="s">
        <v>520</v>
      </c>
      <c r="C72" s="74">
        <f>$C$63/CFD!F11/'Initial Estimates'!$C$5</f>
        <v>0.11590818179475326</v>
      </c>
      <c r="D72" s="62" t="s">
        <v>125</v>
      </c>
      <c r="E72" s="62" t="s">
        <v>137</v>
      </c>
      <c r="F72" s="62" t="s">
        <v>21</v>
      </c>
      <c r="G72" s="62" t="s">
        <v>535</v>
      </c>
      <c r="H72" s="139" t="s">
        <v>536</v>
      </c>
      <c r="I72" s="139"/>
      <c r="J72" s="139"/>
      <c r="K72" s="139"/>
      <c r="L72" s="139"/>
    </row>
    <row r="73" spans="1:12" x14ac:dyDescent="0.2">
      <c r="A73" s="62" t="s">
        <v>556</v>
      </c>
      <c r="B73" s="62" t="s">
        <v>549</v>
      </c>
      <c r="C73" s="74">
        <f xml:space="preserve"> ABS((C64-CFD!$B$33)/(CFD!$B$34-CFD!$B$33)*(CFD!$E$34-CFD!$E$33) + CFD!$E$33)</f>
        <v>1.2612977881277958E-2</v>
      </c>
      <c r="D73" s="62" t="s">
        <v>125</v>
      </c>
      <c r="E73" s="62" t="s">
        <v>137</v>
      </c>
      <c r="F73" s="62" t="s">
        <v>21</v>
      </c>
      <c r="G73" s="62" t="s">
        <v>550</v>
      </c>
      <c r="H73" s="139" t="s">
        <v>526</v>
      </c>
      <c r="I73" s="139"/>
      <c r="J73" s="139"/>
      <c r="K73" s="139"/>
      <c r="L73" s="139"/>
    </row>
    <row r="74" spans="1:12" x14ac:dyDescent="0.2">
      <c r="A74" s="69">
        <v>42000</v>
      </c>
      <c r="B74" s="62" t="s">
        <v>549</v>
      </c>
      <c r="C74" s="74">
        <f xml:space="preserve"> ABS((C65-CFD!$B$33)/(CFD!$B$34-CFD!$B$33)*(CFD!$E$34-CFD!$E$33) + CFD!$E$33)</f>
        <v>1.2939375935621835E-2</v>
      </c>
      <c r="D74" s="62" t="s">
        <v>125</v>
      </c>
      <c r="E74" s="62" t="s">
        <v>137</v>
      </c>
      <c r="F74" s="62" t="s">
        <v>21</v>
      </c>
      <c r="G74" s="62" t="s">
        <v>550</v>
      </c>
      <c r="H74" s="139" t="s">
        <v>526</v>
      </c>
      <c r="I74" s="139"/>
      <c r="J74" s="139"/>
      <c r="K74" s="139"/>
      <c r="L74" s="139"/>
    </row>
    <row r="75" spans="1:12" x14ac:dyDescent="0.2">
      <c r="A75" s="69">
        <v>43000</v>
      </c>
      <c r="B75" s="62" t="s">
        <v>549</v>
      </c>
      <c r="C75" s="74">
        <f xml:space="preserve"> ABS((C66-CFD!$B$33)/(CFD!$B$34-CFD!$B$33)*(CFD!$E$34-CFD!$E$33) + CFD!$E$33)</f>
        <v>1.3280739192618823E-2</v>
      </c>
      <c r="D75" s="62" t="s">
        <v>125</v>
      </c>
      <c r="E75" s="62" t="s">
        <v>137</v>
      </c>
      <c r="F75" s="62" t="s">
        <v>21</v>
      </c>
      <c r="G75" s="62" t="s">
        <v>550</v>
      </c>
      <c r="H75" s="139" t="s">
        <v>526</v>
      </c>
      <c r="I75" s="139"/>
      <c r="J75" s="139"/>
      <c r="K75" s="139"/>
      <c r="L75" s="139"/>
    </row>
    <row r="76" spans="1:12" x14ac:dyDescent="0.2">
      <c r="A76" s="69">
        <v>44000</v>
      </c>
      <c r="B76" s="62" t="s">
        <v>549</v>
      </c>
      <c r="C76" s="74">
        <f xml:space="preserve"> ABS((C67-CFD!$B$33)/(CFD!$B$34-CFD!$B$33)*(CFD!$E$34-CFD!$E$33) + CFD!$E$33)</f>
        <v>1.3639791746626934E-2</v>
      </c>
      <c r="D76" s="62" t="s">
        <v>125</v>
      </c>
      <c r="E76" s="62" t="s">
        <v>137</v>
      </c>
      <c r="F76" s="62" t="s">
        <v>21</v>
      </c>
      <c r="G76" s="62" t="s">
        <v>550</v>
      </c>
      <c r="H76" s="139" t="s">
        <v>526</v>
      </c>
      <c r="I76" s="139"/>
      <c r="J76" s="139"/>
      <c r="K76" s="139"/>
      <c r="L76" s="139"/>
    </row>
    <row r="77" spans="1:12" x14ac:dyDescent="0.2">
      <c r="A77" s="69">
        <v>45000</v>
      </c>
      <c r="B77" s="62" t="s">
        <v>549</v>
      </c>
      <c r="C77" s="74">
        <f xml:space="preserve"> ABS((C68-CFD!$B$33)/(CFD!$B$34-CFD!$B$33)*(CFD!$E$34-CFD!$E$33) + CFD!$E$33)</f>
        <v>1.4014961092940738E-2</v>
      </c>
      <c r="D77" s="62" t="s">
        <v>125</v>
      </c>
      <c r="E77" s="62" t="s">
        <v>137</v>
      </c>
      <c r="F77" s="62" t="s">
        <v>21</v>
      </c>
      <c r="G77" s="62" t="s">
        <v>550</v>
      </c>
      <c r="H77" s="139" t="s">
        <v>526</v>
      </c>
      <c r="I77" s="139"/>
      <c r="J77" s="139"/>
      <c r="K77" s="139"/>
      <c r="L77" s="139"/>
    </row>
    <row r="78" spans="1:12" x14ac:dyDescent="0.2">
      <c r="A78" s="69">
        <v>46000</v>
      </c>
      <c r="B78" s="62" t="s">
        <v>549</v>
      </c>
      <c r="C78" s="74">
        <f xml:space="preserve"> ABS((C69-CFD!$B$33)/(CFD!$B$34-CFD!$B$33)*(CFD!$E$34-CFD!$E$33) + CFD!$E$33)</f>
        <v>1.440949269152338E-2</v>
      </c>
      <c r="D78" s="62" t="s">
        <v>125</v>
      </c>
      <c r="E78" s="62" t="s">
        <v>137</v>
      </c>
      <c r="F78" s="62" t="s">
        <v>21</v>
      </c>
      <c r="G78" s="62" t="s">
        <v>550</v>
      </c>
      <c r="H78" s="139" t="s">
        <v>526</v>
      </c>
      <c r="I78" s="139"/>
      <c r="J78" s="139"/>
      <c r="K78" s="139"/>
      <c r="L78" s="139"/>
    </row>
    <row r="79" spans="1:12" x14ac:dyDescent="0.2">
      <c r="A79" s="69">
        <v>47000</v>
      </c>
      <c r="B79" s="62" t="s">
        <v>549</v>
      </c>
      <c r="C79" s="74">
        <f xml:space="preserve"> ABS((C70-CFD!$B$33)/(CFD!$B$34-CFD!$B$33)*(CFD!$E$34-CFD!$E$33) + CFD!$E$33)</f>
        <v>1.4823555738164608E-2</v>
      </c>
      <c r="D79" s="62" t="s">
        <v>125</v>
      </c>
      <c r="E79" s="62" t="s">
        <v>137</v>
      </c>
      <c r="F79" s="62" t="s">
        <v>21</v>
      </c>
      <c r="G79" s="62" t="s">
        <v>550</v>
      </c>
      <c r="H79" s="139" t="s">
        <v>526</v>
      </c>
      <c r="I79" s="139"/>
      <c r="J79" s="139"/>
      <c r="K79" s="139"/>
      <c r="L79" s="139"/>
    </row>
    <row r="80" spans="1:12" x14ac:dyDescent="0.2">
      <c r="A80" s="69">
        <v>48000</v>
      </c>
      <c r="B80" s="62" t="s">
        <v>549</v>
      </c>
      <c r="C80" s="74">
        <f xml:space="preserve"> ABS((C71-CFD!$B$33)/(CFD!$B$34-CFD!$B$33)*(CFD!$E$34-CFD!$E$33) + CFD!$E$33)</f>
        <v>1.5257062478432703E-2</v>
      </c>
      <c r="D80" s="62" t="s">
        <v>125</v>
      </c>
      <c r="E80" s="62" t="s">
        <v>137</v>
      </c>
      <c r="F80" s="62" t="s">
        <v>21</v>
      </c>
      <c r="G80" s="62" t="s">
        <v>550</v>
      </c>
      <c r="H80" s="139" t="s">
        <v>526</v>
      </c>
      <c r="I80" s="139"/>
      <c r="J80" s="139"/>
      <c r="K80" s="139"/>
      <c r="L80" s="139"/>
    </row>
    <row r="81" spans="1:12" x14ac:dyDescent="0.2">
      <c r="A81" s="69">
        <v>49000</v>
      </c>
      <c r="B81" s="62" t="s">
        <v>549</v>
      </c>
      <c r="C81" s="74">
        <f xml:space="preserve"> ABS((C72-CFD!$B$33)/(CFD!$B$34-CFD!$B$33)*(CFD!$E$34-CFD!$E$33) + CFD!$E$33)</f>
        <v>1.5714706879932518E-2</v>
      </c>
      <c r="D81" s="62" t="s">
        <v>125</v>
      </c>
      <c r="E81" s="62" t="s">
        <v>137</v>
      </c>
      <c r="F81" s="62" t="s">
        <v>21</v>
      </c>
      <c r="G81" s="62" t="s">
        <v>550</v>
      </c>
      <c r="H81" s="139" t="s">
        <v>526</v>
      </c>
      <c r="I81" s="139"/>
      <c r="J81" s="139"/>
      <c r="K81" s="139"/>
      <c r="L81" s="139"/>
    </row>
    <row r="82" spans="1:12" x14ac:dyDescent="0.2">
      <c r="A82" s="62" t="s">
        <v>553</v>
      </c>
      <c r="B82" s="62" t="s">
        <v>552</v>
      </c>
      <c r="C82" s="74">
        <f>CFD!F3*'Initial Estimates'!$C$5*'Final Aircraft Checkouts'!C73</f>
        <v>11146.78428686912</v>
      </c>
      <c r="D82" s="62" t="s">
        <v>125</v>
      </c>
      <c r="E82" s="62" t="s">
        <v>137</v>
      </c>
      <c r="F82" s="62" t="s">
        <v>21</v>
      </c>
      <c r="G82" s="62" t="s">
        <v>554</v>
      </c>
      <c r="H82" s="139" t="s">
        <v>536</v>
      </c>
      <c r="I82" s="139"/>
      <c r="J82" s="139"/>
      <c r="K82" s="139"/>
      <c r="L82" s="139"/>
    </row>
    <row r="83" spans="1:12" x14ac:dyDescent="0.2">
      <c r="A83" s="69">
        <v>42000</v>
      </c>
      <c r="B83" s="62" t="s">
        <v>552</v>
      </c>
      <c r="C83" s="74">
        <f>CFD!F4*'Initial Estimates'!$C$5*'Final Aircraft Checkouts'!C74</f>
        <v>10900.043226647198</v>
      </c>
      <c r="D83" s="62" t="s">
        <v>125</v>
      </c>
      <c r="E83" s="62" t="s">
        <v>137</v>
      </c>
      <c r="F83" s="62" t="s">
        <v>21</v>
      </c>
      <c r="G83" s="62" t="s">
        <v>554</v>
      </c>
      <c r="H83" s="139" t="s">
        <v>536</v>
      </c>
      <c r="I83" s="139"/>
      <c r="J83" s="139"/>
      <c r="K83" s="139"/>
      <c r="L83" s="139"/>
    </row>
    <row r="84" spans="1:12" x14ac:dyDescent="0.2">
      <c r="A84" s="69">
        <v>43000</v>
      </c>
      <c r="B84" s="62" t="s">
        <v>552</v>
      </c>
      <c r="C84" s="74">
        <f>CFD!F5*'Initial Estimates'!$C$5*'Final Aircraft Checkouts'!C75</f>
        <v>10665.545043459188</v>
      </c>
      <c r="D84" s="62" t="s">
        <v>125</v>
      </c>
      <c r="E84" s="62" t="s">
        <v>137</v>
      </c>
      <c r="F84" s="62" t="s">
        <v>21</v>
      </c>
      <c r="G84" s="62" t="s">
        <v>554</v>
      </c>
      <c r="H84" s="139" t="s">
        <v>536</v>
      </c>
      <c r="I84" s="139"/>
      <c r="J84" s="139"/>
      <c r="K84" s="139"/>
      <c r="L84" s="139"/>
    </row>
    <row r="85" spans="1:12" x14ac:dyDescent="0.2">
      <c r="A85" s="69">
        <v>44000</v>
      </c>
      <c r="B85" s="62" t="s">
        <v>552</v>
      </c>
      <c r="C85" s="74">
        <f>CFD!F6*'Initial Estimates'!$C$5*'Final Aircraft Checkouts'!C76</f>
        <v>10441.406217761409</v>
      </c>
      <c r="D85" s="62" t="s">
        <v>125</v>
      </c>
      <c r="E85" s="62" t="s">
        <v>137</v>
      </c>
      <c r="F85" s="62" t="s">
        <v>21</v>
      </c>
      <c r="G85" s="62" t="s">
        <v>554</v>
      </c>
      <c r="H85" s="139" t="s">
        <v>536</v>
      </c>
      <c r="I85" s="139"/>
      <c r="J85" s="139"/>
      <c r="K85" s="139"/>
      <c r="L85" s="139"/>
    </row>
    <row r="86" spans="1:12" x14ac:dyDescent="0.2">
      <c r="A86" s="69">
        <v>45000</v>
      </c>
      <c r="B86" s="62" t="s">
        <v>552</v>
      </c>
      <c r="C86" s="74">
        <f>CFD!F7*'Initial Estimates'!$C$5*'Final Aircraft Checkouts'!C77</f>
        <v>10228.568509325705</v>
      </c>
      <c r="D86" s="62" t="s">
        <v>125</v>
      </c>
      <c r="E86" s="62" t="s">
        <v>137</v>
      </c>
      <c r="F86" s="62" t="s">
        <v>21</v>
      </c>
      <c r="G86" s="62" t="s">
        <v>554</v>
      </c>
      <c r="H86" s="139" t="s">
        <v>536</v>
      </c>
      <c r="I86" s="139"/>
      <c r="J86" s="139"/>
      <c r="K86" s="139"/>
      <c r="L86" s="139"/>
    </row>
    <row r="87" spans="1:12" x14ac:dyDescent="0.2">
      <c r="A87" s="69">
        <v>46000</v>
      </c>
      <c r="B87" s="62" t="s">
        <v>552</v>
      </c>
      <c r="C87" s="74">
        <f>CFD!F8*'Initial Estimates'!$C$5*'Final Aircraft Checkouts'!C78</f>
        <v>10025.148398608393</v>
      </c>
      <c r="D87" s="62" t="s">
        <v>125</v>
      </c>
      <c r="E87" s="62" t="s">
        <v>137</v>
      </c>
      <c r="F87" s="62" t="s">
        <v>21</v>
      </c>
      <c r="G87" s="62" t="s">
        <v>554</v>
      </c>
      <c r="H87" s="139" t="s">
        <v>536</v>
      </c>
      <c r="I87" s="139"/>
      <c r="J87" s="139"/>
      <c r="K87" s="139"/>
      <c r="L87" s="139"/>
    </row>
    <row r="88" spans="1:12" x14ac:dyDescent="0.2">
      <c r="A88" s="69">
        <v>47000</v>
      </c>
      <c r="B88" s="62" t="s">
        <v>552</v>
      </c>
      <c r="C88" s="74">
        <f>CFD!F9*'Initial Estimates'!$C$5*'Final Aircraft Checkouts'!C79</f>
        <v>9831.145885609476</v>
      </c>
      <c r="D88" s="62" t="s">
        <v>125</v>
      </c>
      <c r="E88" s="62" t="s">
        <v>137</v>
      </c>
      <c r="F88" s="62" t="s">
        <v>21</v>
      </c>
      <c r="G88" s="62" t="s">
        <v>554</v>
      </c>
      <c r="H88" s="139" t="s">
        <v>536</v>
      </c>
      <c r="I88" s="139"/>
      <c r="J88" s="139"/>
      <c r="K88" s="139"/>
      <c r="L88" s="139"/>
    </row>
    <row r="89" spans="1:12" x14ac:dyDescent="0.2">
      <c r="A89" s="69">
        <v>48000</v>
      </c>
      <c r="B89" s="62" t="s">
        <v>552</v>
      </c>
      <c r="C89" s="74">
        <f>CFD!F10*'Initial Estimates'!$C$5*'Final Aircraft Checkouts'!C80</f>
        <v>9646.5609703289538</v>
      </c>
      <c r="D89" s="62" t="s">
        <v>125</v>
      </c>
      <c r="E89" s="62" t="s">
        <v>137</v>
      </c>
      <c r="F89" s="62" t="s">
        <v>21</v>
      </c>
      <c r="G89" s="62" t="s">
        <v>554</v>
      </c>
      <c r="H89" s="139" t="s">
        <v>536</v>
      </c>
      <c r="I89" s="139"/>
      <c r="J89" s="139"/>
      <c r="K89" s="139"/>
      <c r="L89" s="139"/>
    </row>
    <row r="90" spans="1:12" x14ac:dyDescent="0.2">
      <c r="A90" s="69">
        <v>49000</v>
      </c>
      <c r="B90" s="62" t="s">
        <v>552</v>
      </c>
      <c r="C90" s="74">
        <f>CFD!F11*'Initial Estimates'!$C$5*'Final Aircraft Checkouts'!C81</f>
        <v>9469.5101332231461</v>
      </c>
      <c r="D90" s="62" t="s">
        <v>125</v>
      </c>
      <c r="E90" s="62" t="s">
        <v>137</v>
      </c>
      <c r="F90" s="62" t="s">
        <v>21</v>
      </c>
      <c r="G90" s="62" t="s">
        <v>554</v>
      </c>
      <c r="H90" s="139" t="s">
        <v>536</v>
      </c>
      <c r="I90" s="139"/>
      <c r="J90" s="139"/>
      <c r="K90" s="139"/>
      <c r="L90" s="139"/>
    </row>
    <row r="93" spans="1:12" ht="21" x14ac:dyDescent="0.2">
      <c r="A93" s="118" t="s">
        <v>571</v>
      </c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20"/>
    </row>
    <row r="94" spans="1:12" ht="16" x14ac:dyDescent="0.2">
      <c r="A94" s="23" t="s">
        <v>5</v>
      </c>
      <c r="B94" s="23" t="s">
        <v>96</v>
      </c>
      <c r="C94" s="94" t="s">
        <v>7</v>
      </c>
      <c r="D94" s="94" t="s">
        <v>125</v>
      </c>
      <c r="E94" s="94" t="s">
        <v>8</v>
      </c>
      <c r="F94" s="94" t="s">
        <v>9</v>
      </c>
      <c r="G94" s="31" t="s">
        <v>10</v>
      </c>
      <c r="H94" s="122" t="s">
        <v>11</v>
      </c>
      <c r="I94" s="123"/>
      <c r="J94" s="123"/>
      <c r="K94" s="123"/>
      <c r="L94" s="124"/>
    </row>
    <row r="95" spans="1:12" x14ac:dyDescent="0.2">
      <c r="A95" s="92" t="s">
        <v>516</v>
      </c>
      <c r="B95" s="92" t="s">
        <v>474</v>
      </c>
      <c r="C95" s="92">
        <f>'Initial Estimates'!C66</f>
        <v>62362.029525069192</v>
      </c>
      <c r="D95" s="92" t="s">
        <v>125</v>
      </c>
      <c r="E95" s="92" t="s">
        <v>223</v>
      </c>
      <c r="F95" s="92" t="s">
        <v>517</v>
      </c>
      <c r="G95" s="92" t="s">
        <v>518</v>
      </c>
      <c r="H95" s="140" t="s">
        <v>519</v>
      </c>
      <c r="I95" s="140"/>
      <c r="J95" s="140"/>
      <c r="K95" s="140"/>
      <c r="L95" s="140"/>
    </row>
    <row r="96" spans="1:12" x14ac:dyDescent="0.2">
      <c r="A96" s="92" t="s">
        <v>555</v>
      </c>
      <c r="B96" s="92" t="s">
        <v>520</v>
      </c>
      <c r="C96" s="92">
        <f>$C$95/CFD!D3/'Initial Estimates'!$C$5</f>
        <v>8.9308608515838106E-2</v>
      </c>
      <c r="D96" s="92" t="s">
        <v>125</v>
      </c>
      <c r="E96" s="92" t="s">
        <v>137</v>
      </c>
      <c r="F96" s="92" t="s">
        <v>21</v>
      </c>
      <c r="G96" s="92" t="s">
        <v>535</v>
      </c>
      <c r="H96" s="139" t="s">
        <v>536</v>
      </c>
      <c r="I96" s="139"/>
      <c r="J96" s="139"/>
      <c r="K96" s="139"/>
      <c r="L96" s="139"/>
    </row>
    <row r="97" spans="1:12" x14ac:dyDescent="0.2">
      <c r="A97" s="69">
        <v>42000</v>
      </c>
      <c r="B97" s="92" t="s">
        <v>520</v>
      </c>
      <c r="C97" s="92">
        <f>$C$95/CFD!D4/'Initial Estimates'!$C$5</f>
        <v>9.3693701362755177E-2</v>
      </c>
      <c r="D97" s="92" t="s">
        <v>125</v>
      </c>
      <c r="E97" s="92" t="s">
        <v>137</v>
      </c>
      <c r="F97" s="92" t="s">
        <v>21</v>
      </c>
      <c r="G97" s="92" t="s">
        <v>535</v>
      </c>
      <c r="H97" s="139" t="s">
        <v>536</v>
      </c>
      <c r="I97" s="139"/>
      <c r="J97" s="139"/>
      <c r="K97" s="139"/>
      <c r="L97" s="139"/>
    </row>
    <row r="98" spans="1:12" x14ac:dyDescent="0.2">
      <c r="A98" s="69">
        <v>43000</v>
      </c>
      <c r="B98" s="92" t="s">
        <v>520</v>
      </c>
      <c r="C98" s="92">
        <f>$C$95/CFD!D5/'Initial Estimates'!$C$5</f>
        <v>9.8279848726491384E-2</v>
      </c>
      <c r="D98" s="92" t="s">
        <v>125</v>
      </c>
      <c r="E98" s="92" t="s">
        <v>137</v>
      </c>
      <c r="F98" s="92" t="s">
        <v>21</v>
      </c>
      <c r="G98" s="92" t="s">
        <v>535</v>
      </c>
      <c r="H98" s="139" t="s">
        <v>536</v>
      </c>
      <c r="I98" s="139"/>
      <c r="J98" s="139"/>
      <c r="K98" s="139"/>
      <c r="L98" s="139"/>
    </row>
    <row r="99" spans="1:12" x14ac:dyDescent="0.2">
      <c r="A99" s="69">
        <v>44000</v>
      </c>
      <c r="B99" s="92" t="s">
        <v>520</v>
      </c>
      <c r="C99" s="92">
        <f>$C$95/CFD!D6/'Initial Estimates'!$C$5</f>
        <v>0.10310364827215128</v>
      </c>
      <c r="D99" s="92" t="s">
        <v>125</v>
      </c>
      <c r="E99" s="92" t="s">
        <v>137</v>
      </c>
      <c r="F99" s="92" t="s">
        <v>21</v>
      </c>
      <c r="G99" s="92" t="s">
        <v>535</v>
      </c>
      <c r="H99" s="139" t="s">
        <v>536</v>
      </c>
      <c r="I99" s="139"/>
      <c r="J99" s="139"/>
      <c r="K99" s="139"/>
      <c r="L99" s="139"/>
    </row>
    <row r="100" spans="1:12" x14ac:dyDescent="0.2">
      <c r="A100" s="69">
        <v>45000</v>
      </c>
      <c r="B100" s="92" t="s">
        <v>520</v>
      </c>
      <c r="C100" s="92">
        <f>$C$95/CFD!D7/'Initial Estimates'!$C$5</f>
        <v>0.10814397371223484</v>
      </c>
      <c r="D100" s="92" t="s">
        <v>125</v>
      </c>
      <c r="E100" s="92" t="s">
        <v>137</v>
      </c>
      <c r="F100" s="92" t="s">
        <v>21</v>
      </c>
      <c r="G100" s="92" t="s">
        <v>535</v>
      </c>
      <c r="H100" s="139" t="s">
        <v>536</v>
      </c>
      <c r="I100" s="139"/>
      <c r="J100" s="139"/>
      <c r="K100" s="139"/>
      <c r="L100" s="139"/>
    </row>
    <row r="101" spans="1:12" x14ac:dyDescent="0.2">
      <c r="A101" s="69">
        <v>46000</v>
      </c>
      <c r="B101" s="92" t="s">
        <v>520</v>
      </c>
      <c r="C101" s="92">
        <f>$C$95/CFD!D8/'Initial Estimates'!$C$5</f>
        <v>0.11344442715490395</v>
      </c>
      <c r="D101" s="92" t="s">
        <v>125</v>
      </c>
      <c r="E101" s="92" t="s">
        <v>137</v>
      </c>
      <c r="F101" s="92" t="s">
        <v>21</v>
      </c>
      <c r="G101" s="92" t="s">
        <v>535</v>
      </c>
      <c r="H101" s="139" t="s">
        <v>536</v>
      </c>
      <c r="I101" s="139"/>
      <c r="J101" s="139"/>
      <c r="K101" s="139"/>
      <c r="L101" s="139"/>
    </row>
    <row r="102" spans="1:12" x14ac:dyDescent="0.2">
      <c r="A102" s="69">
        <v>47000</v>
      </c>
      <c r="B102" s="92" t="s">
        <v>520</v>
      </c>
      <c r="C102" s="92">
        <f>$C$95/CFD!D9/'Initial Estimates'!$C$5</f>
        <v>0.11900728171189279</v>
      </c>
      <c r="D102" s="92" t="s">
        <v>125</v>
      </c>
      <c r="E102" s="92" t="s">
        <v>137</v>
      </c>
      <c r="F102" s="92" t="s">
        <v>21</v>
      </c>
      <c r="G102" s="92" t="s">
        <v>535</v>
      </c>
      <c r="H102" s="139" t="s">
        <v>536</v>
      </c>
      <c r="I102" s="139"/>
      <c r="J102" s="139"/>
      <c r="K102" s="139"/>
      <c r="L102" s="139"/>
    </row>
    <row r="103" spans="1:12" x14ac:dyDescent="0.2">
      <c r="A103" s="69">
        <v>48000</v>
      </c>
      <c r="B103" s="92" t="s">
        <v>520</v>
      </c>
      <c r="C103" s="92">
        <f>$C$95/CFD!D10/'Initial Estimates'!$C$5</f>
        <v>0.12483135841989056</v>
      </c>
      <c r="D103" s="92" t="s">
        <v>125</v>
      </c>
      <c r="E103" s="92" t="s">
        <v>137</v>
      </c>
      <c r="F103" s="92" t="s">
        <v>21</v>
      </c>
      <c r="G103" s="92" t="s">
        <v>535</v>
      </c>
      <c r="H103" s="139" t="s">
        <v>536</v>
      </c>
      <c r="I103" s="139"/>
      <c r="J103" s="139"/>
      <c r="K103" s="139"/>
      <c r="L103" s="139"/>
    </row>
    <row r="104" spans="1:12" x14ac:dyDescent="0.2">
      <c r="A104" s="69">
        <v>49000</v>
      </c>
      <c r="B104" s="92" t="s">
        <v>520</v>
      </c>
      <c r="C104" s="92">
        <f>$C$95/CFD!D11/'Initial Estimates'!$C$5</f>
        <v>0.13097971979870621</v>
      </c>
      <c r="D104" s="92" t="s">
        <v>125</v>
      </c>
      <c r="E104" s="92" t="s">
        <v>137</v>
      </c>
      <c r="F104" s="92" t="s">
        <v>21</v>
      </c>
      <c r="G104" s="92" t="s">
        <v>535</v>
      </c>
      <c r="H104" s="139" t="s">
        <v>536</v>
      </c>
      <c r="I104" s="139"/>
      <c r="J104" s="139"/>
      <c r="K104" s="139"/>
      <c r="L104" s="139"/>
    </row>
    <row r="105" spans="1:12" x14ac:dyDescent="0.2">
      <c r="A105" s="92" t="s">
        <v>556</v>
      </c>
      <c r="B105" s="92" t="s">
        <v>549</v>
      </c>
      <c r="C105" s="74">
        <f xml:space="preserve"> ABS((C96-CFD!$B$19)/(CFD!$B$20-CFD!$B$19)*(CFD!$E$20-CFD!$E$19) + CFD!$E$19)</f>
        <v>1.2743133364839366E-2</v>
      </c>
      <c r="D105" s="92" t="s">
        <v>125</v>
      </c>
      <c r="E105" s="92" t="s">
        <v>137</v>
      </c>
      <c r="F105" s="92" t="s">
        <v>21</v>
      </c>
      <c r="G105" s="92" t="s">
        <v>550</v>
      </c>
      <c r="H105" s="139" t="s">
        <v>526</v>
      </c>
      <c r="I105" s="139"/>
      <c r="J105" s="139"/>
      <c r="K105" s="139"/>
      <c r="L105" s="139"/>
    </row>
    <row r="106" spans="1:12" x14ac:dyDescent="0.2">
      <c r="A106" s="69">
        <v>42000</v>
      </c>
      <c r="B106" s="92" t="s">
        <v>549</v>
      </c>
      <c r="C106" s="74">
        <f xml:space="preserve"> ABS((C97-CFD!$B$19)/(CFD!$B$20-CFD!$B$19)*(CFD!$E$20-CFD!$E$19) + CFD!$E$19)</f>
        <v>1.310127839815331E-2</v>
      </c>
      <c r="D106" s="92" t="s">
        <v>125</v>
      </c>
      <c r="E106" s="92" t="s">
        <v>137</v>
      </c>
      <c r="F106" s="92" t="s">
        <v>21</v>
      </c>
      <c r="G106" s="92" t="s">
        <v>550</v>
      </c>
      <c r="H106" s="139" t="s">
        <v>526</v>
      </c>
      <c r="I106" s="139"/>
      <c r="J106" s="139"/>
      <c r="K106" s="139"/>
      <c r="L106" s="139"/>
    </row>
    <row r="107" spans="1:12" x14ac:dyDescent="0.2">
      <c r="A107" s="69">
        <v>43000</v>
      </c>
      <c r="B107" s="92" t="s">
        <v>549</v>
      </c>
      <c r="C107" s="74">
        <f xml:space="preserve"> ABS((C98-CFD!$B$19)/(CFD!$B$20-CFD!$B$19)*(CFD!$E$20-CFD!$E$19) + CFD!$E$19)</f>
        <v>1.3475844218697504E-2</v>
      </c>
      <c r="D107" s="92" t="s">
        <v>125</v>
      </c>
      <c r="E107" s="92" t="s">
        <v>137</v>
      </c>
      <c r="F107" s="92" t="s">
        <v>21</v>
      </c>
      <c r="G107" s="92" t="s">
        <v>550</v>
      </c>
      <c r="H107" s="139" t="s">
        <v>526</v>
      </c>
      <c r="I107" s="139"/>
      <c r="J107" s="139"/>
      <c r="K107" s="139"/>
      <c r="L107" s="139"/>
    </row>
    <row r="108" spans="1:12" x14ac:dyDescent="0.2">
      <c r="A108" s="69">
        <v>44000</v>
      </c>
      <c r="B108" s="92" t="s">
        <v>549</v>
      </c>
      <c r="C108" s="74">
        <f xml:space="preserve"> ABS((C99-CFD!$B$19)/(CFD!$B$20-CFD!$B$19)*(CFD!$E$20-CFD!$E$19) + CFD!$E$19)</f>
        <v>1.3869819878801199E-2</v>
      </c>
      <c r="D108" s="92" t="s">
        <v>125</v>
      </c>
      <c r="E108" s="92" t="s">
        <v>137</v>
      </c>
      <c r="F108" s="92" t="s">
        <v>21</v>
      </c>
      <c r="G108" s="92" t="s">
        <v>550</v>
      </c>
      <c r="H108" s="139" t="s">
        <v>526</v>
      </c>
      <c r="I108" s="139"/>
      <c r="J108" s="139"/>
      <c r="K108" s="139"/>
      <c r="L108" s="139"/>
    </row>
    <row r="109" spans="1:12" x14ac:dyDescent="0.2">
      <c r="A109" s="69">
        <v>45000</v>
      </c>
      <c r="B109" s="92" t="s">
        <v>549</v>
      </c>
      <c r="C109" s="74">
        <f xml:space="preserve"> ABS((C100-CFD!$B$19)/(CFD!$B$20-CFD!$B$19)*(CFD!$E$20-CFD!$E$19) + CFD!$E$19)</f>
        <v>1.4281479924704439E-2</v>
      </c>
      <c r="D109" s="92" t="s">
        <v>125</v>
      </c>
      <c r="E109" s="92" t="s">
        <v>137</v>
      </c>
      <c r="F109" s="92" t="s">
        <v>21</v>
      </c>
      <c r="G109" s="92" t="s">
        <v>550</v>
      </c>
      <c r="H109" s="139" t="s">
        <v>526</v>
      </c>
      <c r="I109" s="139"/>
      <c r="J109" s="139"/>
      <c r="K109" s="139"/>
      <c r="L109" s="139"/>
    </row>
    <row r="110" spans="1:12" x14ac:dyDescent="0.2">
      <c r="A110" s="69">
        <v>46000</v>
      </c>
      <c r="B110" s="92" t="s">
        <v>549</v>
      </c>
      <c r="C110" s="74">
        <f xml:space="preserve"> ABS((C101-CFD!$B$19)/(CFD!$B$20-CFD!$B$19)*(CFD!$E$20-CFD!$E$19) + CFD!$E$19)</f>
        <v>1.4714385484763072E-2</v>
      </c>
      <c r="D110" s="92" t="s">
        <v>125</v>
      </c>
      <c r="E110" s="92" t="s">
        <v>137</v>
      </c>
      <c r="F110" s="92" t="s">
        <v>21</v>
      </c>
      <c r="G110" s="92" t="s">
        <v>550</v>
      </c>
      <c r="H110" s="139" t="s">
        <v>526</v>
      </c>
      <c r="I110" s="139"/>
      <c r="J110" s="139"/>
      <c r="K110" s="139"/>
      <c r="L110" s="139"/>
    </row>
    <row r="111" spans="1:12" x14ac:dyDescent="0.2">
      <c r="A111" s="69">
        <v>47000</v>
      </c>
      <c r="B111" s="92" t="s">
        <v>549</v>
      </c>
      <c r="C111" s="74">
        <f xml:space="preserve"> ABS((C102-CFD!$B$19)/(CFD!$B$20-CFD!$B$19)*(CFD!$E$20-CFD!$E$19) + CFD!$E$19)</f>
        <v>1.5168722211529092E-2</v>
      </c>
      <c r="D111" s="92" t="s">
        <v>125</v>
      </c>
      <c r="E111" s="92" t="s">
        <v>137</v>
      </c>
      <c r="F111" s="92" t="s">
        <v>21</v>
      </c>
      <c r="G111" s="92" t="s">
        <v>550</v>
      </c>
      <c r="H111" s="139" t="s">
        <v>526</v>
      </c>
      <c r="I111" s="139"/>
      <c r="J111" s="139"/>
      <c r="K111" s="139"/>
      <c r="L111" s="139"/>
    </row>
    <row r="112" spans="1:12" x14ac:dyDescent="0.2">
      <c r="A112" s="69">
        <v>48000</v>
      </c>
      <c r="B112" s="92" t="s">
        <v>549</v>
      </c>
      <c r="C112" s="74">
        <f xml:space="preserve"> ABS((C103-CFD!$B$19)/(CFD!$B$20-CFD!$B$19)*(CFD!$E$20-CFD!$E$19) + CFD!$E$19)</f>
        <v>1.5644393815170344E-2</v>
      </c>
      <c r="D112" s="92" t="s">
        <v>125</v>
      </c>
      <c r="E112" s="92" t="s">
        <v>137</v>
      </c>
      <c r="F112" s="92" t="s">
        <v>21</v>
      </c>
      <c r="G112" s="92" t="s">
        <v>550</v>
      </c>
      <c r="H112" s="139" t="s">
        <v>526</v>
      </c>
      <c r="I112" s="139"/>
      <c r="J112" s="139"/>
      <c r="K112" s="139"/>
      <c r="L112" s="139"/>
    </row>
    <row r="113" spans="1:12" x14ac:dyDescent="0.2">
      <c r="A113" s="69">
        <v>49000</v>
      </c>
      <c r="B113" s="92" t="s">
        <v>549</v>
      </c>
      <c r="C113" s="74">
        <f xml:space="preserve"> ABS((C104-CFD!$B$19)/(CFD!$B$20-CFD!$B$19)*(CFD!$E$20-CFD!$E$19) + CFD!$E$19)</f>
        <v>1.6146550820213056E-2</v>
      </c>
      <c r="D113" s="92" t="s">
        <v>125</v>
      </c>
      <c r="E113" s="92" t="s">
        <v>137</v>
      </c>
      <c r="F113" s="92" t="s">
        <v>21</v>
      </c>
      <c r="G113" s="92" t="s">
        <v>550</v>
      </c>
      <c r="H113" s="139" t="s">
        <v>526</v>
      </c>
      <c r="I113" s="139"/>
      <c r="J113" s="139"/>
      <c r="K113" s="139"/>
      <c r="L113" s="139"/>
    </row>
    <row r="114" spans="1:12" x14ac:dyDescent="0.2">
      <c r="A114" s="92" t="s">
        <v>553</v>
      </c>
      <c r="B114" s="92" t="s">
        <v>552</v>
      </c>
      <c r="C114" s="74">
        <f>CFD!D3*'Initial Estimates'!$C$5*'Final Aircraft Checkouts'!C105</f>
        <v>8898.2201418923232</v>
      </c>
      <c r="D114" s="92" t="s">
        <v>125</v>
      </c>
      <c r="E114" s="92" t="s">
        <v>137</v>
      </c>
      <c r="F114" s="92" t="s">
        <v>21</v>
      </c>
      <c r="G114" s="92" t="s">
        <v>554</v>
      </c>
      <c r="H114" s="139" t="s">
        <v>536</v>
      </c>
      <c r="I114" s="139"/>
      <c r="J114" s="139"/>
      <c r="K114" s="139"/>
      <c r="L114" s="139"/>
    </row>
    <row r="115" spans="1:12" x14ac:dyDescent="0.2">
      <c r="A115" s="69">
        <v>42000</v>
      </c>
      <c r="B115" s="92" t="s">
        <v>552</v>
      </c>
      <c r="C115" s="74">
        <f>CFD!D4*'Initial Estimates'!$C$5*'Final Aircraft Checkouts'!C106</f>
        <v>8720.1412517423287</v>
      </c>
      <c r="D115" s="92" t="s">
        <v>125</v>
      </c>
      <c r="E115" s="92" t="s">
        <v>137</v>
      </c>
      <c r="F115" s="92" t="s">
        <v>21</v>
      </c>
      <c r="G115" s="92" t="s">
        <v>554</v>
      </c>
      <c r="H115" s="139" t="s">
        <v>536</v>
      </c>
      <c r="I115" s="139"/>
      <c r="J115" s="139"/>
      <c r="K115" s="139"/>
      <c r="L115" s="139"/>
    </row>
    <row r="116" spans="1:12" x14ac:dyDescent="0.2">
      <c r="A116" s="69">
        <v>43000</v>
      </c>
      <c r="B116" s="92" t="s">
        <v>552</v>
      </c>
      <c r="C116" s="74">
        <f>CFD!D5*'Initial Estimates'!$C$5*'Final Aircraft Checkouts'!C107</f>
        <v>8550.8983370577935</v>
      </c>
      <c r="D116" s="92" t="s">
        <v>125</v>
      </c>
      <c r="E116" s="92" t="s">
        <v>137</v>
      </c>
      <c r="F116" s="92" t="s">
        <v>21</v>
      </c>
      <c r="G116" s="92" t="s">
        <v>554</v>
      </c>
      <c r="H116" s="139" t="s">
        <v>536</v>
      </c>
      <c r="I116" s="139"/>
      <c r="J116" s="139"/>
      <c r="K116" s="139"/>
      <c r="L116" s="139"/>
    </row>
    <row r="117" spans="1:12" x14ac:dyDescent="0.2">
      <c r="A117" s="69">
        <v>44000</v>
      </c>
      <c r="B117" s="92" t="s">
        <v>552</v>
      </c>
      <c r="C117" s="74">
        <f>CFD!D6*'Initial Estimates'!$C$5*'Final Aircraft Checkouts'!C108</f>
        <v>8389.1320169978753</v>
      </c>
      <c r="D117" s="92" t="s">
        <v>125</v>
      </c>
      <c r="E117" s="92" t="s">
        <v>137</v>
      </c>
      <c r="F117" s="92" t="s">
        <v>21</v>
      </c>
      <c r="G117" s="92" t="s">
        <v>554</v>
      </c>
      <c r="H117" s="139" t="s">
        <v>536</v>
      </c>
      <c r="I117" s="139"/>
      <c r="J117" s="139"/>
      <c r="K117" s="139"/>
      <c r="L117" s="139"/>
    </row>
    <row r="118" spans="1:12" x14ac:dyDescent="0.2">
      <c r="A118" s="69">
        <v>45000</v>
      </c>
      <c r="B118" s="92" t="s">
        <v>552</v>
      </c>
      <c r="C118" s="74">
        <f>CFD!D7*'Initial Estimates'!$C$5*'Final Aircraft Checkouts'!C109</f>
        <v>8235.5219819829963</v>
      </c>
      <c r="D118" s="92" t="s">
        <v>125</v>
      </c>
      <c r="E118" s="92" t="s">
        <v>137</v>
      </c>
      <c r="F118" s="92" t="s">
        <v>21</v>
      </c>
      <c r="G118" s="92" t="s">
        <v>554</v>
      </c>
      <c r="H118" s="139" t="s">
        <v>536</v>
      </c>
      <c r="I118" s="139"/>
      <c r="J118" s="139"/>
      <c r="K118" s="139"/>
      <c r="L118" s="139"/>
    </row>
    <row r="119" spans="1:12" x14ac:dyDescent="0.2">
      <c r="A119" s="69">
        <v>46000</v>
      </c>
      <c r="B119" s="92" t="s">
        <v>552</v>
      </c>
      <c r="C119" s="74">
        <f>CFD!D8*'Initial Estimates'!$C$5*'Final Aircraft Checkouts'!C110</f>
        <v>8088.7088511723123</v>
      </c>
      <c r="D119" s="92" t="s">
        <v>125</v>
      </c>
      <c r="E119" s="92" t="s">
        <v>137</v>
      </c>
      <c r="F119" s="92" t="s">
        <v>21</v>
      </c>
      <c r="G119" s="92" t="s">
        <v>554</v>
      </c>
      <c r="H119" s="139" t="s">
        <v>536</v>
      </c>
      <c r="I119" s="139"/>
      <c r="J119" s="139"/>
      <c r="K119" s="139"/>
      <c r="L119" s="139"/>
    </row>
    <row r="120" spans="1:12" x14ac:dyDescent="0.2">
      <c r="A120" s="69">
        <v>47000</v>
      </c>
      <c r="B120" s="92" t="s">
        <v>552</v>
      </c>
      <c r="C120" s="74">
        <f>CFD!D9*'Initial Estimates'!$C$5*'Final Aircraft Checkouts'!C111</f>
        <v>7948.6926245658287</v>
      </c>
      <c r="D120" s="92" t="s">
        <v>125</v>
      </c>
      <c r="E120" s="92" t="s">
        <v>137</v>
      </c>
      <c r="F120" s="92" t="s">
        <v>21</v>
      </c>
      <c r="G120" s="92" t="s">
        <v>554</v>
      </c>
      <c r="H120" s="139" t="s">
        <v>536</v>
      </c>
      <c r="I120" s="139"/>
      <c r="J120" s="139"/>
      <c r="K120" s="139"/>
      <c r="L120" s="139"/>
    </row>
    <row r="121" spans="1:12" x14ac:dyDescent="0.2">
      <c r="A121" s="69">
        <v>48000</v>
      </c>
      <c r="B121" s="92" t="s">
        <v>552</v>
      </c>
      <c r="C121" s="74">
        <f>CFD!D10*'Initial Estimates'!$C$5*'Final Aircraft Checkouts'!C112</f>
        <v>7815.4733021635438</v>
      </c>
      <c r="D121" s="92" t="s">
        <v>125</v>
      </c>
      <c r="E121" s="92" t="s">
        <v>137</v>
      </c>
      <c r="F121" s="92" t="s">
        <v>21</v>
      </c>
      <c r="G121" s="92" t="s">
        <v>554</v>
      </c>
      <c r="H121" s="139" t="s">
        <v>536</v>
      </c>
      <c r="I121" s="139"/>
      <c r="J121" s="139"/>
      <c r="K121" s="139"/>
      <c r="L121" s="139"/>
    </row>
    <row r="122" spans="1:12" x14ac:dyDescent="0.2">
      <c r="A122" s="69">
        <v>49000</v>
      </c>
      <c r="B122" s="92" t="s">
        <v>552</v>
      </c>
      <c r="C122" s="74">
        <f>CFD!D11*'Initial Estimates'!$C$5*'Final Aircraft Checkouts'!C113</f>
        <v>7687.6915031246162</v>
      </c>
      <c r="D122" s="92" t="s">
        <v>125</v>
      </c>
      <c r="E122" s="92" t="s">
        <v>137</v>
      </c>
      <c r="F122" s="92" t="s">
        <v>21</v>
      </c>
      <c r="G122" s="92" t="s">
        <v>554</v>
      </c>
      <c r="H122" s="139" t="s">
        <v>536</v>
      </c>
      <c r="I122" s="139"/>
      <c r="J122" s="139"/>
      <c r="K122" s="139"/>
      <c r="L122" s="139"/>
    </row>
    <row r="123" spans="1:12" ht="21" x14ac:dyDescent="0.2">
      <c r="A123" s="118" t="s">
        <v>572</v>
      </c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20"/>
    </row>
    <row r="124" spans="1:12" ht="16" x14ac:dyDescent="0.2">
      <c r="A124" s="23" t="s">
        <v>5</v>
      </c>
      <c r="B124" s="23" t="s">
        <v>96</v>
      </c>
      <c r="C124" s="94" t="s">
        <v>7</v>
      </c>
      <c r="D124" s="94" t="s">
        <v>125</v>
      </c>
      <c r="E124" s="94" t="s">
        <v>8</v>
      </c>
      <c r="F124" s="94" t="s">
        <v>9</v>
      </c>
      <c r="G124" s="31" t="s">
        <v>10</v>
      </c>
      <c r="H124" s="122" t="s">
        <v>11</v>
      </c>
      <c r="I124" s="123"/>
      <c r="J124" s="123"/>
      <c r="K124" s="123"/>
      <c r="L124" s="124"/>
    </row>
    <row r="125" spans="1:12" x14ac:dyDescent="0.2">
      <c r="A125" s="92" t="s">
        <v>516</v>
      </c>
      <c r="B125" s="92" t="s">
        <v>474</v>
      </c>
      <c r="C125" s="92">
        <f>C95</f>
        <v>62362.029525069192</v>
      </c>
      <c r="D125" s="92" t="s">
        <v>125</v>
      </c>
      <c r="E125" s="92" t="s">
        <v>223</v>
      </c>
      <c r="F125" s="92" t="s">
        <v>517</v>
      </c>
      <c r="G125" s="92" t="s">
        <v>518</v>
      </c>
      <c r="H125" s="140" t="s">
        <v>519</v>
      </c>
      <c r="I125" s="140"/>
      <c r="J125" s="140"/>
      <c r="K125" s="140"/>
      <c r="L125" s="140"/>
    </row>
    <row r="126" spans="1:12" x14ac:dyDescent="0.2">
      <c r="A126" s="92" t="s">
        <v>555</v>
      </c>
      <c r="B126" s="92" t="s">
        <v>520</v>
      </c>
      <c r="C126" s="92">
        <f>$C$125/CFD!E3/'Initial Estimates'!$C$5</f>
        <v>7.9110739723372167E-2</v>
      </c>
      <c r="D126" s="92" t="s">
        <v>125</v>
      </c>
      <c r="E126" s="92" t="s">
        <v>137</v>
      </c>
      <c r="F126" s="92" t="s">
        <v>21</v>
      </c>
      <c r="G126" s="92" t="s">
        <v>535</v>
      </c>
      <c r="H126" s="139" t="s">
        <v>536</v>
      </c>
      <c r="I126" s="139"/>
      <c r="J126" s="139"/>
      <c r="K126" s="139"/>
      <c r="L126" s="139"/>
    </row>
    <row r="127" spans="1:12" x14ac:dyDescent="0.2">
      <c r="A127" s="69">
        <v>42000</v>
      </c>
      <c r="B127" s="92" t="s">
        <v>520</v>
      </c>
      <c r="C127" s="92">
        <f>$C$125/CFD!E4/'Initial Estimates'!$C$5</f>
        <v>8.2995112625831605E-2</v>
      </c>
      <c r="D127" s="92" t="s">
        <v>125</v>
      </c>
      <c r="E127" s="92" t="s">
        <v>137</v>
      </c>
      <c r="F127" s="92" t="s">
        <v>21</v>
      </c>
      <c r="G127" s="92" t="s">
        <v>535</v>
      </c>
      <c r="H127" s="139" t="s">
        <v>536</v>
      </c>
      <c r="I127" s="139"/>
      <c r="J127" s="139"/>
      <c r="K127" s="139"/>
      <c r="L127" s="139"/>
    </row>
    <row r="128" spans="1:12" x14ac:dyDescent="0.2">
      <c r="A128" s="69">
        <v>43000</v>
      </c>
      <c r="B128" s="92" t="s">
        <v>520</v>
      </c>
      <c r="C128" s="92">
        <f>$C$125/CFD!E5/'Initial Estimates'!$C$5</f>
        <v>8.7057582262912797E-2</v>
      </c>
      <c r="D128" s="92" t="s">
        <v>125</v>
      </c>
      <c r="E128" s="92" t="s">
        <v>137</v>
      </c>
      <c r="F128" s="92" t="s">
        <v>21</v>
      </c>
      <c r="G128" s="92" t="s">
        <v>535</v>
      </c>
      <c r="H128" s="139" t="s">
        <v>536</v>
      </c>
      <c r="I128" s="139"/>
      <c r="J128" s="139"/>
      <c r="K128" s="139"/>
      <c r="L128" s="139"/>
    </row>
    <row r="129" spans="1:12" x14ac:dyDescent="0.2">
      <c r="A129" s="69">
        <v>44000</v>
      </c>
      <c r="B129" s="92" t="s">
        <v>520</v>
      </c>
      <c r="C129" s="92">
        <f>$C$125/CFD!E6/'Initial Estimates'!$C$5</f>
        <v>9.1330567327580409E-2</v>
      </c>
      <c r="D129" s="92" t="s">
        <v>125</v>
      </c>
      <c r="E129" s="92" t="s">
        <v>137</v>
      </c>
      <c r="F129" s="92" t="s">
        <v>21</v>
      </c>
      <c r="G129" s="92" t="s">
        <v>535</v>
      </c>
      <c r="H129" s="139" t="s">
        <v>536</v>
      </c>
      <c r="I129" s="139"/>
      <c r="J129" s="139"/>
      <c r="K129" s="139"/>
      <c r="L129" s="139"/>
    </row>
    <row r="130" spans="1:12" x14ac:dyDescent="0.2">
      <c r="A130" s="69">
        <v>45000</v>
      </c>
      <c r="B130" s="92" t="s">
        <v>520</v>
      </c>
      <c r="C130" s="92">
        <f>$C$125/CFD!E7/'Initial Estimates'!$C$5</f>
        <v>9.5795353876581738E-2</v>
      </c>
      <c r="D130" s="92" t="s">
        <v>125</v>
      </c>
      <c r="E130" s="92" t="s">
        <v>137</v>
      </c>
      <c r="F130" s="92" t="s">
        <v>21</v>
      </c>
      <c r="G130" s="92" t="s">
        <v>535</v>
      </c>
      <c r="H130" s="139" t="s">
        <v>536</v>
      </c>
      <c r="I130" s="139"/>
      <c r="J130" s="139"/>
      <c r="K130" s="139"/>
      <c r="L130" s="139"/>
    </row>
    <row r="131" spans="1:12" x14ac:dyDescent="0.2">
      <c r="A131" s="69">
        <v>46000</v>
      </c>
      <c r="B131" s="92" t="s">
        <v>520</v>
      </c>
      <c r="C131" s="92">
        <f>$C$125/CFD!E8/'Initial Estimates'!$C$5</f>
        <v>0.10049056523064157</v>
      </c>
      <c r="D131" s="92" t="s">
        <v>125</v>
      </c>
      <c r="E131" s="92" t="s">
        <v>137</v>
      </c>
      <c r="F131" s="92" t="s">
        <v>21</v>
      </c>
      <c r="G131" s="92" t="s">
        <v>535</v>
      </c>
      <c r="H131" s="139" t="s">
        <v>536</v>
      </c>
      <c r="I131" s="139"/>
      <c r="J131" s="139"/>
      <c r="K131" s="139"/>
      <c r="L131" s="139"/>
    </row>
    <row r="132" spans="1:12" x14ac:dyDescent="0.2">
      <c r="A132" s="69">
        <v>47000</v>
      </c>
      <c r="B132" s="92" t="s">
        <v>520</v>
      </c>
      <c r="C132" s="92">
        <f>$C$125/CFD!E9/'Initial Estimates'!$C$5</f>
        <v>0.10541821494202271</v>
      </c>
      <c r="D132" s="92" t="s">
        <v>125</v>
      </c>
      <c r="E132" s="92" t="s">
        <v>137</v>
      </c>
      <c r="F132" s="92" t="s">
        <v>21</v>
      </c>
      <c r="G132" s="92" t="s">
        <v>535</v>
      </c>
      <c r="H132" s="139" t="s">
        <v>536</v>
      </c>
      <c r="I132" s="139"/>
      <c r="J132" s="139"/>
      <c r="K132" s="139"/>
      <c r="L132" s="139"/>
    </row>
    <row r="133" spans="1:12" x14ac:dyDescent="0.2">
      <c r="A133" s="69">
        <v>48000</v>
      </c>
      <c r="B133" s="92" t="s">
        <v>520</v>
      </c>
      <c r="C133" s="92">
        <f>$C$125/CFD!E10/'Initial Estimates'!$C$5</f>
        <v>0.11057725866952246</v>
      </c>
      <c r="D133" s="92" t="s">
        <v>125</v>
      </c>
      <c r="E133" s="92" t="s">
        <v>137</v>
      </c>
      <c r="F133" s="92" t="s">
        <v>21</v>
      </c>
      <c r="G133" s="92" t="s">
        <v>535</v>
      </c>
      <c r="H133" s="139" t="s">
        <v>536</v>
      </c>
      <c r="I133" s="139"/>
      <c r="J133" s="139"/>
      <c r="K133" s="139"/>
      <c r="L133" s="139"/>
    </row>
    <row r="134" spans="1:12" x14ac:dyDescent="0.2">
      <c r="A134" s="69">
        <v>49000</v>
      </c>
      <c r="B134" s="92" t="s">
        <v>520</v>
      </c>
      <c r="C134" s="92">
        <f>$C$125/CFD!E11/'Initial Estimates'!$C$5</f>
        <v>0.11602355802238339</v>
      </c>
      <c r="D134" s="92" t="s">
        <v>125</v>
      </c>
      <c r="E134" s="92" t="s">
        <v>137</v>
      </c>
      <c r="F134" s="92" t="s">
        <v>21</v>
      </c>
      <c r="G134" s="92" t="s">
        <v>535</v>
      </c>
      <c r="H134" s="139" t="s">
        <v>536</v>
      </c>
      <c r="I134" s="139"/>
      <c r="J134" s="139"/>
      <c r="K134" s="139"/>
      <c r="L134" s="139"/>
    </row>
    <row r="135" spans="1:12" x14ac:dyDescent="0.2">
      <c r="A135" s="92" t="s">
        <v>556</v>
      </c>
      <c r="B135" s="92" t="s">
        <v>549</v>
      </c>
      <c r="C135" s="74">
        <f xml:space="preserve"> ABS((C126-CFD!$B$25)/(CFD!$B$26-CFD!$B$25)*(CFD!$E$26-CFD!$E$25) + CFD!$E$25)</f>
        <v>1.2799671703084893E-2</v>
      </c>
      <c r="D135" s="92" t="s">
        <v>125</v>
      </c>
      <c r="E135" s="92" t="s">
        <v>137</v>
      </c>
      <c r="F135" s="92" t="s">
        <v>21</v>
      </c>
      <c r="G135" s="92" t="s">
        <v>550</v>
      </c>
      <c r="H135" s="139" t="s">
        <v>526</v>
      </c>
      <c r="I135" s="139"/>
      <c r="J135" s="139"/>
      <c r="K135" s="139"/>
      <c r="L135" s="139"/>
    </row>
    <row r="136" spans="1:12" x14ac:dyDescent="0.2">
      <c r="A136" s="69">
        <v>42000</v>
      </c>
      <c r="B136" s="92" t="s">
        <v>549</v>
      </c>
      <c r="C136" s="74">
        <f xml:space="preserve"> ABS((C127-CFD!$B$25)/(CFD!$B$26-CFD!$B$25)*(CFD!$E$26-CFD!$E$25) + CFD!$E$25)</f>
        <v>1.2991389678957355E-2</v>
      </c>
      <c r="D136" s="92" t="s">
        <v>125</v>
      </c>
      <c r="E136" s="92" t="s">
        <v>137</v>
      </c>
      <c r="F136" s="92" t="s">
        <v>21</v>
      </c>
      <c r="G136" s="92" t="s">
        <v>550</v>
      </c>
      <c r="H136" s="139" t="s">
        <v>526</v>
      </c>
      <c r="I136" s="139"/>
      <c r="J136" s="139"/>
      <c r="K136" s="139"/>
      <c r="L136" s="139"/>
    </row>
    <row r="137" spans="1:12" x14ac:dyDescent="0.2">
      <c r="A137" s="69">
        <v>43000</v>
      </c>
      <c r="B137" s="92" t="s">
        <v>549</v>
      </c>
      <c r="C137" s="74">
        <f xml:space="preserve"> ABS((C128-CFD!$B$25)/(CFD!$B$26-CFD!$B$25)*(CFD!$E$26-CFD!$E$25) + CFD!$E$25)</f>
        <v>1.3191897837010717E-2</v>
      </c>
      <c r="D137" s="92" t="s">
        <v>125</v>
      </c>
      <c r="E137" s="92" t="s">
        <v>137</v>
      </c>
      <c r="F137" s="92" t="s">
        <v>21</v>
      </c>
      <c r="G137" s="92" t="s">
        <v>550</v>
      </c>
      <c r="H137" s="139" t="s">
        <v>526</v>
      </c>
      <c r="I137" s="139"/>
      <c r="J137" s="139"/>
      <c r="K137" s="139"/>
      <c r="L137" s="139"/>
    </row>
    <row r="138" spans="1:12" x14ac:dyDescent="0.2">
      <c r="A138" s="69">
        <v>44000</v>
      </c>
      <c r="B138" s="92" t="s">
        <v>549</v>
      </c>
      <c r="C138" s="74">
        <f xml:space="preserve"> ABS((C129-CFD!$B$25)/(CFD!$B$26-CFD!$B$25)*(CFD!$E$26-CFD!$E$25) + CFD!$E$25)</f>
        <v>1.340279624149002E-2</v>
      </c>
      <c r="D138" s="92" t="s">
        <v>125</v>
      </c>
      <c r="E138" s="92" t="s">
        <v>137</v>
      </c>
      <c r="F138" s="92" t="s">
        <v>21</v>
      </c>
      <c r="G138" s="92" t="s">
        <v>550</v>
      </c>
      <c r="H138" s="139" t="s">
        <v>526</v>
      </c>
      <c r="I138" s="139"/>
      <c r="J138" s="139"/>
      <c r="K138" s="139"/>
      <c r="L138" s="139"/>
    </row>
    <row r="139" spans="1:12" x14ac:dyDescent="0.2">
      <c r="A139" s="69">
        <v>45000</v>
      </c>
      <c r="B139" s="92" t="s">
        <v>549</v>
      </c>
      <c r="C139" s="74">
        <f xml:space="preserve"> ABS((C130-CFD!$B$25)/(CFD!$B$26-CFD!$B$25)*(CFD!$E$26-CFD!$E$25) + CFD!$E$25)</f>
        <v>1.362316124283558E-2</v>
      </c>
      <c r="D139" s="92" t="s">
        <v>125</v>
      </c>
      <c r="E139" s="92" t="s">
        <v>137</v>
      </c>
      <c r="F139" s="92" t="s">
        <v>21</v>
      </c>
      <c r="G139" s="92" t="s">
        <v>550</v>
      </c>
      <c r="H139" s="139" t="s">
        <v>526</v>
      </c>
      <c r="I139" s="139"/>
      <c r="J139" s="139"/>
      <c r="K139" s="139"/>
      <c r="L139" s="139"/>
    </row>
    <row r="140" spans="1:12" x14ac:dyDescent="0.2">
      <c r="A140" s="69">
        <v>46000</v>
      </c>
      <c r="B140" s="92" t="s">
        <v>549</v>
      </c>
      <c r="C140" s="74">
        <f xml:space="preserve"> ABS((C131-CFD!$B$25)/(CFD!$B$26-CFD!$B$25)*(CFD!$E$26-CFD!$E$25) + CFD!$E$25)</f>
        <v>1.3854899142284884E-2</v>
      </c>
      <c r="D140" s="92" t="s">
        <v>125</v>
      </c>
      <c r="E140" s="92" t="s">
        <v>137</v>
      </c>
      <c r="F140" s="92" t="s">
        <v>21</v>
      </c>
      <c r="G140" s="92" t="s">
        <v>550</v>
      </c>
      <c r="H140" s="139" t="s">
        <v>526</v>
      </c>
      <c r="I140" s="139"/>
      <c r="J140" s="139"/>
      <c r="K140" s="139"/>
      <c r="L140" s="139"/>
    </row>
    <row r="141" spans="1:12" x14ac:dyDescent="0.2">
      <c r="A141" s="69">
        <v>47000</v>
      </c>
      <c r="B141" s="92" t="s">
        <v>549</v>
      </c>
      <c r="C141" s="74">
        <f xml:space="preserve"> ABS((C132-CFD!$B$25)/(CFD!$B$26-CFD!$B$25)*(CFD!$E$26-CFD!$E$25) + CFD!$E$25)</f>
        <v>1.4098109321172794E-2</v>
      </c>
      <c r="D141" s="92" t="s">
        <v>125</v>
      </c>
      <c r="E141" s="92" t="s">
        <v>137</v>
      </c>
      <c r="F141" s="92" t="s">
        <v>21</v>
      </c>
      <c r="G141" s="92" t="s">
        <v>550</v>
      </c>
      <c r="H141" s="139" t="s">
        <v>526</v>
      </c>
      <c r="I141" s="139"/>
      <c r="J141" s="139"/>
      <c r="K141" s="139"/>
      <c r="L141" s="139"/>
    </row>
    <row r="142" spans="1:12" x14ac:dyDescent="0.2">
      <c r="A142" s="69">
        <v>48000</v>
      </c>
      <c r="B142" s="92" t="s">
        <v>549</v>
      </c>
      <c r="C142" s="74">
        <f xml:space="preserve"> ABS((C133-CFD!$B$25)/(CFD!$B$26-CFD!$B$25)*(CFD!$E$26-CFD!$E$25) + CFD!$E$25)</f>
        <v>1.4352740234761838E-2</v>
      </c>
      <c r="D142" s="92" t="s">
        <v>125</v>
      </c>
      <c r="E142" s="92" t="s">
        <v>137</v>
      </c>
      <c r="F142" s="92" t="s">
        <v>21</v>
      </c>
      <c r="G142" s="92" t="s">
        <v>550</v>
      </c>
      <c r="H142" s="139" t="s">
        <v>526</v>
      </c>
      <c r="I142" s="139"/>
      <c r="J142" s="139"/>
      <c r="K142" s="139"/>
      <c r="L142" s="139"/>
    </row>
    <row r="143" spans="1:12" x14ac:dyDescent="0.2">
      <c r="A143" s="69">
        <v>49000</v>
      </c>
      <c r="B143" s="92" t="s">
        <v>549</v>
      </c>
      <c r="C143" s="74">
        <f xml:space="preserve"> ABS((C134-CFD!$B$25)/(CFD!$B$26-CFD!$B$25)*(CFD!$E$26-CFD!$E$25) + CFD!$E$25)</f>
        <v>1.462154900110476E-2</v>
      </c>
      <c r="D143" s="92" t="s">
        <v>125</v>
      </c>
      <c r="E143" s="92" t="s">
        <v>137</v>
      </c>
      <c r="F143" s="92" t="s">
        <v>21</v>
      </c>
      <c r="G143" s="92" t="s">
        <v>550</v>
      </c>
      <c r="H143" s="139" t="s">
        <v>526</v>
      </c>
      <c r="I143" s="139"/>
      <c r="J143" s="139"/>
      <c r="K143" s="139"/>
      <c r="L143" s="139"/>
    </row>
    <row r="144" spans="1:12" x14ac:dyDescent="0.2">
      <c r="A144" s="92" t="s">
        <v>553</v>
      </c>
      <c r="B144" s="92" t="s">
        <v>552</v>
      </c>
      <c r="C144" s="74">
        <f>CFD!E3*'Initial Estimates'!$C$5*'Final Aircraft Checkouts'!C135</f>
        <v>10089.824813294617</v>
      </c>
      <c r="D144" s="92" t="s">
        <v>125</v>
      </c>
      <c r="E144" s="92" t="s">
        <v>137</v>
      </c>
      <c r="F144" s="92" t="s">
        <v>21</v>
      </c>
      <c r="G144" s="92" t="s">
        <v>554</v>
      </c>
      <c r="H144" s="139" t="s">
        <v>536</v>
      </c>
      <c r="I144" s="139"/>
      <c r="J144" s="139"/>
      <c r="K144" s="139"/>
      <c r="L144" s="139"/>
    </row>
    <row r="145" spans="1:12" x14ac:dyDescent="0.2">
      <c r="A145" s="69">
        <v>42000</v>
      </c>
      <c r="B145" s="92" t="s">
        <v>552</v>
      </c>
      <c r="C145" s="74">
        <f>CFD!E4*'Initial Estimates'!$C$5*'Final Aircraft Checkouts'!C136</f>
        <v>9761.6522358770635</v>
      </c>
      <c r="D145" s="92" t="s">
        <v>125</v>
      </c>
      <c r="E145" s="92" t="s">
        <v>137</v>
      </c>
      <c r="F145" s="92" t="s">
        <v>21</v>
      </c>
      <c r="G145" s="92" t="s">
        <v>554</v>
      </c>
      <c r="H145" s="139" t="s">
        <v>536</v>
      </c>
      <c r="I145" s="139"/>
      <c r="J145" s="139"/>
      <c r="K145" s="139"/>
      <c r="L145" s="139"/>
    </row>
    <row r="146" spans="1:12" x14ac:dyDescent="0.2">
      <c r="A146" s="69">
        <v>43000</v>
      </c>
      <c r="B146" s="92" t="s">
        <v>552</v>
      </c>
      <c r="C146" s="74">
        <f>CFD!E5*'Initial Estimates'!$C$5*'Final Aircraft Checkouts'!C137</f>
        <v>9449.7630306214469</v>
      </c>
      <c r="D146" s="92" t="s">
        <v>125</v>
      </c>
      <c r="E146" s="92" t="s">
        <v>137</v>
      </c>
      <c r="F146" s="92" t="s">
        <v>21</v>
      </c>
      <c r="G146" s="92" t="s">
        <v>554</v>
      </c>
      <c r="H146" s="139" t="s">
        <v>536</v>
      </c>
      <c r="I146" s="139"/>
      <c r="J146" s="139"/>
      <c r="K146" s="139"/>
      <c r="L146" s="139"/>
    </row>
    <row r="147" spans="1:12" x14ac:dyDescent="0.2">
      <c r="A147" s="69">
        <v>44000</v>
      </c>
      <c r="B147" s="92" t="s">
        <v>552</v>
      </c>
      <c r="C147" s="74">
        <f>CFD!E6*'Initial Estimates'!$C$5*'Final Aircraft Checkouts'!C138</f>
        <v>9151.6520633490109</v>
      </c>
      <c r="D147" s="92" t="s">
        <v>125</v>
      </c>
      <c r="E147" s="92" t="s">
        <v>137</v>
      </c>
      <c r="F147" s="92" t="s">
        <v>21</v>
      </c>
      <c r="G147" s="92" t="s">
        <v>554</v>
      </c>
      <c r="H147" s="139" t="s">
        <v>536</v>
      </c>
      <c r="I147" s="139"/>
      <c r="J147" s="139"/>
      <c r="K147" s="139"/>
      <c r="L147" s="139"/>
    </row>
    <row r="148" spans="1:12" x14ac:dyDescent="0.2">
      <c r="A148" s="69">
        <v>45000</v>
      </c>
      <c r="B148" s="92" t="s">
        <v>552</v>
      </c>
      <c r="C148" s="74">
        <f>CFD!E7*'Initial Estimates'!$C$5*'Final Aircraft Checkouts'!C139</f>
        <v>8868.5719011491346</v>
      </c>
      <c r="D148" s="92" t="s">
        <v>125</v>
      </c>
      <c r="E148" s="92" t="s">
        <v>137</v>
      </c>
      <c r="F148" s="92" t="s">
        <v>21</v>
      </c>
      <c r="G148" s="92" t="s">
        <v>554</v>
      </c>
      <c r="H148" s="139" t="s">
        <v>536</v>
      </c>
      <c r="I148" s="139"/>
      <c r="J148" s="139"/>
      <c r="K148" s="139"/>
      <c r="L148" s="139"/>
    </row>
    <row r="149" spans="1:12" x14ac:dyDescent="0.2">
      <c r="A149" s="69">
        <v>46000</v>
      </c>
      <c r="B149" s="92" t="s">
        <v>552</v>
      </c>
      <c r="C149" s="74">
        <f>CFD!E8*'Initial Estimates'!$C$5*'Final Aircraft Checkouts'!C140</f>
        <v>8598.017409843058</v>
      </c>
      <c r="D149" s="92" t="s">
        <v>125</v>
      </c>
      <c r="E149" s="92" t="s">
        <v>137</v>
      </c>
      <c r="F149" s="92" t="s">
        <v>21</v>
      </c>
      <c r="G149" s="92" t="s">
        <v>554</v>
      </c>
      <c r="H149" s="139" t="s">
        <v>536</v>
      </c>
      <c r="I149" s="139"/>
      <c r="J149" s="139"/>
      <c r="K149" s="139"/>
      <c r="L149" s="139"/>
    </row>
    <row r="150" spans="1:12" x14ac:dyDescent="0.2">
      <c r="A150" s="69">
        <v>47000</v>
      </c>
      <c r="B150" s="92" t="s">
        <v>552</v>
      </c>
      <c r="C150" s="74">
        <f>CFD!E9*'Initial Estimates'!$C$5*'Final Aircraft Checkouts'!C141</f>
        <v>8339.9885894307827</v>
      </c>
      <c r="D150" s="92" t="s">
        <v>125</v>
      </c>
      <c r="E150" s="92" t="s">
        <v>137</v>
      </c>
      <c r="F150" s="92" t="s">
        <v>21</v>
      </c>
      <c r="G150" s="92" t="s">
        <v>554</v>
      </c>
      <c r="H150" s="139" t="s">
        <v>536</v>
      </c>
      <c r="I150" s="139"/>
      <c r="J150" s="139"/>
      <c r="K150" s="139"/>
      <c r="L150" s="139"/>
    </row>
    <row r="151" spans="1:12" x14ac:dyDescent="0.2">
      <c r="A151" s="69">
        <v>48000</v>
      </c>
      <c r="B151" s="92" t="s">
        <v>552</v>
      </c>
      <c r="C151" s="74">
        <f>CFD!E10*'Initial Estimates'!$C$5*'Final Aircraft Checkouts'!C142</f>
        <v>8094.4854399123042</v>
      </c>
      <c r="D151" s="92" t="s">
        <v>125</v>
      </c>
      <c r="E151" s="92" t="s">
        <v>137</v>
      </c>
      <c r="F151" s="92" t="s">
        <v>21</v>
      </c>
      <c r="G151" s="92" t="s">
        <v>554</v>
      </c>
      <c r="H151" s="139" t="s">
        <v>536</v>
      </c>
      <c r="I151" s="139"/>
      <c r="J151" s="139"/>
      <c r="K151" s="139"/>
      <c r="L151" s="139"/>
    </row>
    <row r="152" spans="1:12" x14ac:dyDescent="0.2">
      <c r="A152" s="69">
        <v>49000</v>
      </c>
      <c r="B152" s="92" t="s">
        <v>552</v>
      </c>
      <c r="C152" s="74">
        <f>CFD!E11*'Initial Estimates'!$C$5*'Final Aircraft Checkouts'!C143</f>
        <v>7859.0028271088695</v>
      </c>
      <c r="D152" s="92" t="s">
        <v>125</v>
      </c>
      <c r="E152" s="92" t="s">
        <v>137</v>
      </c>
      <c r="F152" s="92" t="s">
        <v>21</v>
      </c>
      <c r="G152" s="92" t="s">
        <v>554</v>
      </c>
      <c r="H152" s="139" t="s">
        <v>536</v>
      </c>
      <c r="I152" s="139"/>
      <c r="J152" s="139"/>
      <c r="K152" s="139"/>
      <c r="L152" s="139"/>
    </row>
    <row r="153" spans="1:12" ht="21" x14ac:dyDescent="0.2">
      <c r="A153" s="118" t="s">
        <v>573</v>
      </c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20"/>
    </row>
    <row r="154" spans="1:12" ht="16" x14ac:dyDescent="0.2">
      <c r="A154" s="23" t="s">
        <v>5</v>
      </c>
      <c r="B154" s="23" t="s">
        <v>96</v>
      </c>
      <c r="C154" s="94" t="s">
        <v>7</v>
      </c>
      <c r="D154" s="94" t="s">
        <v>125</v>
      </c>
      <c r="E154" s="94" t="s">
        <v>8</v>
      </c>
      <c r="F154" s="94" t="s">
        <v>9</v>
      </c>
      <c r="G154" s="31" t="s">
        <v>10</v>
      </c>
      <c r="H154" s="122" t="s">
        <v>11</v>
      </c>
      <c r="I154" s="123"/>
      <c r="J154" s="123"/>
      <c r="K154" s="123"/>
      <c r="L154" s="124"/>
    </row>
    <row r="155" spans="1:12" x14ac:dyDescent="0.2">
      <c r="A155" s="92" t="s">
        <v>516</v>
      </c>
      <c r="B155" s="92" t="s">
        <v>474</v>
      </c>
      <c r="C155" s="92">
        <f>C95</f>
        <v>62362.029525069192</v>
      </c>
      <c r="D155" s="92" t="s">
        <v>125</v>
      </c>
      <c r="E155" s="92" t="s">
        <v>223</v>
      </c>
      <c r="F155" s="92" t="s">
        <v>517</v>
      </c>
      <c r="G155" s="92" t="s">
        <v>518</v>
      </c>
      <c r="H155" s="140" t="s">
        <v>519</v>
      </c>
      <c r="I155" s="140"/>
      <c r="J155" s="140"/>
      <c r="K155" s="140"/>
      <c r="L155" s="140"/>
    </row>
    <row r="156" spans="1:12" x14ac:dyDescent="0.2">
      <c r="A156" s="92" t="s">
        <v>555</v>
      </c>
      <c r="B156" s="92" t="s">
        <v>520</v>
      </c>
      <c r="C156" s="74">
        <f>$C$155/CFD!F3/'Initial Estimates'!$C$5</f>
        <v>7.0564826481649856E-2</v>
      </c>
      <c r="D156" s="92" t="s">
        <v>125</v>
      </c>
      <c r="E156" s="92" t="s">
        <v>137</v>
      </c>
      <c r="F156" s="92" t="s">
        <v>21</v>
      </c>
      <c r="G156" s="92" t="s">
        <v>535</v>
      </c>
      <c r="H156" s="139" t="s">
        <v>536</v>
      </c>
      <c r="I156" s="139"/>
      <c r="J156" s="139"/>
      <c r="K156" s="139"/>
      <c r="L156" s="139"/>
    </row>
    <row r="157" spans="1:12" x14ac:dyDescent="0.2">
      <c r="A157" s="69">
        <v>42000</v>
      </c>
      <c r="B157" s="92" t="s">
        <v>520</v>
      </c>
      <c r="C157" s="74">
        <f>$C$155/CFD!F4/'Initial Estimates'!$C$5</f>
        <v>7.4029591200201625E-2</v>
      </c>
      <c r="D157" s="92" t="s">
        <v>125</v>
      </c>
      <c r="E157" s="92" t="s">
        <v>137</v>
      </c>
      <c r="F157" s="92" t="s">
        <v>21</v>
      </c>
      <c r="G157" s="92" t="s">
        <v>535</v>
      </c>
      <c r="H157" s="139" t="s">
        <v>536</v>
      </c>
      <c r="I157" s="139"/>
      <c r="J157" s="139"/>
      <c r="K157" s="139"/>
      <c r="L157" s="139"/>
    </row>
    <row r="158" spans="1:12" x14ac:dyDescent="0.2">
      <c r="A158" s="69">
        <v>43000</v>
      </c>
      <c r="B158" s="92" t="s">
        <v>520</v>
      </c>
      <c r="C158" s="74">
        <f>$C$155/CFD!F5/'Initial Estimates'!$C$5</f>
        <v>7.7653213808585794E-2</v>
      </c>
      <c r="D158" s="92" t="s">
        <v>125</v>
      </c>
      <c r="E158" s="92" t="s">
        <v>137</v>
      </c>
      <c r="F158" s="92" t="s">
        <v>21</v>
      </c>
      <c r="G158" s="92" t="s">
        <v>535</v>
      </c>
      <c r="H158" s="139" t="s">
        <v>536</v>
      </c>
      <c r="I158" s="139"/>
      <c r="J158" s="139"/>
      <c r="K158" s="139"/>
      <c r="L158" s="139"/>
    </row>
    <row r="159" spans="1:12" x14ac:dyDescent="0.2">
      <c r="A159" s="69">
        <v>44000</v>
      </c>
      <c r="B159" s="92" t="s">
        <v>520</v>
      </c>
      <c r="C159" s="74">
        <f>$C$155/CFD!F6/'Initial Estimates'!$C$5</f>
        <v>8.146461098046523E-2</v>
      </c>
      <c r="D159" s="92" t="s">
        <v>125</v>
      </c>
      <c r="E159" s="92" t="s">
        <v>137</v>
      </c>
      <c r="F159" s="92" t="s">
        <v>21</v>
      </c>
      <c r="G159" s="92" t="s">
        <v>535</v>
      </c>
      <c r="H159" s="139" t="s">
        <v>536</v>
      </c>
      <c r="I159" s="139"/>
      <c r="J159" s="139"/>
      <c r="K159" s="139"/>
      <c r="L159" s="139"/>
    </row>
    <row r="160" spans="1:12" x14ac:dyDescent="0.2">
      <c r="A160" s="69">
        <v>45000</v>
      </c>
      <c r="B160" s="92" t="s">
        <v>520</v>
      </c>
      <c r="C160" s="74">
        <f>$C$155/CFD!F7/'Initial Estimates'!$C$5</f>
        <v>8.5447090340531232E-2</v>
      </c>
      <c r="D160" s="92" t="s">
        <v>125</v>
      </c>
      <c r="E160" s="92" t="s">
        <v>137</v>
      </c>
      <c r="F160" s="92" t="s">
        <v>21</v>
      </c>
      <c r="G160" s="92" t="s">
        <v>535</v>
      </c>
      <c r="H160" s="139" t="s">
        <v>536</v>
      </c>
      <c r="I160" s="139"/>
      <c r="J160" s="139"/>
      <c r="K160" s="139"/>
      <c r="L160" s="139"/>
    </row>
    <row r="161" spans="1:12" x14ac:dyDescent="0.2">
      <c r="A161" s="69">
        <v>46000</v>
      </c>
      <c r="B161" s="92" t="s">
        <v>520</v>
      </c>
      <c r="C161" s="74">
        <f>$C$155/CFD!F8/'Initial Estimates'!$C$5</f>
        <v>8.9635102937208042E-2</v>
      </c>
      <c r="D161" s="92" t="s">
        <v>125</v>
      </c>
      <c r="E161" s="92" t="s">
        <v>137</v>
      </c>
      <c r="F161" s="92" t="s">
        <v>21</v>
      </c>
      <c r="G161" s="92" t="s">
        <v>535</v>
      </c>
      <c r="H161" s="139" t="s">
        <v>536</v>
      </c>
      <c r="I161" s="139"/>
      <c r="J161" s="139"/>
      <c r="K161" s="139"/>
      <c r="L161" s="139"/>
    </row>
    <row r="162" spans="1:12" x14ac:dyDescent="0.2">
      <c r="A162" s="69">
        <v>47000</v>
      </c>
      <c r="B162" s="92" t="s">
        <v>520</v>
      </c>
      <c r="C162" s="74">
        <f>$C$155/CFD!F9/'Initial Estimates'!$C$5</f>
        <v>9.4030444809396777E-2</v>
      </c>
      <c r="D162" s="92" t="s">
        <v>125</v>
      </c>
      <c r="E162" s="92" t="s">
        <v>137</v>
      </c>
      <c r="F162" s="92" t="s">
        <v>21</v>
      </c>
      <c r="G162" s="92" t="s">
        <v>535</v>
      </c>
      <c r="H162" s="139" t="s">
        <v>536</v>
      </c>
      <c r="I162" s="139"/>
      <c r="J162" s="139"/>
      <c r="K162" s="139"/>
      <c r="L162" s="139"/>
    </row>
    <row r="163" spans="1:12" x14ac:dyDescent="0.2">
      <c r="A163" s="69">
        <v>48000</v>
      </c>
      <c r="B163" s="92" t="s">
        <v>520</v>
      </c>
      <c r="C163" s="74">
        <f>$C$155/CFD!F10/'Initial Estimates'!$C$5</f>
        <v>9.8632184430530803E-2</v>
      </c>
      <c r="D163" s="92" t="s">
        <v>125</v>
      </c>
      <c r="E163" s="92" t="s">
        <v>137</v>
      </c>
      <c r="F163" s="92" t="s">
        <v>21</v>
      </c>
      <c r="G163" s="92" t="s">
        <v>535</v>
      </c>
      <c r="H163" s="139" t="s">
        <v>536</v>
      </c>
      <c r="I163" s="139"/>
      <c r="J163" s="139"/>
      <c r="K163" s="139"/>
      <c r="L163" s="139"/>
    </row>
    <row r="164" spans="1:12" x14ac:dyDescent="0.2">
      <c r="A164" s="69">
        <v>49000</v>
      </c>
      <c r="B164" s="92" t="s">
        <v>520</v>
      </c>
      <c r="C164" s="74">
        <f>$C$155/CFD!F11/'Initial Estimates'!$C$5</f>
        <v>0.10349014897675554</v>
      </c>
      <c r="D164" s="92" t="s">
        <v>125</v>
      </c>
      <c r="E164" s="92" t="s">
        <v>137</v>
      </c>
      <c r="F164" s="92" t="s">
        <v>21</v>
      </c>
      <c r="G164" s="92" t="s">
        <v>535</v>
      </c>
      <c r="H164" s="139" t="s">
        <v>536</v>
      </c>
      <c r="I164" s="139"/>
      <c r="J164" s="139"/>
      <c r="K164" s="139"/>
      <c r="L164" s="139"/>
    </row>
    <row r="165" spans="1:12" x14ac:dyDescent="0.2">
      <c r="A165" s="92" t="s">
        <v>556</v>
      </c>
      <c r="B165" s="92" t="s">
        <v>549</v>
      </c>
      <c r="C165" s="74">
        <f xml:space="preserve"> ABS((C156-CFD!$B$33)/(CFD!$B$34-CFD!$B$33)*(CFD!$E$34-CFD!$E$33) + CFD!$E$33)</f>
        <v>1.190077979752195E-2</v>
      </c>
      <c r="D165" s="92" t="s">
        <v>125</v>
      </c>
      <c r="E165" s="92" t="s">
        <v>137</v>
      </c>
      <c r="F165" s="92" t="s">
        <v>21</v>
      </c>
      <c r="G165" s="92" t="s">
        <v>550</v>
      </c>
      <c r="H165" s="139" t="s">
        <v>526</v>
      </c>
      <c r="I165" s="139"/>
      <c r="J165" s="139"/>
      <c r="K165" s="139"/>
      <c r="L165" s="139"/>
    </row>
    <row r="166" spans="1:12" x14ac:dyDescent="0.2">
      <c r="A166" s="69">
        <v>42000</v>
      </c>
      <c r="B166" s="92" t="s">
        <v>549</v>
      </c>
      <c r="C166" s="74">
        <f xml:space="preserve"> ABS((C157-CFD!$B$33)/(CFD!$B$34-CFD!$B$33)*(CFD!$E$34-CFD!$E$33) + CFD!$E$33)</f>
        <v>1.2192208605624436E-2</v>
      </c>
      <c r="D166" s="92" t="s">
        <v>125</v>
      </c>
      <c r="E166" s="92" t="s">
        <v>137</v>
      </c>
      <c r="F166" s="92" t="s">
        <v>21</v>
      </c>
      <c r="G166" s="92" t="s">
        <v>550</v>
      </c>
      <c r="H166" s="139" t="s">
        <v>526</v>
      </c>
      <c r="I166" s="139"/>
      <c r="J166" s="139"/>
      <c r="K166" s="139"/>
      <c r="L166" s="139"/>
    </row>
    <row r="167" spans="1:12" x14ac:dyDescent="0.2">
      <c r="A167" s="69">
        <v>43000</v>
      </c>
      <c r="B167" s="92" t="s">
        <v>549</v>
      </c>
      <c r="C167" s="74">
        <f xml:space="preserve"> ABS((C158-CFD!$B$33)/(CFD!$B$34-CFD!$B$33)*(CFD!$E$34-CFD!$E$33) + CFD!$E$33)</f>
        <v>1.2496999292310955E-2</v>
      </c>
      <c r="D167" s="92" t="s">
        <v>125</v>
      </c>
      <c r="E167" s="92" t="s">
        <v>137</v>
      </c>
      <c r="F167" s="92" t="s">
        <v>21</v>
      </c>
      <c r="G167" s="92" t="s">
        <v>550</v>
      </c>
      <c r="H167" s="139" t="s">
        <v>526</v>
      </c>
      <c r="I167" s="139"/>
      <c r="J167" s="139"/>
      <c r="K167" s="139"/>
      <c r="L167" s="139"/>
    </row>
    <row r="168" spans="1:12" x14ac:dyDescent="0.2">
      <c r="A168" s="69">
        <v>44000</v>
      </c>
      <c r="B168" s="92" t="s">
        <v>549</v>
      </c>
      <c r="C168" s="74">
        <f xml:space="preserve"> ABS((C159-CFD!$B$33)/(CFD!$B$34-CFD!$B$33)*(CFD!$E$34-CFD!$E$33) + CFD!$E$33)</f>
        <v>1.2817584101160627E-2</v>
      </c>
      <c r="D168" s="92" t="s">
        <v>125</v>
      </c>
      <c r="E168" s="92" t="s">
        <v>137</v>
      </c>
      <c r="F168" s="92" t="s">
        <v>21</v>
      </c>
      <c r="G168" s="92" t="s">
        <v>550</v>
      </c>
      <c r="H168" s="139" t="s">
        <v>526</v>
      </c>
      <c r="I168" s="139"/>
      <c r="J168" s="139"/>
      <c r="K168" s="139"/>
      <c r="L168" s="139"/>
    </row>
    <row r="169" spans="1:12" x14ac:dyDescent="0.2">
      <c r="A169" s="69">
        <v>45000</v>
      </c>
      <c r="B169" s="92" t="s">
        <v>549</v>
      </c>
      <c r="C169" s="74">
        <f xml:space="preserve"> ABS((C160-CFD!$B$33)/(CFD!$B$34-CFD!$B$33)*(CFD!$E$34-CFD!$E$33) + CFD!$E$33)</f>
        <v>1.315255900060543E-2</v>
      </c>
      <c r="D169" s="92" t="s">
        <v>125</v>
      </c>
      <c r="E169" s="92" t="s">
        <v>137</v>
      </c>
      <c r="F169" s="92" t="s">
        <v>21</v>
      </c>
      <c r="G169" s="92" t="s">
        <v>550</v>
      </c>
      <c r="H169" s="139" t="s">
        <v>526</v>
      </c>
      <c r="I169" s="139"/>
      <c r="J169" s="139"/>
      <c r="K169" s="139"/>
      <c r="L169" s="139"/>
    </row>
    <row r="170" spans="1:12" x14ac:dyDescent="0.2">
      <c r="A170" s="69">
        <v>46000</v>
      </c>
      <c r="B170" s="92" t="s">
        <v>549</v>
      </c>
      <c r="C170" s="74">
        <f xml:space="preserve"> ABS((C161-CFD!$B$33)/(CFD!$B$34-CFD!$B$33)*(CFD!$E$34-CFD!$E$33) + CFD!$E$33)</f>
        <v>1.3504821742381984E-2</v>
      </c>
      <c r="D170" s="92" t="s">
        <v>125</v>
      </c>
      <c r="E170" s="92" t="s">
        <v>137</v>
      </c>
      <c r="F170" s="92" t="s">
        <v>21</v>
      </c>
      <c r="G170" s="92" t="s">
        <v>550</v>
      </c>
      <c r="H170" s="139" t="s">
        <v>526</v>
      </c>
      <c r="I170" s="139"/>
      <c r="J170" s="139"/>
      <c r="K170" s="139"/>
      <c r="L170" s="139"/>
    </row>
    <row r="171" spans="1:12" x14ac:dyDescent="0.2">
      <c r="A171" s="69">
        <v>47000</v>
      </c>
      <c r="B171" s="92" t="s">
        <v>549</v>
      </c>
      <c r="C171" s="74">
        <f xml:space="preserve"> ABS((C162-CFD!$B$33)/(CFD!$B$34-CFD!$B$33)*(CFD!$E$34-CFD!$E$33) + CFD!$E$33)</f>
        <v>1.3874523395182905E-2</v>
      </c>
      <c r="D171" s="92" t="s">
        <v>125</v>
      </c>
      <c r="E171" s="92" t="s">
        <v>137</v>
      </c>
      <c r="F171" s="92" t="s">
        <v>21</v>
      </c>
      <c r="G171" s="92" t="s">
        <v>550</v>
      </c>
      <c r="H171" s="139" t="s">
        <v>526</v>
      </c>
      <c r="I171" s="139"/>
      <c r="J171" s="139"/>
      <c r="K171" s="139"/>
      <c r="L171" s="139"/>
    </row>
    <row r="172" spans="1:12" x14ac:dyDescent="0.2">
      <c r="A172" s="69">
        <v>48000</v>
      </c>
      <c r="B172" s="92" t="s">
        <v>549</v>
      </c>
      <c r="C172" s="74">
        <f xml:space="preserve"> ABS((C163-CFD!$B$33)/(CFD!$B$34-CFD!$B$33)*(CFD!$E$34-CFD!$E$33) + CFD!$E$33)</f>
        <v>1.4261585606306328E-2</v>
      </c>
      <c r="D172" s="92" t="s">
        <v>125</v>
      </c>
      <c r="E172" s="92" t="s">
        <v>137</v>
      </c>
      <c r="F172" s="92" t="s">
        <v>21</v>
      </c>
      <c r="G172" s="92" t="s">
        <v>550</v>
      </c>
      <c r="H172" s="139" t="s">
        <v>526</v>
      </c>
      <c r="I172" s="139"/>
      <c r="J172" s="139"/>
      <c r="K172" s="139"/>
      <c r="L172" s="139"/>
    </row>
    <row r="173" spans="1:12" x14ac:dyDescent="0.2">
      <c r="A173" s="69">
        <v>49000</v>
      </c>
      <c r="B173" s="92" t="s">
        <v>549</v>
      </c>
      <c r="C173" s="74">
        <f xml:space="preserve"> ABS((C164-CFD!$B$33)/(CFD!$B$34-CFD!$B$33)*(CFD!$E$34-CFD!$E$33) + CFD!$E$33)</f>
        <v>1.4670199446642988E-2</v>
      </c>
      <c r="D173" s="92" t="s">
        <v>125</v>
      </c>
      <c r="E173" s="92" t="s">
        <v>137</v>
      </c>
      <c r="F173" s="92" t="s">
        <v>21</v>
      </c>
      <c r="G173" s="92" t="s">
        <v>550</v>
      </c>
      <c r="H173" s="139" t="s">
        <v>526</v>
      </c>
      <c r="I173" s="139"/>
      <c r="J173" s="139"/>
      <c r="K173" s="139"/>
      <c r="L173" s="139"/>
    </row>
    <row r="174" spans="1:12" x14ac:dyDescent="0.2">
      <c r="A174" s="92" t="s">
        <v>553</v>
      </c>
      <c r="B174" s="92" t="s">
        <v>552</v>
      </c>
      <c r="C174" s="74">
        <f>CFD!F3*'Initial Estimates'!$C$5*'Final Aircraft Checkouts'!C165</f>
        <v>10517.375555332885</v>
      </c>
      <c r="D174" s="92" t="s">
        <v>125</v>
      </c>
      <c r="E174" s="92" t="s">
        <v>137</v>
      </c>
      <c r="F174" s="92" t="s">
        <v>21</v>
      </c>
      <c r="G174" s="92" t="s">
        <v>554</v>
      </c>
      <c r="H174" s="139" t="s">
        <v>536</v>
      </c>
      <c r="I174" s="139"/>
      <c r="J174" s="139"/>
      <c r="K174" s="139"/>
      <c r="L174" s="139"/>
    </row>
    <row r="175" spans="1:12" x14ac:dyDescent="0.2">
      <c r="A175" s="69">
        <v>42000</v>
      </c>
      <c r="B175" s="92" t="s">
        <v>552</v>
      </c>
      <c r="C175" s="74">
        <f>CFD!F4*'Initial Estimates'!$C$5*'Final Aircraft Checkouts'!C166</f>
        <v>10270.634495110962</v>
      </c>
      <c r="D175" s="92" t="s">
        <v>125</v>
      </c>
      <c r="E175" s="92" t="s">
        <v>137</v>
      </c>
      <c r="F175" s="92" t="s">
        <v>21</v>
      </c>
      <c r="G175" s="92" t="s">
        <v>554</v>
      </c>
      <c r="H175" s="139" t="s">
        <v>536</v>
      </c>
      <c r="I175" s="139"/>
      <c r="J175" s="139"/>
      <c r="K175" s="139"/>
      <c r="L175" s="139"/>
    </row>
    <row r="176" spans="1:12" x14ac:dyDescent="0.2">
      <c r="A176" s="69">
        <v>43000</v>
      </c>
      <c r="B176" s="92" t="s">
        <v>552</v>
      </c>
      <c r="C176" s="74">
        <f>CFD!F5*'Initial Estimates'!$C$5*'Final Aircraft Checkouts'!C167</f>
        <v>10036.136311922952</v>
      </c>
      <c r="D176" s="92" t="s">
        <v>125</v>
      </c>
      <c r="E176" s="92" t="s">
        <v>137</v>
      </c>
      <c r="F176" s="92" t="s">
        <v>21</v>
      </c>
      <c r="G176" s="92" t="s">
        <v>554</v>
      </c>
      <c r="H176" s="139" t="s">
        <v>536</v>
      </c>
      <c r="I176" s="139"/>
      <c r="J176" s="139"/>
      <c r="K176" s="139"/>
      <c r="L176" s="139"/>
    </row>
    <row r="177" spans="1:12" x14ac:dyDescent="0.2">
      <c r="A177" s="69">
        <v>44000</v>
      </c>
      <c r="B177" s="92" t="s">
        <v>552</v>
      </c>
      <c r="C177" s="74">
        <f>CFD!F6*'Initial Estimates'!$C$5*'Final Aircraft Checkouts'!C168</f>
        <v>9811.9974862251729</v>
      </c>
      <c r="D177" s="92" t="s">
        <v>125</v>
      </c>
      <c r="E177" s="92" t="s">
        <v>137</v>
      </c>
      <c r="F177" s="92" t="s">
        <v>21</v>
      </c>
      <c r="G177" s="92" t="s">
        <v>554</v>
      </c>
      <c r="H177" s="139" t="s">
        <v>536</v>
      </c>
      <c r="I177" s="139"/>
      <c r="J177" s="139"/>
      <c r="K177" s="139"/>
      <c r="L177" s="139"/>
    </row>
    <row r="178" spans="1:12" x14ac:dyDescent="0.2">
      <c r="A178" s="69">
        <v>45000</v>
      </c>
      <c r="B178" s="92" t="s">
        <v>552</v>
      </c>
      <c r="C178" s="74">
        <f>CFD!F7*'Initial Estimates'!$C$5*'Final Aircraft Checkouts'!C169</f>
        <v>9599.1597777894694</v>
      </c>
      <c r="D178" s="92" t="s">
        <v>125</v>
      </c>
      <c r="E178" s="92" t="s">
        <v>137</v>
      </c>
      <c r="F178" s="92" t="s">
        <v>21</v>
      </c>
      <c r="G178" s="92" t="s">
        <v>554</v>
      </c>
      <c r="H178" s="139" t="s">
        <v>536</v>
      </c>
      <c r="I178" s="139"/>
      <c r="J178" s="139"/>
      <c r="K178" s="139"/>
      <c r="L178" s="139"/>
    </row>
    <row r="179" spans="1:12" x14ac:dyDescent="0.2">
      <c r="A179" s="69">
        <v>46000</v>
      </c>
      <c r="B179" s="92" t="s">
        <v>552</v>
      </c>
      <c r="C179" s="74">
        <f>CFD!F8*'Initial Estimates'!$C$5*'Final Aircraft Checkouts'!C170</f>
        <v>9395.7396670721555</v>
      </c>
      <c r="D179" s="92" t="s">
        <v>125</v>
      </c>
      <c r="E179" s="92" t="s">
        <v>137</v>
      </c>
      <c r="F179" s="92" t="s">
        <v>21</v>
      </c>
      <c r="G179" s="92" t="s">
        <v>554</v>
      </c>
      <c r="H179" s="139" t="s">
        <v>536</v>
      </c>
      <c r="I179" s="139"/>
      <c r="J179" s="139"/>
      <c r="K179" s="139"/>
      <c r="L179" s="139"/>
    </row>
    <row r="180" spans="1:12" x14ac:dyDescent="0.2">
      <c r="A180" s="69">
        <v>47000</v>
      </c>
      <c r="B180" s="92" t="s">
        <v>552</v>
      </c>
      <c r="C180" s="74">
        <f>CFD!F9*'Initial Estimates'!$C$5*'Final Aircraft Checkouts'!C171</f>
        <v>9201.7371540732402</v>
      </c>
      <c r="D180" s="92" t="s">
        <v>125</v>
      </c>
      <c r="E180" s="92" t="s">
        <v>137</v>
      </c>
      <c r="F180" s="92" t="s">
        <v>21</v>
      </c>
      <c r="G180" s="92" t="s">
        <v>554</v>
      </c>
      <c r="H180" s="139" t="s">
        <v>536</v>
      </c>
      <c r="I180" s="139"/>
      <c r="J180" s="139"/>
      <c r="K180" s="139"/>
      <c r="L180" s="139"/>
    </row>
    <row r="181" spans="1:12" x14ac:dyDescent="0.2">
      <c r="A181" s="69">
        <v>48000</v>
      </c>
      <c r="B181" s="92" t="s">
        <v>552</v>
      </c>
      <c r="C181" s="74">
        <f>CFD!F10*'Initial Estimates'!$C$5*'Final Aircraft Checkouts'!C172</f>
        <v>9017.1522387927162</v>
      </c>
      <c r="D181" s="92" t="s">
        <v>125</v>
      </c>
      <c r="E181" s="92" t="s">
        <v>137</v>
      </c>
      <c r="F181" s="92" t="s">
        <v>21</v>
      </c>
      <c r="G181" s="92" t="s">
        <v>554</v>
      </c>
      <c r="H181" s="139" t="s">
        <v>536</v>
      </c>
      <c r="I181" s="139"/>
      <c r="J181" s="139"/>
      <c r="K181" s="139"/>
      <c r="L181" s="139"/>
    </row>
    <row r="182" spans="1:12" x14ac:dyDescent="0.2">
      <c r="A182" s="69">
        <v>49000</v>
      </c>
      <c r="B182" s="92" t="s">
        <v>552</v>
      </c>
      <c r="C182" s="74">
        <f>CFD!F11*'Initial Estimates'!$C$5*'Final Aircraft Checkouts'!C173</f>
        <v>8840.1014016869103</v>
      </c>
      <c r="D182" s="92" t="s">
        <v>125</v>
      </c>
      <c r="E182" s="92" t="s">
        <v>137</v>
      </c>
      <c r="F182" s="92" t="s">
        <v>21</v>
      </c>
      <c r="G182" s="92" t="s">
        <v>554</v>
      </c>
      <c r="H182" s="139" t="s">
        <v>536</v>
      </c>
      <c r="I182" s="139"/>
      <c r="J182" s="139"/>
      <c r="K182" s="139"/>
      <c r="L182" s="139"/>
    </row>
    <row r="185" spans="1:12" ht="21" x14ac:dyDescent="0.2">
      <c r="A185" s="118" t="s">
        <v>574</v>
      </c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20"/>
    </row>
    <row r="186" spans="1:12" ht="16" x14ac:dyDescent="0.2">
      <c r="A186" s="23" t="s">
        <v>5</v>
      </c>
      <c r="B186" s="23" t="s">
        <v>96</v>
      </c>
      <c r="C186" s="94" t="s">
        <v>7</v>
      </c>
      <c r="D186" s="94" t="s">
        <v>125</v>
      </c>
      <c r="E186" s="94" t="s">
        <v>8</v>
      </c>
      <c r="F186" s="94" t="s">
        <v>9</v>
      </c>
      <c r="G186" s="31" t="s">
        <v>10</v>
      </c>
      <c r="H186" s="122" t="s">
        <v>11</v>
      </c>
      <c r="I186" s="123"/>
      <c r="J186" s="123"/>
      <c r="K186" s="123"/>
      <c r="L186" s="124"/>
    </row>
    <row r="187" spans="1:12" x14ac:dyDescent="0.2">
      <c r="A187" s="92" t="s">
        <v>516</v>
      </c>
      <c r="B187" s="92" t="s">
        <v>474</v>
      </c>
      <c r="C187" s="92">
        <f>'Initial Estimates'!C67</f>
        <v>69845</v>
      </c>
      <c r="D187" s="92" t="s">
        <v>125</v>
      </c>
      <c r="E187" s="92" t="s">
        <v>223</v>
      </c>
      <c r="F187" s="92" t="s">
        <v>517</v>
      </c>
      <c r="G187" s="92" t="s">
        <v>518</v>
      </c>
      <c r="H187" s="140" t="s">
        <v>519</v>
      </c>
      <c r="I187" s="140"/>
      <c r="J187" s="140"/>
      <c r="K187" s="140"/>
      <c r="L187" s="140"/>
    </row>
    <row r="188" spans="1:12" x14ac:dyDescent="0.2">
      <c r="A188" s="92" t="s">
        <v>555</v>
      </c>
      <c r="B188" s="92" t="s">
        <v>520</v>
      </c>
      <c r="C188" s="92">
        <f>$C$187/CFD!D3/'Initial Estimates'!$C$5</f>
        <v>0.10002496405735427</v>
      </c>
      <c r="D188" s="92" t="s">
        <v>125</v>
      </c>
      <c r="E188" s="92" t="s">
        <v>137</v>
      </c>
      <c r="F188" s="92" t="s">
        <v>21</v>
      </c>
      <c r="G188" s="92" t="s">
        <v>535</v>
      </c>
      <c r="H188" s="139" t="s">
        <v>536</v>
      </c>
      <c r="I188" s="139"/>
      <c r="J188" s="139"/>
      <c r="K188" s="139"/>
      <c r="L188" s="139"/>
    </row>
    <row r="189" spans="1:12" x14ac:dyDescent="0.2">
      <c r="A189" s="69">
        <v>42000</v>
      </c>
      <c r="B189" s="92" t="s">
        <v>520</v>
      </c>
      <c r="C189" s="92">
        <f>$C$187/CFD!D4/'Initial Estimates'!$C$5</f>
        <v>0.10493623478130983</v>
      </c>
      <c r="D189" s="92" t="s">
        <v>125</v>
      </c>
      <c r="E189" s="92" t="s">
        <v>137</v>
      </c>
      <c r="F189" s="92" t="s">
        <v>21</v>
      </c>
      <c r="G189" s="92" t="s">
        <v>535</v>
      </c>
      <c r="H189" s="139" t="s">
        <v>536</v>
      </c>
      <c r="I189" s="139"/>
      <c r="J189" s="139"/>
      <c r="K189" s="139"/>
      <c r="L189" s="139"/>
    </row>
    <row r="190" spans="1:12" x14ac:dyDescent="0.2">
      <c r="A190" s="69">
        <v>43000</v>
      </c>
      <c r="B190" s="92" t="s">
        <v>520</v>
      </c>
      <c r="C190" s="92">
        <f>$C$187/CFD!D5/'Initial Estimates'!$C$5</f>
        <v>0.11007268503893636</v>
      </c>
      <c r="D190" s="92" t="s">
        <v>125</v>
      </c>
      <c r="E190" s="92" t="s">
        <v>137</v>
      </c>
      <c r="F190" s="92" t="s">
        <v>21</v>
      </c>
      <c r="G190" s="92" t="s">
        <v>535</v>
      </c>
      <c r="H190" s="139" t="s">
        <v>536</v>
      </c>
      <c r="I190" s="139"/>
      <c r="J190" s="139"/>
      <c r="K190" s="139"/>
      <c r="L190" s="139"/>
    </row>
    <row r="191" spans="1:12" x14ac:dyDescent="0.2">
      <c r="A191" s="69">
        <v>44000</v>
      </c>
      <c r="B191" s="92" t="s">
        <v>520</v>
      </c>
      <c r="C191" s="92">
        <f>$C$187/CFD!D6/'Initial Estimates'!$C$5</f>
        <v>0.11547530393752714</v>
      </c>
      <c r="D191" s="92" t="s">
        <v>125</v>
      </c>
      <c r="E191" s="92" t="s">
        <v>137</v>
      </c>
      <c r="F191" s="92" t="s">
        <v>21</v>
      </c>
      <c r="G191" s="92" t="s">
        <v>535</v>
      </c>
      <c r="H191" s="139" t="s">
        <v>536</v>
      </c>
      <c r="I191" s="139"/>
      <c r="J191" s="139"/>
      <c r="K191" s="139"/>
      <c r="L191" s="139"/>
    </row>
    <row r="192" spans="1:12" x14ac:dyDescent="0.2">
      <c r="A192" s="69">
        <v>45000</v>
      </c>
      <c r="B192" s="92" t="s">
        <v>520</v>
      </c>
      <c r="C192" s="92">
        <f>$C$187/CFD!D7/'Initial Estimates'!$C$5</f>
        <v>0.12112043019534267</v>
      </c>
      <c r="D192" s="92" t="s">
        <v>125</v>
      </c>
      <c r="E192" s="92" t="s">
        <v>137</v>
      </c>
      <c r="F192" s="92" t="s">
        <v>21</v>
      </c>
      <c r="G192" s="92" t="s">
        <v>535</v>
      </c>
      <c r="H192" s="139" t="s">
        <v>536</v>
      </c>
      <c r="I192" s="139"/>
      <c r="J192" s="139"/>
      <c r="K192" s="139"/>
      <c r="L192" s="139"/>
    </row>
    <row r="193" spans="1:12" x14ac:dyDescent="0.2">
      <c r="A193" s="69">
        <v>46000</v>
      </c>
      <c r="B193" s="92" t="s">
        <v>520</v>
      </c>
      <c r="C193" s="92">
        <f>$C$187/CFD!D8/'Initial Estimates'!$C$5</f>
        <v>0.12705689784276589</v>
      </c>
      <c r="D193" s="92" t="s">
        <v>125</v>
      </c>
      <c r="E193" s="92" t="s">
        <v>137</v>
      </c>
      <c r="F193" s="92" t="s">
        <v>21</v>
      </c>
      <c r="G193" s="92" t="s">
        <v>535</v>
      </c>
      <c r="H193" s="139" t="s">
        <v>536</v>
      </c>
      <c r="I193" s="139"/>
      <c r="J193" s="139"/>
      <c r="K193" s="139"/>
      <c r="L193" s="139"/>
    </row>
    <row r="194" spans="1:12" x14ac:dyDescent="0.2">
      <c r="A194" s="69">
        <v>47000</v>
      </c>
      <c r="B194" s="92" t="s">
        <v>520</v>
      </c>
      <c r="C194" s="92">
        <f>$C$187/CFD!D9/'Initial Estimates'!$C$5</f>
        <v>0.13328725274769557</v>
      </c>
      <c r="D194" s="92" t="s">
        <v>125</v>
      </c>
      <c r="E194" s="92" t="s">
        <v>137</v>
      </c>
      <c r="F194" s="92" t="s">
        <v>21</v>
      </c>
      <c r="G194" s="92" t="s">
        <v>535</v>
      </c>
      <c r="H194" s="139" t="s">
        <v>536</v>
      </c>
      <c r="I194" s="139"/>
      <c r="J194" s="139"/>
      <c r="K194" s="139"/>
      <c r="L194" s="139"/>
    </row>
    <row r="195" spans="1:12" x14ac:dyDescent="0.2">
      <c r="A195" s="69">
        <v>48000</v>
      </c>
      <c r="B195" s="92" t="s">
        <v>520</v>
      </c>
      <c r="C195" s="92">
        <f>$C$187/CFD!D10/'Initial Estimates'!$C$5</f>
        <v>0.13981017448016708</v>
      </c>
      <c r="D195" s="92" t="s">
        <v>125</v>
      </c>
      <c r="E195" s="92" t="s">
        <v>137</v>
      </c>
      <c r="F195" s="92" t="s">
        <v>21</v>
      </c>
      <c r="G195" s="92" t="s">
        <v>535</v>
      </c>
      <c r="H195" s="139" t="s">
        <v>536</v>
      </c>
      <c r="I195" s="139"/>
      <c r="J195" s="139"/>
      <c r="K195" s="139"/>
      <c r="L195" s="139"/>
    </row>
    <row r="196" spans="1:12" x14ac:dyDescent="0.2">
      <c r="A196" s="69">
        <v>49000</v>
      </c>
      <c r="B196" s="92" t="s">
        <v>520</v>
      </c>
      <c r="C196" s="92">
        <f>$C$187/CFD!D11/'Initial Estimates'!$C$5</f>
        <v>0.14669629258398459</v>
      </c>
      <c r="D196" s="92" t="s">
        <v>125</v>
      </c>
      <c r="E196" s="92" t="s">
        <v>137</v>
      </c>
      <c r="F196" s="92" t="s">
        <v>21</v>
      </c>
      <c r="G196" s="92" t="s">
        <v>535</v>
      </c>
      <c r="H196" s="139" t="s">
        <v>536</v>
      </c>
      <c r="I196" s="139"/>
      <c r="J196" s="139"/>
      <c r="K196" s="139"/>
      <c r="L196" s="139"/>
    </row>
    <row r="197" spans="1:12" x14ac:dyDescent="0.2">
      <c r="A197" s="92" t="s">
        <v>556</v>
      </c>
      <c r="B197" s="92" t="s">
        <v>549</v>
      </c>
      <c r="C197" s="74">
        <f xml:space="preserve"> ABS((C188-CFD!$B$19)/(CFD!$B$20-CFD!$B$19)*(CFD!$E$20-CFD!$E$19) + CFD!$E$19)</f>
        <v>1.3618373558469173E-2</v>
      </c>
      <c r="D197" s="92" t="s">
        <v>125</v>
      </c>
      <c r="E197" s="92" t="s">
        <v>137</v>
      </c>
      <c r="F197" s="92" t="s">
        <v>21</v>
      </c>
      <c r="G197" s="92" t="s">
        <v>550</v>
      </c>
      <c r="H197" s="139" t="s">
        <v>526</v>
      </c>
      <c r="I197" s="139"/>
      <c r="J197" s="139"/>
      <c r="K197" s="139"/>
      <c r="L197" s="139"/>
    </row>
    <row r="198" spans="1:12" x14ac:dyDescent="0.2">
      <c r="A198" s="69">
        <v>42000</v>
      </c>
      <c r="B198" s="92" t="s">
        <v>549</v>
      </c>
      <c r="C198" s="74">
        <f xml:space="preserve"> ABS((C189-CFD!$B$19)/(CFD!$B$20-CFD!$B$19)*(CFD!$E$20-CFD!$E$19) + CFD!$E$19)</f>
        <v>1.4019493278951599E-2</v>
      </c>
      <c r="D198" s="92" t="s">
        <v>125</v>
      </c>
      <c r="E198" s="92" t="s">
        <v>137</v>
      </c>
      <c r="F198" s="92" t="s">
        <v>21</v>
      </c>
      <c r="G198" s="92" t="s">
        <v>550</v>
      </c>
      <c r="H198" s="139" t="s">
        <v>526</v>
      </c>
      <c r="I198" s="139"/>
      <c r="J198" s="139"/>
      <c r="K198" s="139"/>
      <c r="L198" s="139"/>
    </row>
    <row r="199" spans="1:12" x14ac:dyDescent="0.2">
      <c r="A199" s="69">
        <v>43000</v>
      </c>
      <c r="B199" s="92" t="s">
        <v>549</v>
      </c>
      <c r="C199" s="74">
        <f xml:space="preserve"> ABS((C190-CFD!$B$19)/(CFD!$B$20-CFD!$B$19)*(CFD!$E$20-CFD!$E$19) + CFD!$E$19)</f>
        <v>1.4439004156566515E-2</v>
      </c>
      <c r="D199" s="92" t="s">
        <v>125</v>
      </c>
      <c r="E199" s="92" t="s">
        <v>137</v>
      </c>
      <c r="F199" s="92" t="s">
        <v>21</v>
      </c>
      <c r="G199" s="92" t="s">
        <v>550</v>
      </c>
      <c r="H199" s="139" t="s">
        <v>526</v>
      </c>
      <c r="I199" s="139"/>
      <c r="J199" s="139"/>
      <c r="K199" s="139"/>
      <c r="L199" s="139"/>
    </row>
    <row r="200" spans="1:12" x14ac:dyDescent="0.2">
      <c r="A200" s="69">
        <v>44000</v>
      </c>
      <c r="B200" s="92" t="s">
        <v>549</v>
      </c>
      <c r="C200" s="74">
        <f xml:space="preserve"> ABS((C191-CFD!$B$19)/(CFD!$B$20-CFD!$B$19)*(CFD!$E$20-CFD!$E$19) + CFD!$E$19)</f>
        <v>1.4880253907248233E-2</v>
      </c>
      <c r="D200" s="92" t="s">
        <v>125</v>
      </c>
      <c r="E200" s="92" t="s">
        <v>137</v>
      </c>
      <c r="F200" s="92" t="s">
        <v>21</v>
      </c>
      <c r="G200" s="92" t="s">
        <v>550</v>
      </c>
      <c r="H200" s="139" t="s">
        <v>526</v>
      </c>
      <c r="I200" s="139"/>
      <c r="J200" s="139"/>
      <c r="K200" s="139"/>
      <c r="L200" s="139"/>
    </row>
    <row r="201" spans="1:12" x14ac:dyDescent="0.2">
      <c r="A201" s="69">
        <v>45000</v>
      </c>
      <c r="B201" s="92" t="s">
        <v>549</v>
      </c>
      <c r="C201" s="74">
        <f xml:space="preserve"> ABS((C192-CFD!$B$19)/(CFD!$B$20-CFD!$B$19)*(CFD!$E$20-CFD!$E$19) + CFD!$E$19)</f>
        <v>1.5341310035874601E-2</v>
      </c>
      <c r="D201" s="92" t="s">
        <v>125</v>
      </c>
      <c r="E201" s="92" t="s">
        <v>137</v>
      </c>
      <c r="F201" s="92" t="s">
        <v>21</v>
      </c>
      <c r="G201" s="92" t="s">
        <v>550</v>
      </c>
      <c r="H201" s="139" t="s">
        <v>526</v>
      </c>
      <c r="I201" s="139"/>
      <c r="J201" s="139"/>
      <c r="K201" s="139"/>
      <c r="L201" s="139"/>
    </row>
    <row r="202" spans="1:12" x14ac:dyDescent="0.2">
      <c r="A202" s="69">
        <v>46000</v>
      </c>
      <c r="B202" s="92" t="s">
        <v>549</v>
      </c>
      <c r="C202" s="74">
        <f xml:space="preserve"> ABS((C193-CFD!$B$19)/(CFD!$B$20-CFD!$B$19)*(CFD!$E$20-CFD!$E$19) + CFD!$E$19)</f>
        <v>1.5826160979190044E-2</v>
      </c>
      <c r="D202" s="92" t="s">
        <v>125</v>
      </c>
      <c r="E202" s="92" t="s">
        <v>137</v>
      </c>
      <c r="F202" s="92" t="s">
        <v>21</v>
      </c>
      <c r="G202" s="92" t="s">
        <v>550</v>
      </c>
      <c r="H202" s="139" t="s">
        <v>526</v>
      </c>
      <c r="I202" s="139"/>
      <c r="J202" s="139"/>
      <c r="K202" s="139"/>
      <c r="L202" s="139"/>
    </row>
    <row r="203" spans="1:12" x14ac:dyDescent="0.2">
      <c r="A203" s="69">
        <v>47000</v>
      </c>
      <c r="B203" s="92" t="s">
        <v>549</v>
      </c>
      <c r="C203" s="74">
        <f xml:space="preserve"> ABS((C194-CFD!$B$19)/(CFD!$B$20-CFD!$B$19)*(CFD!$E$20-CFD!$E$19) + CFD!$E$19)</f>
        <v>1.633501466664446E-2</v>
      </c>
      <c r="D203" s="92" t="s">
        <v>125</v>
      </c>
      <c r="E203" s="92" t="s">
        <v>137</v>
      </c>
      <c r="F203" s="92" t="s">
        <v>21</v>
      </c>
      <c r="G203" s="92" t="s">
        <v>550</v>
      </c>
      <c r="H203" s="139" t="s">
        <v>526</v>
      </c>
      <c r="I203" s="139"/>
      <c r="J203" s="139"/>
      <c r="K203" s="139"/>
      <c r="L203" s="139"/>
    </row>
    <row r="204" spans="1:12" x14ac:dyDescent="0.2">
      <c r="A204" s="69">
        <v>48000</v>
      </c>
      <c r="B204" s="92" t="s">
        <v>549</v>
      </c>
      <c r="C204" s="74">
        <f xml:space="preserve"> ABS((C195-CFD!$B$19)/(CFD!$B$20-CFD!$B$19)*(CFD!$E$20-CFD!$E$19) + CFD!$E$19)</f>
        <v>1.6867763254356277E-2</v>
      </c>
      <c r="D204" s="92" t="s">
        <v>125</v>
      </c>
      <c r="E204" s="92" t="s">
        <v>137</v>
      </c>
      <c r="F204" s="92" t="s">
        <v>21</v>
      </c>
      <c r="G204" s="92" t="s">
        <v>550</v>
      </c>
      <c r="H204" s="139" t="s">
        <v>526</v>
      </c>
      <c r="I204" s="139"/>
      <c r="J204" s="139"/>
      <c r="K204" s="139"/>
      <c r="L204" s="139"/>
    </row>
    <row r="205" spans="1:12" x14ac:dyDescent="0.2">
      <c r="A205" s="69">
        <v>49000</v>
      </c>
      <c r="B205" s="92" t="s">
        <v>549</v>
      </c>
      <c r="C205" s="74">
        <f xml:space="preserve"> ABS((C196-CFD!$B$19)/(CFD!$B$20-CFD!$B$19)*(CFD!$E$20-CFD!$E$19) + CFD!$E$19)</f>
        <v>1.743017529072384E-2</v>
      </c>
      <c r="D205" s="92" t="s">
        <v>125</v>
      </c>
      <c r="E205" s="92" t="s">
        <v>137</v>
      </c>
      <c r="F205" s="92" t="s">
        <v>21</v>
      </c>
      <c r="G205" s="92" t="s">
        <v>550</v>
      </c>
      <c r="H205" s="139" t="s">
        <v>526</v>
      </c>
      <c r="I205" s="139"/>
      <c r="J205" s="139"/>
      <c r="K205" s="139"/>
      <c r="L205" s="139"/>
    </row>
    <row r="206" spans="1:12" x14ac:dyDescent="0.2">
      <c r="A206" s="92" t="s">
        <v>553</v>
      </c>
      <c r="B206" s="92" t="s">
        <v>552</v>
      </c>
      <c r="C206" s="74">
        <f>CFD!D3*'Initial Estimates'!$C$5*'Final Aircraft Checkouts'!C197</f>
        <v>9509.3790850639634</v>
      </c>
      <c r="D206" s="92" t="s">
        <v>125</v>
      </c>
      <c r="E206" s="92" t="s">
        <v>137</v>
      </c>
      <c r="F206" s="92" t="s">
        <v>21</v>
      </c>
      <c r="G206" s="92" t="s">
        <v>554</v>
      </c>
      <c r="H206" s="139" t="s">
        <v>536</v>
      </c>
      <c r="I206" s="139"/>
      <c r="J206" s="139"/>
      <c r="K206" s="139"/>
      <c r="L206" s="139"/>
    </row>
    <row r="207" spans="1:12" x14ac:dyDescent="0.2">
      <c r="A207" s="69">
        <v>42000</v>
      </c>
      <c r="B207" s="92" t="s">
        <v>552</v>
      </c>
      <c r="C207" s="74">
        <f>CFD!D4*'Initial Estimates'!$C$5*'Final Aircraft Checkouts'!C198</f>
        <v>9331.3001949139707</v>
      </c>
      <c r="D207" s="92" t="s">
        <v>125</v>
      </c>
      <c r="E207" s="92" t="s">
        <v>137</v>
      </c>
      <c r="F207" s="92" t="s">
        <v>21</v>
      </c>
      <c r="G207" s="92" t="s">
        <v>554</v>
      </c>
      <c r="H207" s="139" t="s">
        <v>536</v>
      </c>
      <c r="I207" s="139"/>
      <c r="J207" s="139"/>
      <c r="K207" s="139"/>
      <c r="L207" s="139"/>
    </row>
    <row r="208" spans="1:12" x14ac:dyDescent="0.2">
      <c r="A208" s="69">
        <v>43000</v>
      </c>
      <c r="B208" s="92" t="s">
        <v>552</v>
      </c>
      <c r="C208" s="74">
        <f>CFD!D5*'Initial Estimates'!$C$5*'Final Aircraft Checkouts'!C199</f>
        <v>9162.0572802294337</v>
      </c>
      <c r="D208" s="92" t="s">
        <v>125</v>
      </c>
      <c r="E208" s="92" t="s">
        <v>137</v>
      </c>
      <c r="F208" s="92" t="s">
        <v>21</v>
      </c>
      <c r="G208" s="92" t="s">
        <v>554</v>
      </c>
      <c r="H208" s="139" t="s">
        <v>536</v>
      </c>
      <c r="I208" s="139"/>
      <c r="J208" s="139"/>
      <c r="K208" s="139"/>
      <c r="L208" s="139"/>
    </row>
    <row r="209" spans="1:12" x14ac:dyDescent="0.2">
      <c r="A209" s="69">
        <v>44000</v>
      </c>
      <c r="B209" s="92" t="s">
        <v>552</v>
      </c>
      <c r="C209" s="74">
        <f>CFD!D6*'Initial Estimates'!$C$5*'Final Aircraft Checkouts'!C200</f>
        <v>9000.2909601695155</v>
      </c>
      <c r="D209" s="92" t="s">
        <v>125</v>
      </c>
      <c r="E209" s="92" t="s">
        <v>137</v>
      </c>
      <c r="F209" s="92" t="s">
        <v>21</v>
      </c>
      <c r="G209" s="92" t="s">
        <v>554</v>
      </c>
      <c r="H209" s="139" t="s">
        <v>536</v>
      </c>
      <c r="I209" s="139"/>
      <c r="J209" s="139"/>
      <c r="K209" s="139"/>
      <c r="L209" s="139"/>
    </row>
    <row r="210" spans="1:12" x14ac:dyDescent="0.2">
      <c r="A210" s="69">
        <v>45000</v>
      </c>
      <c r="B210" s="92" t="s">
        <v>552</v>
      </c>
      <c r="C210" s="74">
        <f>CFD!D7*'Initial Estimates'!$C$5*'Final Aircraft Checkouts'!C201</f>
        <v>8846.6809251546347</v>
      </c>
      <c r="D210" s="92" t="s">
        <v>125</v>
      </c>
      <c r="E210" s="92" t="s">
        <v>137</v>
      </c>
      <c r="F210" s="92" t="s">
        <v>21</v>
      </c>
      <c r="G210" s="92" t="s">
        <v>554</v>
      </c>
      <c r="H210" s="139" t="s">
        <v>536</v>
      </c>
      <c r="I210" s="139"/>
      <c r="J210" s="139"/>
      <c r="K210" s="139"/>
      <c r="L210" s="139"/>
    </row>
    <row r="211" spans="1:12" x14ac:dyDescent="0.2">
      <c r="A211" s="69">
        <v>46000</v>
      </c>
      <c r="B211" s="92" t="s">
        <v>552</v>
      </c>
      <c r="C211" s="74">
        <f>CFD!D8*'Initial Estimates'!$C$5*'Final Aircraft Checkouts'!C202</f>
        <v>8699.8677943439525</v>
      </c>
      <c r="D211" s="92" t="s">
        <v>125</v>
      </c>
      <c r="E211" s="92" t="s">
        <v>137</v>
      </c>
      <c r="F211" s="92" t="s">
        <v>21</v>
      </c>
      <c r="G211" s="92" t="s">
        <v>554</v>
      </c>
      <c r="H211" s="139" t="s">
        <v>536</v>
      </c>
      <c r="I211" s="139"/>
      <c r="J211" s="139"/>
      <c r="K211" s="139"/>
      <c r="L211" s="139"/>
    </row>
    <row r="212" spans="1:12" x14ac:dyDescent="0.2">
      <c r="A212" s="69">
        <v>47000</v>
      </c>
      <c r="B212" s="92" t="s">
        <v>552</v>
      </c>
      <c r="C212" s="74">
        <f>CFD!D9*'Initial Estimates'!$C$5*'Final Aircraft Checkouts'!C203</f>
        <v>8559.8515677374689</v>
      </c>
      <c r="D212" s="92" t="s">
        <v>125</v>
      </c>
      <c r="E212" s="92" t="s">
        <v>137</v>
      </c>
      <c r="F212" s="92" t="s">
        <v>21</v>
      </c>
      <c r="G212" s="92" t="s">
        <v>554</v>
      </c>
      <c r="H212" s="139" t="s">
        <v>536</v>
      </c>
      <c r="I212" s="139"/>
      <c r="J212" s="139"/>
      <c r="K212" s="139"/>
      <c r="L212" s="139"/>
    </row>
    <row r="213" spans="1:12" x14ac:dyDescent="0.2">
      <c r="A213" s="69">
        <v>48000</v>
      </c>
      <c r="B213" s="92" t="s">
        <v>552</v>
      </c>
      <c r="C213" s="74">
        <f>CFD!D10*'Initial Estimates'!$C$5*'Final Aircraft Checkouts'!C204</f>
        <v>8426.6322453351841</v>
      </c>
      <c r="D213" s="92" t="s">
        <v>125</v>
      </c>
      <c r="E213" s="92" t="s">
        <v>137</v>
      </c>
      <c r="F213" s="92" t="s">
        <v>21</v>
      </c>
      <c r="G213" s="92" t="s">
        <v>554</v>
      </c>
      <c r="H213" s="139" t="s">
        <v>536</v>
      </c>
      <c r="I213" s="139"/>
      <c r="J213" s="139"/>
      <c r="K213" s="139"/>
      <c r="L213" s="139"/>
    </row>
    <row r="214" spans="1:12" x14ac:dyDescent="0.2">
      <c r="A214" s="69">
        <v>49000</v>
      </c>
      <c r="B214" s="92" t="s">
        <v>552</v>
      </c>
      <c r="C214" s="74">
        <f>CFD!D11*'Initial Estimates'!$C$5*'Final Aircraft Checkouts'!C205</f>
        <v>8298.8504462962574</v>
      </c>
      <c r="D214" s="92" t="s">
        <v>125</v>
      </c>
      <c r="E214" s="92" t="s">
        <v>137</v>
      </c>
      <c r="F214" s="92" t="s">
        <v>21</v>
      </c>
      <c r="G214" s="92" t="s">
        <v>554</v>
      </c>
      <c r="H214" s="139" t="s">
        <v>536</v>
      </c>
      <c r="I214" s="139"/>
      <c r="J214" s="139"/>
      <c r="K214" s="139"/>
      <c r="L214" s="139"/>
    </row>
    <row r="215" spans="1:12" ht="21" x14ac:dyDescent="0.2">
      <c r="A215" s="118" t="s">
        <v>575</v>
      </c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20"/>
    </row>
    <row r="216" spans="1:12" ht="16" x14ac:dyDescent="0.2">
      <c r="A216" s="23" t="s">
        <v>5</v>
      </c>
      <c r="B216" s="23" t="s">
        <v>96</v>
      </c>
      <c r="C216" s="94" t="s">
        <v>7</v>
      </c>
      <c r="D216" s="94" t="s">
        <v>125</v>
      </c>
      <c r="E216" s="94" t="s">
        <v>8</v>
      </c>
      <c r="F216" s="94" t="s">
        <v>9</v>
      </c>
      <c r="G216" s="31" t="s">
        <v>10</v>
      </c>
      <c r="H216" s="122" t="s">
        <v>11</v>
      </c>
      <c r="I216" s="123"/>
      <c r="J216" s="123"/>
      <c r="K216" s="123"/>
      <c r="L216" s="124"/>
    </row>
    <row r="217" spans="1:12" x14ac:dyDescent="0.2">
      <c r="A217" s="92" t="s">
        <v>516</v>
      </c>
      <c r="B217" s="92" t="s">
        <v>474</v>
      </c>
      <c r="C217" s="92">
        <f>C187</f>
        <v>69845</v>
      </c>
      <c r="D217" s="92" t="s">
        <v>125</v>
      </c>
      <c r="E217" s="92" t="s">
        <v>223</v>
      </c>
      <c r="F217" s="92" t="s">
        <v>517</v>
      </c>
      <c r="G217" s="92" t="s">
        <v>518</v>
      </c>
      <c r="H217" s="140" t="s">
        <v>519</v>
      </c>
      <c r="I217" s="140"/>
      <c r="J217" s="140"/>
      <c r="K217" s="140"/>
      <c r="L217" s="140"/>
    </row>
    <row r="218" spans="1:12" x14ac:dyDescent="0.2">
      <c r="A218" s="92" t="s">
        <v>555</v>
      </c>
      <c r="B218" s="92" t="s">
        <v>520</v>
      </c>
      <c r="C218" s="92">
        <f>$C$217/CFD!E3/'Initial Estimates'!$C$5</f>
        <v>8.8603428369144283E-2</v>
      </c>
      <c r="D218" s="92" t="s">
        <v>125</v>
      </c>
      <c r="E218" s="92" t="s">
        <v>137</v>
      </c>
      <c r="F218" s="92" t="s">
        <v>21</v>
      </c>
      <c r="G218" s="92" t="s">
        <v>535</v>
      </c>
      <c r="H218" s="139" t="s">
        <v>536</v>
      </c>
      <c r="I218" s="139"/>
      <c r="J218" s="139"/>
      <c r="K218" s="139"/>
      <c r="L218" s="139"/>
    </row>
    <row r="219" spans="1:12" x14ac:dyDescent="0.2">
      <c r="A219" s="69">
        <v>42000</v>
      </c>
      <c r="B219" s="92" t="s">
        <v>520</v>
      </c>
      <c r="C219" s="92">
        <f>$C$217/CFD!E4/'Initial Estimates'!$C$5</f>
        <v>9.295389655368623E-2</v>
      </c>
      <c r="D219" s="92" t="s">
        <v>125</v>
      </c>
      <c r="E219" s="92" t="s">
        <v>137</v>
      </c>
      <c r="F219" s="92" t="s">
        <v>21</v>
      </c>
      <c r="G219" s="92" t="s">
        <v>535</v>
      </c>
      <c r="H219" s="139" t="s">
        <v>536</v>
      </c>
      <c r="I219" s="139"/>
      <c r="J219" s="139"/>
      <c r="K219" s="139"/>
      <c r="L219" s="139"/>
    </row>
    <row r="220" spans="1:12" x14ac:dyDescent="0.2">
      <c r="A220" s="69">
        <v>43000</v>
      </c>
      <c r="B220" s="92" t="s">
        <v>520</v>
      </c>
      <c r="C220" s="92">
        <f>$C$217/CFD!E5/'Initial Estimates'!$C$5</f>
        <v>9.7503831729992094E-2</v>
      </c>
      <c r="D220" s="92" t="s">
        <v>125</v>
      </c>
      <c r="E220" s="92" t="s">
        <v>137</v>
      </c>
      <c r="F220" s="92" t="s">
        <v>21</v>
      </c>
      <c r="G220" s="92" t="s">
        <v>535</v>
      </c>
      <c r="H220" s="139" t="s">
        <v>536</v>
      </c>
      <c r="I220" s="139"/>
      <c r="J220" s="139"/>
      <c r="K220" s="139"/>
      <c r="L220" s="139"/>
    </row>
    <row r="221" spans="1:12" x14ac:dyDescent="0.2">
      <c r="A221" s="69">
        <v>44000</v>
      </c>
      <c r="B221" s="92" t="s">
        <v>520</v>
      </c>
      <c r="C221" s="92">
        <f>$C$217/CFD!E6/'Initial Estimates'!$C$5</f>
        <v>0.10228954258825937</v>
      </c>
      <c r="D221" s="92" t="s">
        <v>125</v>
      </c>
      <c r="E221" s="92" t="s">
        <v>137</v>
      </c>
      <c r="F221" s="92" t="s">
        <v>21</v>
      </c>
      <c r="G221" s="92" t="s">
        <v>535</v>
      </c>
      <c r="H221" s="139" t="s">
        <v>536</v>
      </c>
      <c r="I221" s="139"/>
      <c r="J221" s="139"/>
      <c r="K221" s="139"/>
      <c r="L221" s="139"/>
    </row>
    <row r="222" spans="1:12" x14ac:dyDescent="0.2">
      <c r="A222" s="69">
        <v>45000</v>
      </c>
      <c r="B222" s="92" t="s">
        <v>520</v>
      </c>
      <c r="C222" s="92">
        <f>$C$217/CFD!E7/'Initial Estimates'!$C$5</f>
        <v>0.10729006965400599</v>
      </c>
      <c r="D222" s="92" t="s">
        <v>125</v>
      </c>
      <c r="E222" s="92" t="s">
        <v>137</v>
      </c>
      <c r="F222" s="92" t="s">
        <v>21</v>
      </c>
      <c r="G222" s="92" t="s">
        <v>535</v>
      </c>
      <c r="H222" s="139" t="s">
        <v>536</v>
      </c>
      <c r="I222" s="139"/>
      <c r="J222" s="139"/>
      <c r="K222" s="139"/>
      <c r="L222" s="139"/>
    </row>
    <row r="223" spans="1:12" x14ac:dyDescent="0.2">
      <c r="A223" s="69">
        <v>46000</v>
      </c>
      <c r="B223" s="92" t="s">
        <v>520</v>
      </c>
      <c r="C223" s="92">
        <f>$C$217/CFD!E8/'Initial Estimates'!$C$5</f>
        <v>0.11254867075345354</v>
      </c>
      <c r="D223" s="92" t="s">
        <v>125</v>
      </c>
      <c r="E223" s="92" t="s">
        <v>137</v>
      </c>
      <c r="F223" s="92" t="s">
        <v>21</v>
      </c>
      <c r="G223" s="92" t="s">
        <v>535</v>
      </c>
      <c r="H223" s="139" t="s">
        <v>536</v>
      </c>
      <c r="I223" s="139"/>
      <c r="J223" s="139"/>
      <c r="K223" s="139"/>
      <c r="L223" s="139"/>
    </row>
    <row r="224" spans="1:12" x14ac:dyDescent="0.2">
      <c r="A224" s="69">
        <v>47000</v>
      </c>
      <c r="B224" s="92" t="s">
        <v>520</v>
      </c>
      <c r="C224" s="92">
        <f>$C$217/CFD!E9/'Initial Estimates'!$C$5</f>
        <v>0.11806760104986186</v>
      </c>
      <c r="D224" s="92" t="s">
        <v>125</v>
      </c>
      <c r="E224" s="92" t="s">
        <v>137</v>
      </c>
      <c r="F224" s="92" t="s">
        <v>21</v>
      </c>
      <c r="G224" s="92" t="s">
        <v>535</v>
      </c>
      <c r="H224" s="139" t="s">
        <v>536</v>
      </c>
      <c r="I224" s="139"/>
      <c r="J224" s="139"/>
      <c r="K224" s="139"/>
      <c r="L224" s="139"/>
    </row>
    <row r="225" spans="1:12" x14ac:dyDescent="0.2">
      <c r="A225" s="69">
        <v>48000</v>
      </c>
      <c r="B225" s="92" t="s">
        <v>520</v>
      </c>
      <c r="C225" s="92">
        <f>$C$217/CFD!E10/'Initial Estimates'!$C$5</f>
        <v>0.12384569088900618</v>
      </c>
      <c r="D225" s="92" t="s">
        <v>125</v>
      </c>
      <c r="E225" s="92" t="s">
        <v>137</v>
      </c>
      <c r="F225" s="92" t="s">
        <v>21</v>
      </c>
      <c r="G225" s="92" t="s">
        <v>535</v>
      </c>
      <c r="H225" s="139" t="s">
        <v>536</v>
      </c>
      <c r="I225" s="139"/>
      <c r="J225" s="139"/>
      <c r="K225" s="139"/>
      <c r="L225" s="139"/>
    </row>
    <row r="226" spans="1:12" x14ac:dyDescent="0.2">
      <c r="A226" s="69">
        <v>49000</v>
      </c>
      <c r="B226" s="92" t="s">
        <v>520</v>
      </c>
      <c r="C226" s="92">
        <f>$C$217/CFD!E11/'Initial Estimates'!$C$5</f>
        <v>0.1299455048494812</v>
      </c>
      <c r="D226" s="92" t="s">
        <v>125</v>
      </c>
      <c r="E226" s="92" t="s">
        <v>137</v>
      </c>
      <c r="F226" s="92" t="s">
        <v>21</v>
      </c>
      <c r="G226" s="92" t="s">
        <v>535</v>
      </c>
      <c r="H226" s="139" t="s">
        <v>536</v>
      </c>
      <c r="I226" s="139"/>
      <c r="J226" s="139"/>
      <c r="K226" s="139"/>
      <c r="L226" s="139"/>
    </row>
    <row r="227" spans="1:12" x14ac:dyDescent="0.2">
      <c r="A227" s="92" t="s">
        <v>556</v>
      </c>
      <c r="B227" s="92" t="s">
        <v>549</v>
      </c>
      <c r="C227" s="74">
        <f xml:space="preserve"> ABS((C218-CFD!$B$25)/(CFD!$B$26-CFD!$B$25)*(CFD!$E$26-CFD!$E$25) + CFD!$E$25)</f>
        <v>1.3268194962425577E-2</v>
      </c>
      <c r="D227" s="92" t="s">
        <v>125</v>
      </c>
      <c r="E227" s="92" t="s">
        <v>137</v>
      </c>
      <c r="F227" s="92" t="s">
        <v>21</v>
      </c>
      <c r="G227" s="92" t="s">
        <v>550</v>
      </c>
      <c r="H227" s="139" t="s">
        <v>526</v>
      </c>
      <c r="I227" s="139"/>
      <c r="J227" s="139"/>
      <c r="K227" s="139"/>
      <c r="L227" s="139"/>
    </row>
    <row r="228" spans="1:12" x14ac:dyDescent="0.2">
      <c r="A228" s="69">
        <v>42000</v>
      </c>
      <c r="B228" s="92" t="s">
        <v>549</v>
      </c>
      <c r="C228" s="74">
        <f xml:space="preserve"> ABS((C219-CFD!$B$25)/(CFD!$B$26-CFD!$B$25)*(CFD!$E$26-CFD!$E$25) + CFD!$E$25)</f>
        <v>1.3482917641061767E-2</v>
      </c>
      <c r="D228" s="92" t="s">
        <v>125</v>
      </c>
      <c r="E228" s="92" t="s">
        <v>137</v>
      </c>
      <c r="F228" s="92" t="s">
        <v>21</v>
      </c>
      <c r="G228" s="92" t="s">
        <v>550</v>
      </c>
      <c r="H228" s="139" t="s">
        <v>526</v>
      </c>
      <c r="I228" s="139"/>
      <c r="J228" s="139"/>
      <c r="K228" s="139"/>
      <c r="L228" s="139"/>
    </row>
    <row r="229" spans="1:12" x14ac:dyDescent="0.2">
      <c r="A229" s="69">
        <v>43000</v>
      </c>
      <c r="B229" s="92" t="s">
        <v>549</v>
      </c>
      <c r="C229" s="74">
        <f xml:space="preserve"> ABS((C220-CFD!$B$25)/(CFD!$B$26-CFD!$B$25)*(CFD!$E$26-CFD!$E$25) + CFD!$E$25)</f>
        <v>1.3707485257059695E-2</v>
      </c>
      <c r="D229" s="92" t="s">
        <v>125</v>
      </c>
      <c r="E229" s="92" t="s">
        <v>137</v>
      </c>
      <c r="F229" s="92" t="s">
        <v>21</v>
      </c>
      <c r="G229" s="92" t="s">
        <v>550</v>
      </c>
      <c r="H229" s="139" t="s">
        <v>526</v>
      </c>
      <c r="I229" s="139"/>
      <c r="J229" s="139"/>
      <c r="K229" s="139"/>
      <c r="L229" s="139"/>
    </row>
    <row r="230" spans="1:12" x14ac:dyDescent="0.2">
      <c r="A230" s="69">
        <v>44000</v>
      </c>
      <c r="B230" s="92" t="s">
        <v>549</v>
      </c>
      <c r="C230" s="74">
        <f xml:space="preserve"> ABS((C221-CFD!$B$25)/(CFD!$B$26-CFD!$B$25)*(CFD!$E$26-CFD!$E$25) + CFD!$E$25)</f>
        <v>1.3943689870235977E-2</v>
      </c>
      <c r="D230" s="92" t="s">
        <v>125</v>
      </c>
      <c r="E230" s="92" t="s">
        <v>137</v>
      </c>
      <c r="F230" s="92" t="s">
        <v>21</v>
      </c>
      <c r="G230" s="92" t="s">
        <v>550</v>
      </c>
      <c r="H230" s="139" t="s">
        <v>526</v>
      </c>
      <c r="I230" s="139"/>
      <c r="J230" s="139"/>
      <c r="K230" s="139"/>
      <c r="L230" s="139"/>
    </row>
    <row r="231" spans="1:12" x14ac:dyDescent="0.2">
      <c r="A231" s="69">
        <v>45000</v>
      </c>
      <c r="B231" s="92" t="s">
        <v>549</v>
      </c>
      <c r="C231" s="74">
        <f xml:space="preserve"> ABS((C222-CFD!$B$25)/(CFD!$B$26-CFD!$B$25)*(CFD!$E$26-CFD!$E$25) + CFD!$E$25)</f>
        <v>1.4190497000090424E-2</v>
      </c>
      <c r="D231" s="92" t="s">
        <v>125</v>
      </c>
      <c r="E231" s="92" t="s">
        <v>137</v>
      </c>
      <c r="F231" s="92" t="s">
        <v>21</v>
      </c>
      <c r="G231" s="92" t="s">
        <v>550</v>
      </c>
      <c r="H231" s="139" t="s">
        <v>526</v>
      </c>
      <c r="I231" s="139"/>
      <c r="J231" s="139"/>
      <c r="K231" s="139"/>
      <c r="L231" s="139"/>
    </row>
    <row r="232" spans="1:12" x14ac:dyDescent="0.2">
      <c r="A232" s="69">
        <v>46000</v>
      </c>
      <c r="B232" s="92" t="s">
        <v>549</v>
      </c>
      <c r="C232" s="74">
        <f xml:space="preserve"> ABS((C223-CFD!$B$25)/(CFD!$B$26-CFD!$B$25)*(CFD!$E$26-CFD!$E$25) + CFD!$E$25)</f>
        <v>1.4450041689548136E-2</v>
      </c>
      <c r="D232" s="92" t="s">
        <v>125</v>
      </c>
      <c r="E232" s="92" t="s">
        <v>137</v>
      </c>
      <c r="F232" s="92" t="s">
        <v>21</v>
      </c>
      <c r="G232" s="92" t="s">
        <v>550</v>
      </c>
      <c r="H232" s="139" t="s">
        <v>526</v>
      </c>
      <c r="I232" s="139"/>
      <c r="J232" s="139"/>
      <c r="K232" s="139"/>
      <c r="L232" s="139"/>
    </row>
    <row r="233" spans="1:12" x14ac:dyDescent="0.2">
      <c r="A233" s="69">
        <v>47000</v>
      </c>
      <c r="B233" s="92" t="s">
        <v>549</v>
      </c>
      <c r="C233" s="74">
        <f xml:space="preserve"> ABS((C224-CFD!$B$25)/(CFD!$B$26-CFD!$B$25)*(CFD!$E$26-CFD!$E$25) + CFD!$E$25)</f>
        <v>1.4722435244950264E-2</v>
      </c>
      <c r="D233" s="92" t="s">
        <v>125</v>
      </c>
      <c r="E233" s="92" t="s">
        <v>137</v>
      </c>
      <c r="F233" s="92" t="s">
        <v>21</v>
      </c>
      <c r="G233" s="92" t="s">
        <v>550</v>
      </c>
      <c r="H233" s="139" t="s">
        <v>526</v>
      </c>
      <c r="I233" s="139"/>
      <c r="J233" s="139"/>
      <c r="K233" s="139"/>
      <c r="L233" s="139"/>
    </row>
    <row r="234" spans="1:12" x14ac:dyDescent="0.2">
      <c r="A234" s="69">
        <v>48000</v>
      </c>
      <c r="B234" s="92" t="s">
        <v>549</v>
      </c>
      <c r="C234" s="74">
        <f xml:space="preserve"> ABS((C225-CFD!$B$25)/(CFD!$B$26-CFD!$B$25)*(CFD!$E$26-CFD!$E$25) + CFD!$E$25)</f>
        <v>1.500761993658185E-2</v>
      </c>
      <c r="D234" s="92" t="s">
        <v>125</v>
      </c>
      <c r="E234" s="92" t="s">
        <v>137</v>
      </c>
      <c r="F234" s="92" t="s">
        <v>21</v>
      </c>
      <c r="G234" s="92" t="s">
        <v>550</v>
      </c>
      <c r="H234" s="139" t="s">
        <v>526</v>
      </c>
      <c r="I234" s="139"/>
      <c r="J234" s="139"/>
      <c r="K234" s="139"/>
      <c r="L234" s="139"/>
    </row>
    <row r="235" spans="1:12" x14ac:dyDescent="0.2">
      <c r="A235" s="69">
        <v>49000</v>
      </c>
      <c r="B235" s="92" t="s">
        <v>549</v>
      </c>
      <c r="C235" s="74">
        <f xml:space="preserve"> ABS((C226-CFD!$B$25)/(CFD!$B$26-CFD!$B$25)*(CFD!$E$26-CFD!$E$25) + CFD!$E$25)</f>
        <v>1.5308683715746927E-2</v>
      </c>
      <c r="D235" s="92" t="s">
        <v>125</v>
      </c>
      <c r="E235" s="92" t="s">
        <v>137</v>
      </c>
      <c r="F235" s="92" t="s">
        <v>21</v>
      </c>
      <c r="G235" s="92" t="s">
        <v>550</v>
      </c>
      <c r="H235" s="139" t="s">
        <v>526</v>
      </c>
      <c r="I235" s="139"/>
      <c r="J235" s="139"/>
      <c r="K235" s="139"/>
      <c r="L235" s="139"/>
    </row>
    <row r="236" spans="1:12" x14ac:dyDescent="0.2">
      <c r="A236" s="92" t="s">
        <v>553</v>
      </c>
      <c r="B236" s="92" t="s">
        <v>552</v>
      </c>
      <c r="C236" s="74">
        <f>CFD!E3*'Initial Estimates'!$C$5*'Final Aircraft Checkouts'!C227</f>
        <v>10459.155974074465</v>
      </c>
      <c r="D236" s="92" t="s">
        <v>125</v>
      </c>
      <c r="E236" s="92" t="s">
        <v>137</v>
      </c>
      <c r="F236" s="92" t="s">
        <v>21</v>
      </c>
      <c r="G236" s="92" t="s">
        <v>554</v>
      </c>
      <c r="H236" s="139" t="s">
        <v>536</v>
      </c>
      <c r="I236" s="139"/>
      <c r="J236" s="139"/>
      <c r="K236" s="139"/>
      <c r="L236" s="139"/>
    </row>
    <row r="237" spans="1:12" x14ac:dyDescent="0.2">
      <c r="A237" s="69">
        <v>42000</v>
      </c>
      <c r="B237" s="92" t="s">
        <v>552</v>
      </c>
      <c r="C237" s="74">
        <f>CFD!E4*'Initial Estimates'!$C$5*'Final Aircraft Checkouts'!C228</f>
        <v>10130.983396656909</v>
      </c>
      <c r="D237" s="92" t="s">
        <v>125</v>
      </c>
      <c r="E237" s="92" t="s">
        <v>137</v>
      </c>
      <c r="F237" s="92" t="s">
        <v>21</v>
      </c>
      <c r="G237" s="92" t="s">
        <v>554</v>
      </c>
      <c r="H237" s="139" t="s">
        <v>536</v>
      </c>
      <c r="I237" s="139"/>
      <c r="J237" s="139"/>
      <c r="K237" s="139"/>
      <c r="L237" s="139"/>
    </row>
    <row r="238" spans="1:12" x14ac:dyDescent="0.2">
      <c r="A238" s="69">
        <v>43000</v>
      </c>
      <c r="B238" s="92" t="s">
        <v>552</v>
      </c>
      <c r="C238" s="74">
        <f>CFD!E5*'Initial Estimates'!$C$5*'Final Aircraft Checkouts'!C229</f>
        <v>9819.0941914012928</v>
      </c>
      <c r="D238" s="92" t="s">
        <v>125</v>
      </c>
      <c r="E238" s="92" t="s">
        <v>137</v>
      </c>
      <c r="F238" s="92" t="s">
        <v>21</v>
      </c>
      <c r="G238" s="92" t="s">
        <v>554</v>
      </c>
      <c r="H238" s="139" t="s">
        <v>536</v>
      </c>
      <c r="I238" s="139"/>
      <c r="J238" s="139"/>
      <c r="K238" s="139"/>
      <c r="L238" s="139"/>
    </row>
    <row r="239" spans="1:12" x14ac:dyDescent="0.2">
      <c r="A239" s="69">
        <v>44000</v>
      </c>
      <c r="B239" s="92" t="s">
        <v>552</v>
      </c>
      <c r="C239" s="74">
        <f>CFD!E6*'Initial Estimates'!$C$5*'Final Aircraft Checkouts'!C230</f>
        <v>9520.9832241288586</v>
      </c>
      <c r="D239" s="92" t="s">
        <v>125</v>
      </c>
      <c r="E239" s="92" t="s">
        <v>137</v>
      </c>
      <c r="F239" s="92" t="s">
        <v>21</v>
      </c>
      <c r="G239" s="92" t="s">
        <v>554</v>
      </c>
      <c r="H239" s="139" t="s">
        <v>536</v>
      </c>
      <c r="I239" s="139"/>
      <c r="J239" s="139"/>
      <c r="K239" s="139"/>
      <c r="L239" s="139"/>
    </row>
    <row r="240" spans="1:12" x14ac:dyDescent="0.2">
      <c r="A240" s="69">
        <v>45000</v>
      </c>
      <c r="B240" s="92" t="s">
        <v>552</v>
      </c>
      <c r="C240" s="74">
        <f>CFD!E7*'Initial Estimates'!$C$5*'Final Aircraft Checkouts'!C231</f>
        <v>9237.9030619289824</v>
      </c>
      <c r="D240" s="92" t="s">
        <v>125</v>
      </c>
      <c r="E240" s="92" t="s">
        <v>137</v>
      </c>
      <c r="F240" s="92" t="s">
        <v>21</v>
      </c>
      <c r="G240" s="92" t="s">
        <v>554</v>
      </c>
      <c r="H240" s="139" t="s">
        <v>536</v>
      </c>
      <c r="I240" s="139"/>
      <c r="J240" s="139"/>
      <c r="K240" s="139"/>
      <c r="L240" s="139"/>
    </row>
    <row r="241" spans="1:12" x14ac:dyDescent="0.2">
      <c r="A241" s="69">
        <v>46000</v>
      </c>
      <c r="B241" s="92" t="s">
        <v>552</v>
      </c>
      <c r="C241" s="74">
        <f>CFD!E8*'Initial Estimates'!$C$5*'Final Aircraft Checkouts'!C232</f>
        <v>8967.3485706229058</v>
      </c>
      <c r="D241" s="92" t="s">
        <v>125</v>
      </c>
      <c r="E241" s="92" t="s">
        <v>137</v>
      </c>
      <c r="F241" s="92" t="s">
        <v>21</v>
      </c>
      <c r="G241" s="92" t="s">
        <v>554</v>
      </c>
      <c r="H241" s="139" t="s">
        <v>536</v>
      </c>
      <c r="I241" s="139"/>
      <c r="J241" s="139"/>
      <c r="K241" s="139"/>
      <c r="L241" s="139"/>
    </row>
    <row r="242" spans="1:12" x14ac:dyDescent="0.2">
      <c r="A242" s="69">
        <v>47000</v>
      </c>
      <c r="B242" s="92" t="s">
        <v>552</v>
      </c>
      <c r="C242" s="74">
        <f>CFD!E9*'Initial Estimates'!$C$5*'Final Aircraft Checkouts'!C233</f>
        <v>8709.3197502106304</v>
      </c>
      <c r="D242" s="92" t="s">
        <v>125</v>
      </c>
      <c r="E242" s="92" t="s">
        <v>137</v>
      </c>
      <c r="F242" s="92" t="s">
        <v>21</v>
      </c>
      <c r="G242" s="92" t="s">
        <v>554</v>
      </c>
      <c r="H242" s="139" t="s">
        <v>536</v>
      </c>
      <c r="I242" s="139"/>
      <c r="J242" s="139"/>
      <c r="K242" s="139"/>
      <c r="L242" s="139"/>
    </row>
    <row r="243" spans="1:12" x14ac:dyDescent="0.2">
      <c r="A243" s="69">
        <v>48000</v>
      </c>
      <c r="B243" s="92" t="s">
        <v>552</v>
      </c>
      <c r="C243" s="74">
        <f>CFD!E10*'Initial Estimates'!$C$5*'Final Aircraft Checkouts'!C234</f>
        <v>8463.816600692151</v>
      </c>
      <c r="D243" s="92" t="s">
        <v>125</v>
      </c>
      <c r="E243" s="92" t="s">
        <v>137</v>
      </c>
      <c r="F243" s="92" t="s">
        <v>21</v>
      </c>
      <c r="G243" s="92" t="s">
        <v>554</v>
      </c>
      <c r="H243" s="139" t="s">
        <v>536</v>
      </c>
      <c r="I243" s="139"/>
      <c r="J243" s="139"/>
      <c r="K243" s="139"/>
      <c r="L243" s="139"/>
    </row>
    <row r="244" spans="1:12" x14ac:dyDescent="0.2">
      <c r="A244" s="69">
        <v>49000</v>
      </c>
      <c r="B244" s="92" t="s">
        <v>552</v>
      </c>
      <c r="C244" s="74">
        <f>CFD!E11*'Initial Estimates'!$C$5*'Final Aircraft Checkouts'!C235</f>
        <v>8228.3339878887164</v>
      </c>
      <c r="D244" s="92" t="s">
        <v>125</v>
      </c>
      <c r="E244" s="92" t="s">
        <v>137</v>
      </c>
      <c r="F244" s="92" t="s">
        <v>21</v>
      </c>
      <c r="G244" s="92" t="s">
        <v>554</v>
      </c>
      <c r="H244" s="139" t="s">
        <v>536</v>
      </c>
      <c r="I244" s="139"/>
      <c r="J244" s="139"/>
      <c r="K244" s="139"/>
      <c r="L244" s="139"/>
    </row>
    <row r="245" spans="1:12" ht="21" x14ac:dyDescent="0.2">
      <c r="A245" s="118" t="s">
        <v>576</v>
      </c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20"/>
    </row>
    <row r="246" spans="1:12" ht="16" x14ac:dyDescent="0.2">
      <c r="A246" s="23" t="s">
        <v>5</v>
      </c>
      <c r="B246" s="23" t="s">
        <v>96</v>
      </c>
      <c r="C246" s="94" t="s">
        <v>7</v>
      </c>
      <c r="D246" s="94" t="s">
        <v>125</v>
      </c>
      <c r="E246" s="94" t="s">
        <v>8</v>
      </c>
      <c r="F246" s="94" t="s">
        <v>9</v>
      </c>
      <c r="G246" s="31" t="s">
        <v>10</v>
      </c>
      <c r="H246" s="122" t="s">
        <v>11</v>
      </c>
      <c r="I246" s="123"/>
      <c r="J246" s="123"/>
      <c r="K246" s="123"/>
      <c r="L246" s="124"/>
    </row>
    <row r="247" spans="1:12" x14ac:dyDescent="0.2">
      <c r="A247" s="92" t="s">
        <v>516</v>
      </c>
      <c r="B247" s="92" t="s">
        <v>474</v>
      </c>
      <c r="C247" s="92">
        <f>C187</f>
        <v>69845</v>
      </c>
      <c r="D247" s="92" t="s">
        <v>125</v>
      </c>
      <c r="E247" s="92" t="s">
        <v>223</v>
      </c>
      <c r="F247" s="92" t="s">
        <v>517</v>
      </c>
      <c r="G247" s="92" t="s">
        <v>518</v>
      </c>
      <c r="H247" s="140" t="s">
        <v>519</v>
      </c>
      <c r="I247" s="140"/>
      <c r="J247" s="140"/>
      <c r="K247" s="140"/>
      <c r="L247" s="140"/>
    </row>
    <row r="248" spans="1:12" x14ac:dyDescent="0.2">
      <c r="A248" s="92" t="s">
        <v>555</v>
      </c>
      <c r="B248" s="92" t="s">
        <v>520</v>
      </c>
      <c r="C248" s="74">
        <f>$C$247/CFD!F3/'Initial Estimates'!$C$5</f>
        <v>7.9032070366304621E-2</v>
      </c>
      <c r="D248" s="92" t="s">
        <v>125</v>
      </c>
      <c r="E248" s="92" t="s">
        <v>137</v>
      </c>
      <c r="F248" s="92" t="s">
        <v>21</v>
      </c>
      <c r="G248" s="92" t="s">
        <v>535</v>
      </c>
      <c r="H248" s="139" t="s">
        <v>536</v>
      </c>
      <c r="I248" s="139"/>
      <c r="J248" s="139"/>
      <c r="K248" s="139"/>
      <c r="L248" s="139"/>
    </row>
    <row r="249" spans="1:12" x14ac:dyDescent="0.2">
      <c r="A249" s="69">
        <v>42000</v>
      </c>
      <c r="B249" s="92" t="s">
        <v>520</v>
      </c>
      <c r="C249" s="74">
        <f>$C$247/CFD!F4/'Initial Estimates'!$C$5</f>
        <v>8.2912580567948493E-2</v>
      </c>
      <c r="D249" s="92" t="s">
        <v>125</v>
      </c>
      <c r="E249" s="92" t="s">
        <v>137</v>
      </c>
      <c r="F249" s="92" t="s">
        <v>21</v>
      </c>
      <c r="G249" s="92" t="s">
        <v>535</v>
      </c>
      <c r="H249" s="139" t="s">
        <v>536</v>
      </c>
      <c r="I249" s="139"/>
      <c r="J249" s="139"/>
      <c r="K249" s="139"/>
      <c r="L249" s="139"/>
    </row>
    <row r="250" spans="1:12" x14ac:dyDescent="0.2">
      <c r="A250" s="69">
        <v>43000</v>
      </c>
      <c r="B250" s="92" t="s">
        <v>520</v>
      </c>
      <c r="C250" s="74">
        <f>$C$247/CFD!F5/'Initial Estimates'!$C$5</f>
        <v>8.6971010401134904E-2</v>
      </c>
      <c r="D250" s="92" t="s">
        <v>125</v>
      </c>
      <c r="E250" s="92" t="s">
        <v>137</v>
      </c>
      <c r="F250" s="92" t="s">
        <v>21</v>
      </c>
      <c r="G250" s="92" t="s">
        <v>535</v>
      </c>
      <c r="H250" s="139" t="s">
        <v>536</v>
      </c>
      <c r="I250" s="139"/>
      <c r="J250" s="139"/>
      <c r="K250" s="139"/>
      <c r="L250" s="139"/>
    </row>
    <row r="251" spans="1:12" x14ac:dyDescent="0.2">
      <c r="A251" s="69">
        <v>44000</v>
      </c>
      <c r="B251" s="92" t="s">
        <v>520</v>
      </c>
      <c r="C251" s="74">
        <f>$C$247/CFD!F6/'Initial Estimates'!$C$5</f>
        <v>9.1239746321009105E-2</v>
      </c>
      <c r="D251" s="92" t="s">
        <v>125</v>
      </c>
      <c r="E251" s="92" t="s">
        <v>137</v>
      </c>
      <c r="F251" s="92" t="s">
        <v>21</v>
      </c>
      <c r="G251" s="92" t="s">
        <v>535</v>
      </c>
      <c r="H251" s="139" t="s">
        <v>536</v>
      </c>
      <c r="I251" s="139"/>
      <c r="J251" s="139"/>
      <c r="K251" s="139"/>
      <c r="L251" s="139"/>
    </row>
    <row r="252" spans="1:12" x14ac:dyDescent="0.2">
      <c r="A252" s="69">
        <v>45000</v>
      </c>
      <c r="B252" s="92" t="s">
        <v>520</v>
      </c>
      <c r="C252" s="74">
        <f>$C$247/CFD!F7/'Initial Estimates'!$C$5</f>
        <v>9.5700092993851002E-2</v>
      </c>
      <c r="D252" s="92" t="s">
        <v>125</v>
      </c>
      <c r="E252" s="92" t="s">
        <v>137</v>
      </c>
      <c r="F252" s="92" t="s">
        <v>21</v>
      </c>
      <c r="G252" s="92" t="s">
        <v>535</v>
      </c>
      <c r="H252" s="139" t="s">
        <v>536</v>
      </c>
      <c r="I252" s="139"/>
      <c r="J252" s="139"/>
      <c r="K252" s="139"/>
      <c r="L252" s="139"/>
    </row>
    <row r="253" spans="1:12" x14ac:dyDescent="0.2">
      <c r="A253" s="69">
        <v>46000</v>
      </c>
      <c r="B253" s="92" t="s">
        <v>520</v>
      </c>
      <c r="C253" s="74">
        <f>$C$247/CFD!F8/'Initial Estimates'!$C$5</f>
        <v>0.10039063533255575</v>
      </c>
      <c r="D253" s="92" t="s">
        <v>125</v>
      </c>
      <c r="E253" s="92" t="s">
        <v>137</v>
      </c>
      <c r="F253" s="92" t="s">
        <v>21</v>
      </c>
      <c r="G253" s="92" t="s">
        <v>535</v>
      </c>
      <c r="H253" s="139" t="s">
        <v>536</v>
      </c>
      <c r="I253" s="139"/>
      <c r="J253" s="139"/>
      <c r="K253" s="139"/>
      <c r="L253" s="139"/>
    </row>
    <row r="254" spans="1:12" x14ac:dyDescent="0.2">
      <c r="A254" s="69">
        <v>47000</v>
      </c>
      <c r="B254" s="92" t="s">
        <v>520</v>
      </c>
      <c r="C254" s="74">
        <f>$C$247/CFD!F9/'Initial Estimates'!$C$5</f>
        <v>0.10531338488706812</v>
      </c>
      <c r="D254" s="92" t="s">
        <v>125</v>
      </c>
      <c r="E254" s="92" t="s">
        <v>137</v>
      </c>
      <c r="F254" s="92" t="s">
        <v>21</v>
      </c>
      <c r="G254" s="92" t="s">
        <v>535</v>
      </c>
      <c r="H254" s="139" t="s">
        <v>536</v>
      </c>
      <c r="I254" s="139"/>
      <c r="J254" s="139"/>
      <c r="K254" s="139"/>
      <c r="L254" s="139"/>
    </row>
    <row r="255" spans="1:12" x14ac:dyDescent="0.2">
      <c r="A255" s="69">
        <v>48000</v>
      </c>
      <c r="B255" s="92" t="s">
        <v>520</v>
      </c>
      <c r="C255" s="74">
        <f>$C$247/CFD!F10/'Initial Estimates'!$C$5</f>
        <v>0.11046729835469993</v>
      </c>
      <c r="D255" s="92" t="s">
        <v>125</v>
      </c>
      <c r="E255" s="92" t="s">
        <v>137</v>
      </c>
      <c r="F255" s="92" t="s">
        <v>21</v>
      </c>
      <c r="G255" s="92" t="s">
        <v>535</v>
      </c>
      <c r="H255" s="139" t="s">
        <v>536</v>
      </c>
      <c r="I255" s="139"/>
      <c r="J255" s="139"/>
      <c r="K255" s="139"/>
      <c r="L255" s="139"/>
    </row>
    <row r="256" spans="1:12" x14ac:dyDescent="0.2">
      <c r="A256" s="69">
        <v>49000</v>
      </c>
      <c r="B256" s="92" t="s">
        <v>520</v>
      </c>
      <c r="C256" s="74">
        <f>$C$247/CFD!F11/'Initial Estimates'!$C$5</f>
        <v>0.11590818179475326</v>
      </c>
      <c r="D256" s="92" t="s">
        <v>125</v>
      </c>
      <c r="E256" s="92" t="s">
        <v>137</v>
      </c>
      <c r="F256" s="92" t="s">
        <v>21</v>
      </c>
      <c r="G256" s="92" t="s">
        <v>535</v>
      </c>
      <c r="H256" s="139" t="s">
        <v>536</v>
      </c>
      <c r="I256" s="139"/>
      <c r="J256" s="139"/>
      <c r="K256" s="139"/>
      <c r="L256" s="139"/>
    </row>
    <row r="257" spans="1:12" x14ac:dyDescent="0.2">
      <c r="A257" s="92" t="s">
        <v>556</v>
      </c>
      <c r="B257" s="92" t="s">
        <v>549</v>
      </c>
      <c r="C257" s="74">
        <f xml:space="preserve"> ABS((C248-CFD!$B$33)/(CFD!$B$34-CFD!$B$33)*(CFD!$E$34-CFD!$E$33) + CFD!$E$33)</f>
        <v>1.2612977881277958E-2</v>
      </c>
      <c r="D257" s="92" t="s">
        <v>125</v>
      </c>
      <c r="E257" s="92" t="s">
        <v>137</v>
      </c>
      <c r="F257" s="92" t="s">
        <v>21</v>
      </c>
      <c r="G257" s="92" t="s">
        <v>550</v>
      </c>
      <c r="H257" s="139" t="s">
        <v>526</v>
      </c>
      <c r="I257" s="139"/>
      <c r="J257" s="139"/>
      <c r="K257" s="139"/>
      <c r="L257" s="139"/>
    </row>
    <row r="258" spans="1:12" x14ac:dyDescent="0.2">
      <c r="A258" s="69">
        <v>42000</v>
      </c>
      <c r="B258" s="92" t="s">
        <v>549</v>
      </c>
      <c r="C258" s="74">
        <f xml:space="preserve"> ABS((C249-CFD!$B$33)/(CFD!$B$34-CFD!$B$33)*(CFD!$E$34-CFD!$E$33) + CFD!$E$33)</f>
        <v>1.2939375935621835E-2</v>
      </c>
      <c r="D258" s="92" t="s">
        <v>125</v>
      </c>
      <c r="E258" s="92" t="s">
        <v>137</v>
      </c>
      <c r="F258" s="92" t="s">
        <v>21</v>
      </c>
      <c r="G258" s="92" t="s">
        <v>550</v>
      </c>
      <c r="H258" s="139" t="s">
        <v>526</v>
      </c>
      <c r="I258" s="139"/>
      <c r="J258" s="139"/>
      <c r="K258" s="139"/>
      <c r="L258" s="139"/>
    </row>
    <row r="259" spans="1:12" x14ac:dyDescent="0.2">
      <c r="A259" s="69">
        <v>43000</v>
      </c>
      <c r="B259" s="92" t="s">
        <v>549</v>
      </c>
      <c r="C259" s="74">
        <f xml:space="preserve"> ABS((C250-CFD!$B$33)/(CFD!$B$34-CFD!$B$33)*(CFD!$E$34-CFD!$E$33) + CFD!$E$33)</f>
        <v>1.3280739192618823E-2</v>
      </c>
      <c r="D259" s="92" t="s">
        <v>125</v>
      </c>
      <c r="E259" s="92" t="s">
        <v>137</v>
      </c>
      <c r="F259" s="92" t="s">
        <v>21</v>
      </c>
      <c r="G259" s="92" t="s">
        <v>550</v>
      </c>
      <c r="H259" s="139" t="s">
        <v>526</v>
      </c>
      <c r="I259" s="139"/>
      <c r="J259" s="139"/>
      <c r="K259" s="139"/>
      <c r="L259" s="139"/>
    </row>
    <row r="260" spans="1:12" x14ac:dyDescent="0.2">
      <c r="A260" s="69">
        <v>44000</v>
      </c>
      <c r="B260" s="92" t="s">
        <v>549</v>
      </c>
      <c r="C260" s="74">
        <f xml:space="preserve"> ABS((C251-CFD!$B$33)/(CFD!$B$34-CFD!$B$33)*(CFD!$E$34-CFD!$E$33) + CFD!$E$33)</f>
        <v>1.3639791746626934E-2</v>
      </c>
      <c r="D260" s="92" t="s">
        <v>125</v>
      </c>
      <c r="E260" s="92" t="s">
        <v>137</v>
      </c>
      <c r="F260" s="92" t="s">
        <v>21</v>
      </c>
      <c r="G260" s="92" t="s">
        <v>550</v>
      </c>
      <c r="H260" s="139" t="s">
        <v>526</v>
      </c>
      <c r="I260" s="139"/>
      <c r="J260" s="139"/>
      <c r="K260" s="139"/>
      <c r="L260" s="139"/>
    </row>
    <row r="261" spans="1:12" x14ac:dyDescent="0.2">
      <c r="A261" s="69">
        <v>45000</v>
      </c>
      <c r="B261" s="92" t="s">
        <v>549</v>
      </c>
      <c r="C261" s="74">
        <f xml:space="preserve"> ABS((C252-CFD!$B$33)/(CFD!$B$34-CFD!$B$33)*(CFD!$E$34-CFD!$E$33) + CFD!$E$33)</f>
        <v>1.4014961092940738E-2</v>
      </c>
      <c r="D261" s="92" t="s">
        <v>125</v>
      </c>
      <c r="E261" s="92" t="s">
        <v>137</v>
      </c>
      <c r="F261" s="92" t="s">
        <v>21</v>
      </c>
      <c r="G261" s="92" t="s">
        <v>550</v>
      </c>
      <c r="H261" s="139" t="s">
        <v>526</v>
      </c>
      <c r="I261" s="139"/>
      <c r="J261" s="139"/>
      <c r="K261" s="139"/>
      <c r="L261" s="139"/>
    </row>
    <row r="262" spans="1:12" x14ac:dyDescent="0.2">
      <c r="A262" s="69">
        <v>46000</v>
      </c>
      <c r="B262" s="92" t="s">
        <v>549</v>
      </c>
      <c r="C262" s="74">
        <f xml:space="preserve"> ABS((C253-CFD!$B$33)/(CFD!$B$34-CFD!$B$33)*(CFD!$E$34-CFD!$E$33) + CFD!$E$33)</f>
        <v>1.440949269152338E-2</v>
      </c>
      <c r="D262" s="92" t="s">
        <v>125</v>
      </c>
      <c r="E262" s="92" t="s">
        <v>137</v>
      </c>
      <c r="F262" s="92" t="s">
        <v>21</v>
      </c>
      <c r="G262" s="92" t="s">
        <v>550</v>
      </c>
      <c r="H262" s="139" t="s">
        <v>526</v>
      </c>
      <c r="I262" s="139"/>
      <c r="J262" s="139"/>
      <c r="K262" s="139"/>
      <c r="L262" s="139"/>
    </row>
    <row r="263" spans="1:12" x14ac:dyDescent="0.2">
      <c r="A263" s="69">
        <v>47000</v>
      </c>
      <c r="B263" s="92" t="s">
        <v>549</v>
      </c>
      <c r="C263" s="74">
        <f xml:space="preserve"> ABS((C254-CFD!$B$33)/(CFD!$B$34-CFD!$B$33)*(CFD!$E$34-CFD!$E$33) + CFD!$E$33)</f>
        <v>1.4823555738164608E-2</v>
      </c>
      <c r="D263" s="92" t="s">
        <v>125</v>
      </c>
      <c r="E263" s="92" t="s">
        <v>137</v>
      </c>
      <c r="F263" s="92" t="s">
        <v>21</v>
      </c>
      <c r="G263" s="92" t="s">
        <v>550</v>
      </c>
      <c r="H263" s="139" t="s">
        <v>526</v>
      </c>
      <c r="I263" s="139"/>
      <c r="J263" s="139"/>
      <c r="K263" s="139"/>
      <c r="L263" s="139"/>
    </row>
    <row r="264" spans="1:12" x14ac:dyDescent="0.2">
      <c r="A264" s="69">
        <v>48000</v>
      </c>
      <c r="B264" s="92" t="s">
        <v>549</v>
      </c>
      <c r="C264" s="74">
        <f xml:space="preserve"> ABS((C255-CFD!$B$33)/(CFD!$B$34-CFD!$B$33)*(CFD!$E$34-CFD!$E$33) + CFD!$E$33)</f>
        <v>1.5257062478432703E-2</v>
      </c>
      <c r="D264" s="92" t="s">
        <v>125</v>
      </c>
      <c r="E264" s="92" t="s">
        <v>137</v>
      </c>
      <c r="F264" s="92" t="s">
        <v>21</v>
      </c>
      <c r="G264" s="92" t="s">
        <v>550</v>
      </c>
      <c r="H264" s="139" t="s">
        <v>526</v>
      </c>
      <c r="I264" s="139"/>
      <c r="J264" s="139"/>
      <c r="K264" s="139"/>
      <c r="L264" s="139"/>
    </row>
    <row r="265" spans="1:12" x14ac:dyDescent="0.2">
      <c r="A265" s="69">
        <v>49000</v>
      </c>
      <c r="B265" s="92" t="s">
        <v>549</v>
      </c>
      <c r="C265" s="74">
        <f xml:space="preserve"> ABS((C256-CFD!$B$33)/(CFD!$B$34-CFD!$B$33)*(CFD!$E$34-CFD!$E$33) + CFD!$E$33)</f>
        <v>1.5714706879932518E-2</v>
      </c>
      <c r="D265" s="92" t="s">
        <v>125</v>
      </c>
      <c r="E265" s="92" t="s">
        <v>137</v>
      </c>
      <c r="F265" s="92" t="s">
        <v>21</v>
      </c>
      <c r="G265" s="92" t="s">
        <v>550</v>
      </c>
      <c r="H265" s="139" t="s">
        <v>526</v>
      </c>
      <c r="I265" s="139"/>
      <c r="J265" s="139"/>
      <c r="K265" s="139"/>
      <c r="L265" s="139"/>
    </row>
    <row r="266" spans="1:12" x14ac:dyDescent="0.2">
      <c r="A266" s="92" t="s">
        <v>553</v>
      </c>
      <c r="B266" s="92" t="s">
        <v>552</v>
      </c>
      <c r="C266" s="74">
        <f>CFD!F3*'Initial Estimates'!$C$5*'Final Aircraft Checkouts'!C257</f>
        <v>11146.78428686912</v>
      </c>
      <c r="D266" s="92" t="s">
        <v>125</v>
      </c>
      <c r="E266" s="92" t="s">
        <v>137</v>
      </c>
      <c r="F266" s="92" t="s">
        <v>21</v>
      </c>
      <c r="G266" s="92" t="s">
        <v>554</v>
      </c>
      <c r="H266" s="139" t="s">
        <v>536</v>
      </c>
      <c r="I266" s="139"/>
      <c r="J266" s="139"/>
      <c r="K266" s="139"/>
      <c r="L266" s="139"/>
    </row>
    <row r="267" spans="1:12" x14ac:dyDescent="0.2">
      <c r="A267" s="69">
        <v>42000</v>
      </c>
      <c r="B267" s="92" t="s">
        <v>552</v>
      </c>
      <c r="C267" s="74">
        <f>CFD!F4*'Initial Estimates'!$C$5*'Final Aircraft Checkouts'!C258</f>
        <v>10900.043226647198</v>
      </c>
      <c r="D267" s="92" t="s">
        <v>125</v>
      </c>
      <c r="E267" s="92" t="s">
        <v>137</v>
      </c>
      <c r="F267" s="92" t="s">
        <v>21</v>
      </c>
      <c r="G267" s="92" t="s">
        <v>554</v>
      </c>
      <c r="H267" s="139" t="s">
        <v>536</v>
      </c>
      <c r="I267" s="139"/>
      <c r="J267" s="139"/>
      <c r="K267" s="139"/>
      <c r="L267" s="139"/>
    </row>
    <row r="268" spans="1:12" x14ac:dyDescent="0.2">
      <c r="A268" s="69">
        <v>43000</v>
      </c>
      <c r="B268" s="92" t="s">
        <v>552</v>
      </c>
      <c r="C268" s="74">
        <f>CFD!F5*'Initial Estimates'!$C$5*'Final Aircraft Checkouts'!C259</f>
        <v>10665.545043459188</v>
      </c>
      <c r="D268" s="92" t="s">
        <v>125</v>
      </c>
      <c r="E268" s="92" t="s">
        <v>137</v>
      </c>
      <c r="F268" s="92" t="s">
        <v>21</v>
      </c>
      <c r="G268" s="92" t="s">
        <v>554</v>
      </c>
      <c r="H268" s="139" t="s">
        <v>536</v>
      </c>
      <c r="I268" s="139"/>
      <c r="J268" s="139"/>
      <c r="K268" s="139"/>
      <c r="L268" s="139"/>
    </row>
    <row r="269" spans="1:12" x14ac:dyDescent="0.2">
      <c r="A269" s="69">
        <v>44000</v>
      </c>
      <c r="B269" s="92" t="s">
        <v>552</v>
      </c>
      <c r="C269" s="74">
        <f>CFD!F6*'Initial Estimates'!$C$5*'Final Aircraft Checkouts'!C260</f>
        <v>10441.406217761409</v>
      </c>
      <c r="D269" s="92" t="s">
        <v>125</v>
      </c>
      <c r="E269" s="92" t="s">
        <v>137</v>
      </c>
      <c r="F269" s="92" t="s">
        <v>21</v>
      </c>
      <c r="G269" s="92" t="s">
        <v>554</v>
      </c>
      <c r="H269" s="139" t="s">
        <v>536</v>
      </c>
      <c r="I269" s="139"/>
      <c r="J269" s="139"/>
      <c r="K269" s="139"/>
      <c r="L269" s="139"/>
    </row>
    <row r="270" spans="1:12" x14ac:dyDescent="0.2">
      <c r="A270" s="69">
        <v>45000</v>
      </c>
      <c r="B270" s="92" t="s">
        <v>552</v>
      </c>
      <c r="C270" s="74">
        <f>CFD!F7*'Initial Estimates'!$C$5*'Final Aircraft Checkouts'!C261</f>
        <v>10228.568509325705</v>
      </c>
      <c r="D270" s="92" t="s">
        <v>125</v>
      </c>
      <c r="E270" s="92" t="s">
        <v>137</v>
      </c>
      <c r="F270" s="92" t="s">
        <v>21</v>
      </c>
      <c r="G270" s="92" t="s">
        <v>554</v>
      </c>
      <c r="H270" s="139" t="s">
        <v>536</v>
      </c>
      <c r="I270" s="139"/>
      <c r="J270" s="139"/>
      <c r="K270" s="139"/>
      <c r="L270" s="139"/>
    </row>
    <row r="271" spans="1:12" x14ac:dyDescent="0.2">
      <c r="A271" s="69">
        <v>46000</v>
      </c>
      <c r="B271" s="92" t="s">
        <v>552</v>
      </c>
      <c r="C271" s="74">
        <f>CFD!F8*'Initial Estimates'!$C$5*'Final Aircraft Checkouts'!C262</f>
        <v>10025.148398608393</v>
      </c>
      <c r="D271" s="92" t="s">
        <v>125</v>
      </c>
      <c r="E271" s="92" t="s">
        <v>137</v>
      </c>
      <c r="F271" s="92" t="s">
        <v>21</v>
      </c>
      <c r="G271" s="92" t="s">
        <v>554</v>
      </c>
      <c r="H271" s="139" t="s">
        <v>536</v>
      </c>
      <c r="I271" s="139"/>
      <c r="J271" s="139"/>
      <c r="K271" s="139"/>
      <c r="L271" s="139"/>
    </row>
    <row r="272" spans="1:12" x14ac:dyDescent="0.2">
      <c r="A272" s="69">
        <v>47000</v>
      </c>
      <c r="B272" s="92" t="s">
        <v>552</v>
      </c>
      <c r="C272" s="74">
        <f>CFD!F9*'Initial Estimates'!$C$5*'Final Aircraft Checkouts'!C263</f>
        <v>9831.145885609476</v>
      </c>
      <c r="D272" s="92" t="s">
        <v>125</v>
      </c>
      <c r="E272" s="92" t="s">
        <v>137</v>
      </c>
      <c r="F272" s="92" t="s">
        <v>21</v>
      </c>
      <c r="G272" s="92" t="s">
        <v>554</v>
      </c>
      <c r="H272" s="139" t="s">
        <v>536</v>
      </c>
      <c r="I272" s="139"/>
      <c r="J272" s="139"/>
      <c r="K272" s="139"/>
      <c r="L272" s="139"/>
    </row>
    <row r="273" spans="1:12" x14ac:dyDescent="0.2">
      <c r="A273" s="69">
        <v>48000</v>
      </c>
      <c r="B273" s="92" t="s">
        <v>552</v>
      </c>
      <c r="C273" s="74">
        <f>CFD!F10*'Initial Estimates'!$C$5*'Final Aircraft Checkouts'!C264</f>
        <v>9646.5609703289538</v>
      </c>
      <c r="D273" s="92" t="s">
        <v>125</v>
      </c>
      <c r="E273" s="92" t="s">
        <v>137</v>
      </c>
      <c r="F273" s="92" t="s">
        <v>21</v>
      </c>
      <c r="G273" s="92" t="s">
        <v>554</v>
      </c>
      <c r="H273" s="139" t="s">
        <v>536</v>
      </c>
      <c r="I273" s="139"/>
      <c r="J273" s="139"/>
      <c r="K273" s="139"/>
      <c r="L273" s="139"/>
    </row>
    <row r="274" spans="1:12" x14ac:dyDescent="0.2">
      <c r="A274" s="69">
        <v>49000</v>
      </c>
      <c r="B274" s="92" t="s">
        <v>552</v>
      </c>
      <c r="C274" s="74">
        <f>CFD!F11*'Initial Estimates'!$C$5*'Final Aircraft Checkouts'!C265</f>
        <v>9469.5101332231461</v>
      </c>
      <c r="D274" s="92" t="s">
        <v>125</v>
      </c>
      <c r="E274" s="92" t="s">
        <v>137</v>
      </c>
      <c r="F274" s="92" t="s">
        <v>21</v>
      </c>
      <c r="G274" s="92" t="s">
        <v>554</v>
      </c>
      <c r="H274" s="139" t="s">
        <v>536</v>
      </c>
      <c r="I274" s="139"/>
      <c r="J274" s="139"/>
      <c r="K274" s="139"/>
      <c r="L274" s="139"/>
    </row>
    <row r="277" spans="1:12" ht="21" x14ac:dyDescent="0.2">
      <c r="A277" s="118" t="s">
        <v>577</v>
      </c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20"/>
    </row>
    <row r="278" spans="1:12" ht="16" x14ac:dyDescent="0.2">
      <c r="A278" s="23" t="s">
        <v>5</v>
      </c>
      <c r="B278" s="23" t="s">
        <v>96</v>
      </c>
      <c r="C278" s="94" t="s">
        <v>7</v>
      </c>
      <c r="D278" s="94" t="s">
        <v>125</v>
      </c>
      <c r="E278" s="94" t="s">
        <v>8</v>
      </c>
      <c r="F278" s="94" t="s">
        <v>9</v>
      </c>
      <c r="G278" s="31" t="s">
        <v>10</v>
      </c>
      <c r="H278" s="122" t="s">
        <v>11</v>
      </c>
      <c r="I278" s="123"/>
      <c r="J278" s="123"/>
      <c r="K278" s="123"/>
      <c r="L278" s="124"/>
    </row>
    <row r="279" spans="1:12" x14ac:dyDescent="0.2">
      <c r="A279" s="92" t="s">
        <v>516</v>
      </c>
      <c r="B279" s="92" t="s">
        <v>474</v>
      </c>
      <c r="C279" s="92">
        <f>'Initial Estimates'!C68</f>
        <v>59762.029525069192</v>
      </c>
      <c r="D279" s="92" t="s">
        <v>125</v>
      </c>
      <c r="E279" s="92" t="s">
        <v>223</v>
      </c>
      <c r="F279" s="92" t="s">
        <v>517</v>
      </c>
      <c r="G279" s="92" t="s">
        <v>518</v>
      </c>
      <c r="H279" s="140" t="s">
        <v>519</v>
      </c>
      <c r="I279" s="140"/>
      <c r="J279" s="140"/>
      <c r="K279" s="140"/>
      <c r="L279" s="140"/>
    </row>
    <row r="280" spans="1:12" x14ac:dyDescent="0.2">
      <c r="A280" s="92" t="s">
        <v>555</v>
      </c>
      <c r="B280" s="92" t="s">
        <v>520</v>
      </c>
      <c r="C280" s="92">
        <f>$C$279/CFD!D3/'Initial Estimates'!$C$5</f>
        <v>8.5585150765832785E-2</v>
      </c>
      <c r="D280" s="92" t="s">
        <v>125</v>
      </c>
      <c r="E280" s="92" t="s">
        <v>137</v>
      </c>
      <c r="F280" s="92" t="s">
        <v>21</v>
      </c>
      <c r="G280" s="92" t="s">
        <v>535</v>
      </c>
      <c r="H280" s="139" t="s">
        <v>536</v>
      </c>
      <c r="I280" s="139"/>
      <c r="J280" s="139"/>
      <c r="K280" s="139"/>
      <c r="L280" s="139"/>
    </row>
    <row r="281" spans="1:12" x14ac:dyDescent="0.2">
      <c r="A281" s="69">
        <v>42000</v>
      </c>
      <c r="B281" s="92" t="s">
        <v>520</v>
      </c>
      <c r="C281" s="92">
        <f>$C$279/CFD!D4/'Initial Estimates'!$C$5</f>
        <v>8.9787420162505974E-2</v>
      </c>
      <c r="D281" s="92" t="s">
        <v>125</v>
      </c>
      <c r="E281" s="92" t="s">
        <v>137</v>
      </c>
      <c r="F281" s="92" t="s">
        <v>21</v>
      </c>
      <c r="G281" s="92" t="s">
        <v>535</v>
      </c>
      <c r="H281" s="139" t="s">
        <v>536</v>
      </c>
      <c r="I281" s="139"/>
      <c r="J281" s="139"/>
      <c r="K281" s="139"/>
      <c r="L281" s="139"/>
    </row>
    <row r="282" spans="1:12" x14ac:dyDescent="0.2">
      <c r="A282" s="69">
        <v>43000</v>
      </c>
      <c r="B282" s="92" t="s">
        <v>520</v>
      </c>
      <c r="C282" s="92">
        <f>$C$279/CFD!D5/'Initial Estimates'!$C$5</f>
        <v>9.4182361703780609E-2</v>
      </c>
      <c r="D282" s="92" t="s">
        <v>125</v>
      </c>
      <c r="E282" s="92" t="s">
        <v>137</v>
      </c>
      <c r="F282" s="92" t="s">
        <v>21</v>
      </c>
      <c r="G282" s="92" t="s">
        <v>535</v>
      </c>
      <c r="H282" s="139" t="s">
        <v>536</v>
      </c>
      <c r="I282" s="139"/>
      <c r="J282" s="139"/>
      <c r="K282" s="139"/>
      <c r="L282" s="139"/>
    </row>
    <row r="283" spans="1:12" x14ac:dyDescent="0.2">
      <c r="A283" s="69">
        <v>44000</v>
      </c>
      <c r="B283" s="92" t="s">
        <v>520</v>
      </c>
      <c r="C283" s="92">
        <f>$C$279/CFD!D6/'Initial Estimates'!$C$5</f>
        <v>9.880504722357844E-2</v>
      </c>
      <c r="D283" s="92" t="s">
        <v>125</v>
      </c>
      <c r="E283" s="92" t="s">
        <v>137</v>
      </c>
      <c r="F283" s="92" t="s">
        <v>21</v>
      </c>
      <c r="G283" s="92" t="s">
        <v>535</v>
      </c>
      <c r="H283" s="139" t="s">
        <v>536</v>
      </c>
      <c r="I283" s="139"/>
      <c r="J283" s="139"/>
      <c r="K283" s="139"/>
      <c r="L283" s="139"/>
    </row>
    <row r="284" spans="1:12" x14ac:dyDescent="0.2">
      <c r="A284" s="69">
        <v>45000</v>
      </c>
      <c r="B284" s="92" t="s">
        <v>520</v>
      </c>
      <c r="C284" s="92">
        <f>$C$279/CFD!D7/'Initial Estimates'!$C$5</f>
        <v>0.10363523123234521</v>
      </c>
      <c r="D284" s="92" t="s">
        <v>125</v>
      </c>
      <c r="E284" s="92" t="s">
        <v>137</v>
      </c>
      <c r="F284" s="92" t="s">
        <v>21</v>
      </c>
      <c r="G284" s="92" t="s">
        <v>535</v>
      </c>
      <c r="H284" s="139" t="s">
        <v>536</v>
      </c>
      <c r="I284" s="139"/>
      <c r="J284" s="139"/>
      <c r="K284" s="139"/>
      <c r="L284" s="139"/>
    </row>
    <row r="285" spans="1:12" x14ac:dyDescent="0.2">
      <c r="A285" s="69">
        <v>46000</v>
      </c>
      <c r="B285" s="92" t="s">
        <v>520</v>
      </c>
      <c r="C285" s="92">
        <f>$C$279/CFD!D8/'Initial Estimates'!$C$5</f>
        <v>0.10871469797756568</v>
      </c>
      <c r="D285" s="92" t="s">
        <v>125</v>
      </c>
      <c r="E285" s="92" t="s">
        <v>137</v>
      </c>
      <c r="F285" s="92" t="s">
        <v>21</v>
      </c>
      <c r="G285" s="92" t="s">
        <v>535</v>
      </c>
      <c r="H285" s="139" t="s">
        <v>536</v>
      </c>
      <c r="I285" s="139"/>
      <c r="J285" s="139"/>
      <c r="K285" s="139"/>
      <c r="L285" s="139"/>
    </row>
    <row r="286" spans="1:12" x14ac:dyDescent="0.2">
      <c r="A286" s="69">
        <v>47000</v>
      </c>
      <c r="B286" s="92" t="s">
        <v>520</v>
      </c>
      <c r="C286" s="92">
        <f>$C$279/CFD!D9/'Initial Estimates'!$C$5</f>
        <v>0.11404562580031703</v>
      </c>
      <c r="D286" s="92" t="s">
        <v>125</v>
      </c>
      <c r="E286" s="92" t="s">
        <v>137</v>
      </c>
      <c r="F286" s="92" t="s">
        <v>21</v>
      </c>
      <c r="G286" s="92" t="s">
        <v>535</v>
      </c>
      <c r="H286" s="139" t="s">
        <v>536</v>
      </c>
      <c r="I286" s="139"/>
      <c r="J286" s="139"/>
      <c r="K286" s="139"/>
      <c r="L286" s="139"/>
    </row>
    <row r="287" spans="1:12" x14ac:dyDescent="0.2">
      <c r="A287" s="69">
        <v>48000</v>
      </c>
      <c r="B287" s="92" t="s">
        <v>520</v>
      </c>
      <c r="C287" s="92">
        <f>$C$279/CFD!D10/'Initial Estimates'!$C$5</f>
        <v>0.11962688489066965</v>
      </c>
      <c r="D287" s="92" t="s">
        <v>125</v>
      </c>
      <c r="E287" s="92" t="s">
        <v>137</v>
      </c>
      <c r="F287" s="92" t="s">
        <v>21</v>
      </c>
      <c r="G287" s="92" t="s">
        <v>535</v>
      </c>
      <c r="H287" s="139" t="s">
        <v>536</v>
      </c>
      <c r="I287" s="139"/>
      <c r="J287" s="139"/>
      <c r="K287" s="139"/>
      <c r="L287" s="139"/>
    </row>
    <row r="288" spans="1:12" x14ac:dyDescent="0.2">
      <c r="A288" s="69">
        <v>49000</v>
      </c>
      <c r="B288" s="92" t="s">
        <v>520</v>
      </c>
      <c r="C288" s="92">
        <f>$C$279/CFD!D11/'Initial Estimates'!$C$5</f>
        <v>0.12551890856356612</v>
      </c>
      <c r="D288" s="92" t="s">
        <v>125</v>
      </c>
      <c r="E288" s="92" t="s">
        <v>137</v>
      </c>
      <c r="F288" s="92" t="s">
        <v>21</v>
      </c>
      <c r="G288" s="92" t="s">
        <v>535</v>
      </c>
      <c r="H288" s="139" t="s">
        <v>536</v>
      </c>
      <c r="I288" s="139"/>
      <c r="J288" s="139"/>
      <c r="K288" s="139"/>
      <c r="L288" s="139"/>
    </row>
    <row r="289" spans="1:12" x14ac:dyDescent="0.2">
      <c r="A289" s="92" t="s">
        <v>556</v>
      </c>
      <c r="B289" s="92" t="s">
        <v>549</v>
      </c>
      <c r="C289" s="74">
        <f xml:space="preserve"> ABS((C280-CFD!$B$19)/(CFD!$B$20-CFD!$B$19)*(CFD!$E$20-CFD!$E$19) + CFD!$E$19)</f>
        <v>1.2439026257767218E-2</v>
      </c>
      <c r="D289" s="92" t="s">
        <v>125</v>
      </c>
      <c r="E289" s="92" t="s">
        <v>137</v>
      </c>
      <c r="F289" s="92" t="s">
        <v>21</v>
      </c>
      <c r="G289" s="92" t="s">
        <v>550</v>
      </c>
      <c r="H289" s="139" t="s">
        <v>526</v>
      </c>
      <c r="I289" s="139"/>
      <c r="J289" s="139"/>
      <c r="K289" s="139"/>
      <c r="L289" s="139"/>
    </row>
    <row r="290" spans="1:12" x14ac:dyDescent="0.2">
      <c r="A290" s="69">
        <v>42000</v>
      </c>
      <c r="B290" s="92" t="s">
        <v>549</v>
      </c>
      <c r="C290" s="74">
        <f xml:space="preserve"> ABS((C281-CFD!$B$19)/(CFD!$B$20-CFD!$B$19)*(CFD!$E$20-CFD!$E$19) + CFD!$E$19)</f>
        <v>1.2782239495344112E-2</v>
      </c>
      <c r="D290" s="92" t="s">
        <v>125</v>
      </c>
      <c r="E290" s="92" t="s">
        <v>137</v>
      </c>
      <c r="F290" s="92" t="s">
        <v>21</v>
      </c>
      <c r="G290" s="92" t="s">
        <v>550</v>
      </c>
      <c r="H290" s="139" t="s">
        <v>526</v>
      </c>
      <c r="I290" s="139"/>
      <c r="J290" s="139"/>
      <c r="K290" s="139"/>
      <c r="L290" s="139"/>
    </row>
    <row r="291" spans="1:12" x14ac:dyDescent="0.2">
      <c r="A291" s="69">
        <v>43000</v>
      </c>
      <c r="B291" s="92" t="s">
        <v>549</v>
      </c>
      <c r="C291" s="74">
        <f xml:space="preserve"> ABS((C282-CFD!$B$19)/(CFD!$B$20-CFD!$B$19)*(CFD!$E$20-CFD!$E$19) + CFD!$E$19)</f>
        <v>1.3141188904093635E-2</v>
      </c>
      <c r="D291" s="92" t="s">
        <v>125</v>
      </c>
      <c r="E291" s="92" t="s">
        <v>137</v>
      </c>
      <c r="F291" s="92" t="s">
        <v>21</v>
      </c>
      <c r="G291" s="92" t="s">
        <v>550</v>
      </c>
      <c r="H291" s="139" t="s">
        <v>526</v>
      </c>
      <c r="I291" s="139"/>
      <c r="J291" s="139"/>
      <c r="K291" s="139"/>
      <c r="L291" s="139"/>
    </row>
    <row r="292" spans="1:12" x14ac:dyDescent="0.2">
      <c r="A292" s="69">
        <v>44000</v>
      </c>
      <c r="B292" s="92" t="s">
        <v>549</v>
      </c>
      <c r="C292" s="74">
        <f xml:space="preserve"> ABS((C283-CFD!$B$19)/(CFD!$B$20-CFD!$B$19)*(CFD!$E$20-CFD!$E$19) + CFD!$E$19)</f>
        <v>1.3518738916666764E-2</v>
      </c>
      <c r="D292" s="92" t="s">
        <v>125</v>
      </c>
      <c r="E292" s="92" t="s">
        <v>137</v>
      </c>
      <c r="F292" s="92" t="s">
        <v>21</v>
      </c>
      <c r="G292" s="92" t="s">
        <v>550</v>
      </c>
      <c r="H292" s="139" t="s">
        <v>526</v>
      </c>
      <c r="I292" s="139"/>
      <c r="J292" s="139"/>
      <c r="K292" s="139"/>
      <c r="L292" s="139"/>
    </row>
    <row r="293" spans="1:12" x14ac:dyDescent="0.2">
      <c r="A293" s="69">
        <v>45000</v>
      </c>
      <c r="B293" s="92" t="s">
        <v>549</v>
      </c>
      <c r="C293" s="74">
        <f xml:space="preserve"> ABS((C284-CFD!$B$19)/(CFD!$B$20-CFD!$B$19)*(CFD!$E$20-CFD!$E$19) + CFD!$E$19)</f>
        <v>1.3913236016984369E-2</v>
      </c>
      <c r="D293" s="92" t="s">
        <v>125</v>
      </c>
      <c r="E293" s="92" t="s">
        <v>137</v>
      </c>
      <c r="F293" s="92" t="s">
        <v>21</v>
      </c>
      <c r="G293" s="92" t="s">
        <v>550</v>
      </c>
      <c r="H293" s="139" t="s">
        <v>526</v>
      </c>
      <c r="I293" s="139"/>
      <c r="J293" s="139"/>
      <c r="K293" s="139"/>
      <c r="L293" s="139"/>
    </row>
    <row r="294" spans="1:12" x14ac:dyDescent="0.2">
      <c r="A294" s="69">
        <v>46000</v>
      </c>
      <c r="B294" s="92" t="s">
        <v>549</v>
      </c>
      <c r="C294" s="74">
        <f xml:space="preserve"> ABS((C285-CFD!$B$19)/(CFD!$B$20-CFD!$B$19)*(CFD!$E$20-CFD!$E$19) + CFD!$E$19)</f>
        <v>1.4328092862709547E-2</v>
      </c>
      <c r="D294" s="92" t="s">
        <v>125</v>
      </c>
      <c r="E294" s="92" t="s">
        <v>137</v>
      </c>
      <c r="F294" s="92" t="s">
        <v>21</v>
      </c>
      <c r="G294" s="92" t="s">
        <v>550</v>
      </c>
      <c r="H294" s="139" t="s">
        <v>526</v>
      </c>
      <c r="I294" s="139"/>
      <c r="J294" s="139"/>
      <c r="K294" s="139"/>
      <c r="L294" s="139"/>
    </row>
    <row r="295" spans="1:12" x14ac:dyDescent="0.2">
      <c r="A295" s="69">
        <v>47000</v>
      </c>
      <c r="B295" s="92" t="s">
        <v>549</v>
      </c>
      <c r="C295" s="74">
        <f xml:space="preserve"> ABS((C286-CFD!$B$19)/(CFD!$B$20-CFD!$B$19)*(CFD!$E$20-CFD!$E$19) + CFD!$E$19)</f>
        <v>1.4763487366161352E-2</v>
      </c>
      <c r="D295" s="92" t="s">
        <v>125</v>
      </c>
      <c r="E295" s="92" t="s">
        <v>137</v>
      </c>
      <c r="F295" s="92" t="s">
        <v>21</v>
      </c>
      <c r="G295" s="92" t="s">
        <v>550</v>
      </c>
      <c r="H295" s="139" t="s">
        <v>526</v>
      </c>
      <c r="I295" s="139"/>
      <c r="J295" s="139"/>
      <c r="K295" s="139"/>
      <c r="L295" s="139"/>
    </row>
    <row r="296" spans="1:12" x14ac:dyDescent="0.2">
      <c r="A296" s="69">
        <v>48000</v>
      </c>
      <c r="B296" s="92" t="s">
        <v>549</v>
      </c>
      <c r="C296" s="74">
        <f xml:space="preserve"> ABS((C287-CFD!$B$19)/(CFD!$B$20-CFD!$B$19)*(CFD!$E$20-CFD!$E$19) + CFD!$E$19)</f>
        <v>1.5219327252026803E-2</v>
      </c>
      <c r="D296" s="92" t="s">
        <v>125</v>
      </c>
      <c r="E296" s="92" t="s">
        <v>137</v>
      </c>
      <c r="F296" s="92" t="s">
        <v>21</v>
      </c>
      <c r="G296" s="92" t="s">
        <v>550</v>
      </c>
      <c r="H296" s="139" t="s">
        <v>526</v>
      </c>
      <c r="I296" s="139"/>
      <c r="J296" s="139"/>
      <c r="K296" s="139"/>
      <c r="L296" s="139"/>
    </row>
    <row r="297" spans="1:12" x14ac:dyDescent="0.2">
      <c r="A297" s="69">
        <v>49000</v>
      </c>
      <c r="B297" s="92" t="s">
        <v>549</v>
      </c>
      <c r="C297" s="74">
        <f xml:space="preserve"> ABS((C288-CFD!$B$19)/(CFD!$B$20-CFD!$B$19)*(CFD!$E$20-CFD!$E$19) + CFD!$E$19)</f>
        <v>1.5700548308976516E-2</v>
      </c>
      <c r="D297" s="92" t="s">
        <v>125</v>
      </c>
      <c r="E297" s="92" t="s">
        <v>137</v>
      </c>
      <c r="F297" s="92" t="s">
        <v>21</v>
      </c>
      <c r="G297" s="92" t="s">
        <v>550</v>
      </c>
      <c r="H297" s="139" t="s">
        <v>526</v>
      </c>
      <c r="I297" s="139"/>
      <c r="J297" s="139"/>
      <c r="K297" s="139"/>
      <c r="L297" s="139"/>
    </row>
    <row r="298" spans="1:12" x14ac:dyDescent="0.2">
      <c r="A298" s="92" t="s">
        <v>553</v>
      </c>
      <c r="B298" s="92" t="s">
        <v>552</v>
      </c>
      <c r="C298" s="74">
        <f>CFD!D3*'Initial Estimates'!$C$5*'Final Aircraft Checkouts'!C289</f>
        <v>8685.8695442827611</v>
      </c>
      <c r="D298" s="92" t="s">
        <v>125</v>
      </c>
      <c r="E298" s="92" t="s">
        <v>137</v>
      </c>
      <c r="F298" s="92" t="s">
        <v>21</v>
      </c>
      <c r="G298" s="92" t="s">
        <v>554</v>
      </c>
      <c r="H298" s="139" t="s">
        <v>536</v>
      </c>
      <c r="I298" s="139"/>
      <c r="J298" s="139"/>
      <c r="K298" s="139"/>
      <c r="L298" s="139"/>
    </row>
    <row r="299" spans="1:12" x14ac:dyDescent="0.2">
      <c r="A299" s="69">
        <v>42000</v>
      </c>
      <c r="B299" s="92" t="s">
        <v>552</v>
      </c>
      <c r="C299" s="74">
        <f>CFD!D4*'Initial Estimates'!$C$5*'Final Aircraft Checkouts'!C290</f>
        <v>8507.7906541327666</v>
      </c>
      <c r="D299" s="92" t="s">
        <v>125</v>
      </c>
      <c r="E299" s="92" t="s">
        <v>137</v>
      </c>
      <c r="F299" s="92" t="s">
        <v>21</v>
      </c>
      <c r="G299" s="92" t="s">
        <v>554</v>
      </c>
      <c r="H299" s="139" t="s">
        <v>536</v>
      </c>
      <c r="I299" s="139"/>
      <c r="J299" s="139"/>
      <c r="K299" s="139"/>
      <c r="L299" s="139"/>
    </row>
    <row r="300" spans="1:12" x14ac:dyDescent="0.2">
      <c r="A300" s="69">
        <v>43000</v>
      </c>
      <c r="B300" s="92" t="s">
        <v>552</v>
      </c>
      <c r="C300" s="74">
        <f>CFD!D5*'Initial Estimates'!$C$5*'Final Aircraft Checkouts'!C291</f>
        <v>8338.5477394482332</v>
      </c>
      <c r="D300" s="92" t="s">
        <v>125</v>
      </c>
      <c r="E300" s="92" t="s">
        <v>137</v>
      </c>
      <c r="F300" s="92" t="s">
        <v>21</v>
      </c>
      <c r="G300" s="92" t="s">
        <v>554</v>
      </c>
      <c r="H300" s="139" t="s">
        <v>536</v>
      </c>
      <c r="I300" s="139"/>
      <c r="J300" s="139"/>
      <c r="K300" s="139"/>
      <c r="L300" s="139"/>
    </row>
    <row r="301" spans="1:12" x14ac:dyDescent="0.2">
      <c r="A301" s="69">
        <v>44000</v>
      </c>
      <c r="B301" s="92" t="s">
        <v>552</v>
      </c>
      <c r="C301" s="74">
        <f>CFD!D6*'Initial Estimates'!$C$5*'Final Aircraft Checkouts'!C292</f>
        <v>8176.7814193883141</v>
      </c>
      <c r="D301" s="92" t="s">
        <v>125</v>
      </c>
      <c r="E301" s="92" t="s">
        <v>137</v>
      </c>
      <c r="F301" s="92" t="s">
        <v>21</v>
      </c>
      <c r="G301" s="92" t="s">
        <v>554</v>
      </c>
      <c r="H301" s="139" t="s">
        <v>536</v>
      </c>
      <c r="I301" s="139"/>
      <c r="J301" s="139"/>
      <c r="K301" s="139"/>
      <c r="L301" s="139"/>
    </row>
    <row r="302" spans="1:12" x14ac:dyDescent="0.2">
      <c r="A302" s="69">
        <v>45000</v>
      </c>
      <c r="B302" s="92" t="s">
        <v>552</v>
      </c>
      <c r="C302" s="74">
        <f>CFD!D7*'Initial Estimates'!$C$5*'Final Aircraft Checkouts'!C293</f>
        <v>8023.1713843734333</v>
      </c>
      <c r="D302" s="92" t="s">
        <v>125</v>
      </c>
      <c r="E302" s="92" t="s">
        <v>137</v>
      </c>
      <c r="F302" s="92" t="s">
        <v>21</v>
      </c>
      <c r="G302" s="92" t="s">
        <v>554</v>
      </c>
      <c r="H302" s="139" t="s">
        <v>536</v>
      </c>
      <c r="I302" s="139"/>
      <c r="J302" s="139"/>
      <c r="K302" s="139"/>
      <c r="L302" s="139"/>
    </row>
    <row r="303" spans="1:12" x14ac:dyDescent="0.2">
      <c r="A303" s="69">
        <v>46000</v>
      </c>
      <c r="B303" s="92" t="s">
        <v>552</v>
      </c>
      <c r="C303" s="74">
        <f>CFD!D8*'Initial Estimates'!$C$5*'Final Aircraft Checkouts'!C294</f>
        <v>7876.3582535627502</v>
      </c>
      <c r="D303" s="92" t="s">
        <v>125</v>
      </c>
      <c r="E303" s="92" t="s">
        <v>137</v>
      </c>
      <c r="F303" s="92" t="s">
        <v>21</v>
      </c>
      <c r="G303" s="92" t="s">
        <v>554</v>
      </c>
      <c r="H303" s="139" t="s">
        <v>536</v>
      </c>
      <c r="I303" s="139"/>
      <c r="J303" s="139"/>
      <c r="K303" s="139"/>
      <c r="L303" s="139"/>
    </row>
    <row r="304" spans="1:12" x14ac:dyDescent="0.2">
      <c r="A304" s="69">
        <v>47000</v>
      </c>
      <c r="B304" s="92" t="s">
        <v>552</v>
      </c>
      <c r="C304" s="74">
        <f>CFD!D9*'Initial Estimates'!$C$5*'Final Aircraft Checkouts'!C295</f>
        <v>7736.3420269562675</v>
      </c>
      <c r="D304" s="92" t="s">
        <v>125</v>
      </c>
      <c r="E304" s="92" t="s">
        <v>137</v>
      </c>
      <c r="F304" s="92" t="s">
        <v>21</v>
      </c>
      <c r="G304" s="92" t="s">
        <v>554</v>
      </c>
      <c r="H304" s="139" t="s">
        <v>536</v>
      </c>
      <c r="I304" s="139"/>
      <c r="J304" s="139"/>
      <c r="K304" s="139"/>
      <c r="L304" s="139"/>
    </row>
    <row r="305" spans="1:12" x14ac:dyDescent="0.2">
      <c r="A305" s="69">
        <v>48000</v>
      </c>
      <c r="B305" s="92" t="s">
        <v>552</v>
      </c>
      <c r="C305" s="74">
        <f>CFD!D10*'Initial Estimates'!$C$5*'Final Aircraft Checkouts'!C296</f>
        <v>7603.1227045539817</v>
      </c>
      <c r="D305" s="92" t="s">
        <v>125</v>
      </c>
      <c r="E305" s="92" t="s">
        <v>137</v>
      </c>
      <c r="F305" s="92" t="s">
        <v>21</v>
      </c>
      <c r="G305" s="92" t="s">
        <v>554</v>
      </c>
      <c r="H305" s="139" t="s">
        <v>536</v>
      </c>
      <c r="I305" s="139"/>
      <c r="J305" s="139"/>
      <c r="K305" s="139"/>
      <c r="L305" s="139"/>
    </row>
    <row r="306" spans="1:12" x14ac:dyDescent="0.2">
      <c r="A306" s="69">
        <v>49000</v>
      </c>
      <c r="B306" s="92" t="s">
        <v>552</v>
      </c>
      <c r="C306" s="74">
        <f>CFD!D11*'Initial Estimates'!$C$5*'Final Aircraft Checkouts'!C297</f>
        <v>7475.340905515056</v>
      </c>
      <c r="D306" s="92" t="s">
        <v>125</v>
      </c>
      <c r="E306" s="92" t="s">
        <v>137</v>
      </c>
      <c r="F306" s="92" t="s">
        <v>21</v>
      </c>
      <c r="G306" s="92" t="s">
        <v>554</v>
      </c>
      <c r="H306" s="139" t="s">
        <v>536</v>
      </c>
      <c r="I306" s="139"/>
      <c r="J306" s="139"/>
      <c r="K306" s="139"/>
      <c r="L306" s="139"/>
    </row>
    <row r="307" spans="1:12" ht="21" x14ac:dyDescent="0.2">
      <c r="A307" s="118" t="s">
        <v>578</v>
      </c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20"/>
    </row>
    <row r="308" spans="1:12" ht="16" x14ac:dyDescent="0.2">
      <c r="A308" s="23" t="s">
        <v>5</v>
      </c>
      <c r="B308" s="23" t="s">
        <v>96</v>
      </c>
      <c r="C308" s="94" t="s">
        <v>7</v>
      </c>
      <c r="D308" s="94" t="s">
        <v>125</v>
      </c>
      <c r="E308" s="94" t="s">
        <v>8</v>
      </c>
      <c r="F308" s="94" t="s">
        <v>9</v>
      </c>
      <c r="G308" s="31" t="s">
        <v>10</v>
      </c>
      <c r="H308" s="122" t="s">
        <v>11</v>
      </c>
      <c r="I308" s="123"/>
      <c r="J308" s="123"/>
      <c r="K308" s="123"/>
      <c r="L308" s="124"/>
    </row>
    <row r="309" spans="1:12" x14ac:dyDescent="0.2">
      <c r="A309" s="92" t="s">
        <v>516</v>
      </c>
      <c r="B309" s="92" t="s">
        <v>474</v>
      </c>
      <c r="C309" s="92">
        <f>C279</f>
        <v>59762.029525069192</v>
      </c>
      <c r="D309" s="92" t="s">
        <v>125</v>
      </c>
      <c r="E309" s="92" t="s">
        <v>223</v>
      </c>
      <c r="F309" s="92" t="s">
        <v>517</v>
      </c>
      <c r="G309" s="92" t="s">
        <v>518</v>
      </c>
      <c r="H309" s="140" t="s">
        <v>519</v>
      </c>
      <c r="I309" s="140"/>
      <c r="J309" s="140"/>
      <c r="K309" s="140"/>
      <c r="L309" s="140"/>
    </row>
    <row r="310" spans="1:12" x14ac:dyDescent="0.2">
      <c r="A310" s="92" t="s">
        <v>555</v>
      </c>
      <c r="B310" s="92" t="s">
        <v>520</v>
      </c>
      <c r="C310" s="92">
        <f>$C$309/CFD!E3/'Initial Estimates'!$C$5</f>
        <v>7.5812451889457441E-2</v>
      </c>
      <c r="D310" s="92" t="s">
        <v>125</v>
      </c>
      <c r="E310" s="92" t="s">
        <v>137</v>
      </c>
      <c r="F310" s="92" t="s">
        <v>21</v>
      </c>
      <c r="G310" s="92" t="s">
        <v>535</v>
      </c>
      <c r="H310" s="139" t="s">
        <v>536</v>
      </c>
      <c r="I310" s="139"/>
      <c r="J310" s="139"/>
      <c r="K310" s="139"/>
      <c r="L310" s="139"/>
    </row>
    <row r="311" spans="1:12" x14ac:dyDescent="0.2">
      <c r="A311" s="69">
        <v>42000</v>
      </c>
      <c r="B311" s="92" t="s">
        <v>520</v>
      </c>
      <c r="C311" s="92">
        <f>$C$309/CFD!E4/'Initial Estimates'!$C$5</f>
        <v>7.9534877375783852E-2</v>
      </c>
      <c r="D311" s="92" t="s">
        <v>125</v>
      </c>
      <c r="E311" s="92" t="s">
        <v>137</v>
      </c>
      <c r="F311" s="92" t="s">
        <v>21</v>
      </c>
      <c r="G311" s="92" t="s">
        <v>535</v>
      </c>
      <c r="H311" s="139" t="s">
        <v>536</v>
      </c>
      <c r="I311" s="139"/>
      <c r="J311" s="139"/>
      <c r="K311" s="139"/>
      <c r="L311" s="139"/>
    </row>
    <row r="312" spans="1:12" x14ac:dyDescent="0.2">
      <c r="A312" s="69">
        <v>43000</v>
      </c>
      <c r="B312" s="92" t="s">
        <v>520</v>
      </c>
      <c r="C312" s="92">
        <f>$C$309/CFD!E5/'Initial Estimates'!$C$5</f>
        <v>8.3427974381203598E-2</v>
      </c>
      <c r="D312" s="92" t="s">
        <v>125</v>
      </c>
      <c r="E312" s="92" t="s">
        <v>137</v>
      </c>
      <c r="F312" s="92" t="s">
        <v>21</v>
      </c>
      <c r="G312" s="92" t="s">
        <v>535</v>
      </c>
      <c r="H312" s="139" t="s">
        <v>536</v>
      </c>
      <c r="I312" s="139"/>
      <c r="J312" s="139"/>
      <c r="K312" s="139"/>
      <c r="L312" s="139"/>
    </row>
    <row r="313" spans="1:12" x14ac:dyDescent="0.2">
      <c r="A313" s="69">
        <v>44000</v>
      </c>
      <c r="B313" s="92" t="s">
        <v>520</v>
      </c>
      <c r="C313" s="92">
        <f>$C$309/CFD!E6/'Initial Estimates'!$C$5</f>
        <v>8.7522809997356704E-2</v>
      </c>
      <c r="D313" s="92" t="s">
        <v>125</v>
      </c>
      <c r="E313" s="92" t="s">
        <v>137</v>
      </c>
      <c r="F313" s="92" t="s">
        <v>21</v>
      </c>
      <c r="G313" s="92" t="s">
        <v>535</v>
      </c>
      <c r="H313" s="139" t="s">
        <v>536</v>
      </c>
      <c r="I313" s="139"/>
      <c r="J313" s="139"/>
      <c r="K313" s="139"/>
      <c r="L313" s="139"/>
    </row>
    <row r="314" spans="1:12" x14ac:dyDescent="0.2">
      <c r="A314" s="69">
        <v>45000</v>
      </c>
      <c r="B314" s="92" t="s">
        <v>520</v>
      </c>
      <c r="C314" s="92">
        <f>$C$309/CFD!E7/'Initial Estimates'!$C$5</f>
        <v>9.1801450503392321E-2</v>
      </c>
      <c r="D314" s="92" t="s">
        <v>125</v>
      </c>
      <c r="E314" s="92" t="s">
        <v>137</v>
      </c>
      <c r="F314" s="92" t="s">
        <v>21</v>
      </c>
      <c r="G314" s="92" t="s">
        <v>535</v>
      </c>
      <c r="H314" s="139" t="s">
        <v>536</v>
      </c>
      <c r="I314" s="139"/>
      <c r="J314" s="139"/>
      <c r="K314" s="139"/>
      <c r="L314" s="139"/>
    </row>
    <row r="315" spans="1:12" x14ac:dyDescent="0.2">
      <c r="A315" s="69">
        <v>46000</v>
      </c>
      <c r="B315" s="92" t="s">
        <v>520</v>
      </c>
      <c r="C315" s="92">
        <f>$C$309/CFD!E8/'Initial Estimates'!$C$5</f>
        <v>9.6300908935144702E-2</v>
      </c>
      <c r="D315" s="92" t="s">
        <v>125</v>
      </c>
      <c r="E315" s="92" t="s">
        <v>137</v>
      </c>
      <c r="F315" s="92" t="s">
        <v>21</v>
      </c>
      <c r="G315" s="92" t="s">
        <v>535</v>
      </c>
      <c r="H315" s="139" t="s">
        <v>536</v>
      </c>
      <c r="I315" s="139"/>
      <c r="J315" s="139"/>
      <c r="K315" s="139"/>
      <c r="L315" s="139"/>
    </row>
    <row r="316" spans="1:12" x14ac:dyDescent="0.2">
      <c r="A316" s="69">
        <v>47000</v>
      </c>
      <c r="B316" s="92" t="s">
        <v>520</v>
      </c>
      <c r="C316" s="92">
        <f>$C$309/CFD!E9/'Initial Estimates'!$C$5</f>
        <v>0.1010231148957826</v>
      </c>
      <c r="D316" s="92" t="s">
        <v>125</v>
      </c>
      <c r="E316" s="92" t="s">
        <v>137</v>
      </c>
      <c r="F316" s="92" t="s">
        <v>21</v>
      </c>
      <c r="G316" s="92" t="s">
        <v>535</v>
      </c>
      <c r="H316" s="139" t="s">
        <v>536</v>
      </c>
      <c r="I316" s="139"/>
      <c r="J316" s="139"/>
      <c r="K316" s="139"/>
      <c r="L316" s="139"/>
    </row>
    <row r="317" spans="1:12" x14ac:dyDescent="0.2">
      <c r="A317" s="69">
        <v>48000</v>
      </c>
      <c r="B317" s="92" t="s">
        <v>520</v>
      </c>
      <c r="C317" s="92">
        <f>$C$309/CFD!E10/'Initial Estimates'!$C$5</f>
        <v>0.10596706758481465</v>
      </c>
      <c r="D317" s="92" t="s">
        <v>125</v>
      </c>
      <c r="E317" s="92" t="s">
        <v>137</v>
      </c>
      <c r="F317" s="92" t="s">
        <v>21</v>
      </c>
      <c r="G317" s="92" t="s">
        <v>535</v>
      </c>
      <c r="H317" s="139" t="s">
        <v>536</v>
      </c>
      <c r="I317" s="139"/>
      <c r="J317" s="139"/>
      <c r="K317" s="139"/>
      <c r="L317" s="139"/>
    </row>
    <row r="318" spans="1:12" x14ac:dyDescent="0.2">
      <c r="A318" s="69">
        <v>49000</v>
      </c>
      <c r="B318" s="92" t="s">
        <v>520</v>
      </c>
      <c r="C318" s="92">
        <f>$C$309/CFD!E11/'Initial Estimates'!$C$5</f>
        <v>0.11118629962724198</v>
      </c>
      <c r="D318" s="92" t="s">
        <v>125</v>
      </c>
      <c r="E318" s="92" t="s">
        <v>137</v>
      </c>
      <c r="F318" s="92" t="s">
        <v>21</v>
      </c>
      <c r="G318" s="92" t="s">
        <v>535</v>
      </c>
      <c r="H318" s="139" t="s">
        <v>536</v>
      </c>
      <c r="I318" s="139"/>
      <c r="J318" s="139"/>
      <c r="K318" s="139"/>
      <c r="L318" s="139"/>
    </row>
    <row r="319" spans="1:12" x14ac:dyDescent="0.2">
      <c r="A319" s="92" t="s">
        <v>556</v>
      </c>
      <c r="B319" s="92" t="s">
        <v>549</v>
      </c>
      <c r="C319" s="74">
        <f xml:space="preserve"> ABS((C310-CFD!$B$25)/(CFD!$B$26-CFD!$B$25)*(CFD!$E$26-CFD!$E$25) + CFD!$E$25)</f>
        <v>1.2636880672655625E-2</v>
      </c>
      <c r="D319" s="92" t="s">
        <v>125</v>
      </c>
      <c r="E319" s="92" t="s">
        <v>137</v>
      </c>
      <c r="F319" s="92" t="s">
        <v>21</v>
      </c>
      <c r="G319" s="92" t="s">
        <v>550</v>
      </c>
      <c r="H319" s="139" t="s">
        <v>526</v>
      </c>
      <c r="I319" s="139"/>
      <c r="J319" s="139"/>
      <c r="K319" s="139"/>
      <c r="L319" s="139"/>
    </row>
    <row r="320" spans="1:12" x14ac:dyDescent="0.2">
      <c r="A320" s="69">
        <v>42000</v>
      </c>
      <c r="B320" s="92" t="s">
        <v>549</v>
      </c>
      <c r="C320" s="74">
        <f xml:space="preserve"> ABS((C311-CFD!$B$25)/(CFD!$B$26-CFD!$B$25)*(CFD!$E$26-CFD!$E$25) + CFD!$E$25)</f>
        <v>1.2820605535714654E-2</v>
      </c>
      <c r="D320" s="92" t="s">
        <v>125</v>
      </c>
      <c r="E320" s="92" t="s">
        <v>137</v>
      </c>
      <c r="F320" s="92" t="s">
        <v>21</v>
      </c>
      <c r="G320" s="92" t="s">
        <v>550</v>
      </c>
      <c r="H320" s="139" t="s">
        <v>526</v>
      </c>
      <c r="I320" s="139"/>
      <c r="J320" s="139"/>
      <c r="K320" s="139"/>
      <c r="L320" s="139"/>
    </row>
    <row r="321" spans="1:12" x14ac:dyDescent="0.2">
      <c r="A321" s="69">
        <v>43000</v>
      </c>
      <c r="B321" s="92" t="s">
        <v>549</v>
      </c>
      <c r="C321" s="74">
        <f xml:space="preserve"> ABS((C312-CFD!$B$25)/(CFD!$B$26-CFD!$B$25)*(CFD!$E$26-CFD!$E$25) + CFD!$E$25)</f>
        <v>1.3012754100359835E-2</v>
      </c>
      <c r="D321" s="92" t="s">
        <v>125</v>
      </c>
      <c r="E321" s="92" t="s">
        <v>137</v>
      </c>
      <c r="F321" s="92" t="s">
        <v>21</v>
      </c>
      <c r="G321" s="92" t="s">
        <v>550</v>
      </c>
      <c r="H321" s="139" t="s">
        <v>526</v>
      </c>
      <c r="I321" s="139"/>
      <c r="J321" s="139"/>
      <c r="K321" s="139"/>
      <c r="L321" s="139"/>
    </row>
    <row r="322" spans="1:12" x14ac:dyDescent="0.2">
      <c r="A322" s="69">
        <v>44000</v>
      </c>
      <c r="B322" s="92" t="s">
        <v>549</v>
      </c>
      <c r="C322" s="74">
        <f xml:space="preserve"> ABS((C313-CFD!$B$25)/(CFD!$B$26-CFD!$B$25)*(CFD!$E$26-CFD!$E$25) + CFD!$E$25)</f>
        <v>1.321485972089958E-2</v>
      </c>
      <c r="D322" s="92" t="s">
        <v>125</v>
      </c>
      <c r="E322" s="92" t="s">
        <v>137</v>
      </c>
      <c r="F322" s="92" t="s">
        <v>21</v>
      </c>
      <c r="G322" s="92" t="s">
        <v>550</v>
      </c>
      <c r="H322" s="139" t="s">
        <v>526</v>
      </c>
      <c r="I322" s="139"/>
      <c r="J322" s="139"/>
      <c r="K322" s="139"/>
      <c r="L322" s="139"/>
    </row>
    <row r="323" spans="1:12" x14ac:dyDescent="0.2">
      <c r="A323" s="69">
        <v>45000</v>
      </c>
      <c r="B323" s="92" t="s">
        <v>549</v>
      </c>
      <c r="C323" s="74">
        <f xml:space="preserve"> ABS((C314-CFD!$B$25)/(CFD!$B$26-CFD!$B$25)*(CFD!$E$26-CFD!$E$25) + CFD!$E$25)</f>
        <v>1.3426037256605201E-2</v>
      </c>
      <c r="D323" s="92" t="s">
        <v>125</v>
      </c>
      <c r="E323" s="92" t="s">
        <v>137</v>
      </c>
      <c r="F323" s="92" t="s">
        <v>21</v>
      </c>
      <c r="G323" s="92" t="s">
        <v>550</v>
      </c>
      <c r="H323" s="139" t="s">
        <v>526</v>
      </c>
      <c r="I323" s="139"/>
      <c r="J323" s="139"/>
      <c r="K323" s="139"/>
      <c r="L323" s="139"/>
    </row>
    <row r="324" spans="1:12" x14ac:dyDescent="0.2">
      <c r="A324" s="69">
        <v>46000</v>
      </c>
      <c r="B324" s="92" t="s">
        <v>549</v>
      </c>
      <c r="C324" s="74">
        <f xml:space="preserve"> ABS((C315-CFD!$B$25)/(CFD!$B$26-CFD!$B$25)*(CFD!$E$26-CFD!$E$25) + CFD!$E$25)</f>
        <v>1.3648113531133751E-2</v>
      </c>
      <c r="D324" s="92" t="s">
        <v>125</v>
      </c>
      <c r="E324" s="92" t="s">
        <v>137</v>
      </c>
      <c r="F324" s="92" t="s">
        <v>21</v>
      </c>
      <c r="G324" s="92" t="s">
        <v>550</v>
      </c>
      <c r="H324" s="139" t="s">
        <v>526</v>
      </c>
      <c r="I324" s="139"/>
      <c r="J324" s="139"/>
      <c r="K324" s="139"/>
      <c r="L324" s="139"/>
    </row>
    <row r="325" spans="1:12" x14ac:dyDescent="0.2">
      <c r="A325" s="69">
        <v>47000</v>
      </c>
      <c r="B325" s="92" t="s">
        <v>549</v>
      </c>
      <c r="C325" s="74">
        <f xml:space="preserve"> ABS((C316-CFD!$B$25)/(CFD!$B$26-CFD!$B$25)*(CFD!$E$26-CFD!$E$25) + CFD!$E$25)</f>
        <v>1.3881183782409871E-2</v>
      </c>
      <c r="D325" s="92" t="s">
        <v>125</v>
      </c>
      <c r="E325" s="92" t="s">
        <v>137</v>
      </c>
      <c r="F325" s="92" t="s">
        <v>21</v>
      </c>
      <c r="G325" s="92" t="s">
        <v>550</v>
      </c>
      <c r="H325" s="139" t="s">
        <v>526</v>
      </c>
      <c r="I325" s="139"/>
      <c r="J325" s="139"/>
      <c r="K325" s="139"/>
      <c r="L325" s="139"/>
    </row>
    <row r="326" spans="1:12" x14ac:dyDescent="0.2">
      <c r="A326" s="69">
        <v>48000</v>
      </c>
      <c r="B326" s="92" t="s">
        <v>549</v>
      </c>
      <c r="C326" s="74">
        <f xml:space="preserve"> ABS((C317-CFD!$B$25)/(CFD!$B$26-CFD!$B$25)*(CFD!$E$26-CFD!$E$25) + CFD!$E$25)</f>
        <v>1.4125198614701153E-2</v>
      </c>
      <c r="D326" s="92" t="s">
        <v>125</v>
      </c>
      <c r="E326" s="92" t="s">
        <v>137</v>
      </c>
      <c r="F326" s="92" t="s">
        <v>21</v>
      </c>
      <c r="G326" s="92" t="s">
        <v>550</v>
      </c>
      <c r="H326" s="139" t="s">
        <v>526</v>
      </c>
      <c r="I326" s="139"/>
      <c r="J326" s="139"/>
      <c r="K326" s="139"/>
      <c r="L326" s="139"/>
    </row>
    <row r="327" spans="1:12" x14ac:dyDescent="0.2">
      <c r="A327" s="69">
        <v>49000</v>
      </c>
      <c r="B327" s="92" t="s">
        <v>549</v>
      </c>
      <c r="C327" s="74">
        <f xml:space="preserve"> ABS((C318-CFD!$B$25)/(CFD!$B$26-CFD!$B$25)*(CFD!$E$26-CFD!$E$25) + CFD!$E$25)</f>
        <v>1.4382800196194347E-2</v>
      </c>
      <c r="D327" s="92" t="s">
        <v>125</v>
      </c>
      <c r="E327" s="92" t="s">
        <v>137</v>
      </c>
      <c r="F327" s="92" t="s">
        <v>21</v>
      </c>
      <c r="G327" s="92" t="s">
        <v>550</v>
      </c>
      <c r="H327" s="139" t="s">
        <v>526</v>
      </c>
      <c r="I327" s="139"/>
      <c r="J327" s="139"/>
      <c r="K327" s="139"/>
      <c r="L327" s="139"/>
    </row>
    <row r="328" spans="1:12" x14ac:dyDescent="0.2">
      <c r="A328" s="92" t="s">
        <v>553</v>
      </c>
      <c r="B328" s="92" t="s">
        <v>552</v>
      </c>
      <c r="C328" s="74">
        <f>CFD!E3*'Initial Estimates'!$C$5*'Final Aircraft Checkouts'!C319</f>
        <v>9961.4986330371084</v>
      </c>
      <c r="D328" s="92" t="s">
        <v>125</v>
      </c>
      <c r="E328" s="92" t="s">
        <v>137</v>
      </c>
      <c r="F328" s="92" t="s">
        <v>21</v>
      </c>
      <c r="G328" s="92" t="s">
        <v>554</v>
      </c>
      <c r="H328" s="139" t="s">
        <v>536</v>
      </c>
      <c r="I328" s="139"/>
      <c r="J328" s="139"/>
      <c r="K328" s="139"/>
      <c r="L328" s="139"/>
    </row>
    <row r="329" spans="1:12" x14ac:dyDescent="0.2">
      <c r="A329" s="69">
        <v>42000</v>
      </c>
      <c r="B329" s="92" t="s">
        <v>552</v>
      </c>
      <c r="C329" s="74">
        <f>CFD!E4*'Initial Estimates'!$C$5*'Final Aircraft Checkouts'!C320</f>
        <v>9633.326055619551</v>
      </c>
      <c r="D329" s="92" t="s">
        <v>125</v>
      </c>
      <c r="E329" s="92" t="s">
        <v>137</v>
      </c>
      <c r="F329" s="92" t="s">
        <v>21</v>
      </c>
      <c r="G329" s="92" t="s">
        <v>554</v>
      </c>
      <c r="H329" s="139" t="s">
        <v>536</v>
      </c>
      <c r="I329" s="139"/>
      <c r="J329" s="139"/>
      <c r="K329" s="139"/>
      <c r="L329" s="139"/>
    </row>
    <row r="330" spans="1:12" x14ac:dyDescent="0.2">
      <c r="A330" s="69">
        <v>43000</v>
      </c>
      <c r="B330" s="92" t="s">
        <v>552</v>
      </c>
      <c r="C330" s="74">
        <f>CFD!E5*'Initial Estimates'!$C$5*'Final Aircraft Checkouts'!C321</f>
        <v>9321.4368503639362</v>
      </c>
      <c r="D330" s="92" t="s">
        <v>125</v>
      </c>
      <c r="E330" s="92" t="s">
        <v>137</v>
      </c>
      <c r="F330" s="92" t="s">
        <v>21</v>
      </c>
      <c r="G330" s="92" t="s">
        <v>554</v>
      </c>
      <c r="H330" s="139" t="s">
        <v>536</v>
      </c>
      <c r="I330" s="139"/>
      <c r="J330" s="139"/>
      <c r="K330" s="139"/>
      <c r="L330" s="139"/>
    </row>
    <row r="331" spans="1:12" x14ac:dyDescent="0.2">
      <c r="A331" s="69">
        <v>44000</v>
      </c>
      <c r="B331" s="92" t="s">
        <v>552</v>
      </c>
      <c r="C331" s="74">
        <f>CFD!E6*'Initial Estimates'!$C$5*'Final Aircraft Checkouts'!C322</f>
        <v>9023.3258830915001</v>
      </c>
      <c r="D331" s="92" t="s">
        <v>125</v>
      </c>
      <c r="E331" s="92" t="s">
        <v>137</v>
      </c>
      <c r="F331" s="92" t="s">
        <v>21</v>
      </c>
      <c r="G331" s="92" t="s">
        <v>554</v>
      </c>
      <c r="H331" s="139" t="s">
        <v>536</v>
      </c>
      <c r="I331" s="139"/>
      <c r="J331" s="139"/>
      <c r="K331" s="139"/>
      <c r="L331" s="139"/>
    </row>
    <row r="332" spans="1:12" x14ac:dyDescent="0.2">
      <c r="A332" s="69">
        <v>45000</v>
      </c>
      <c r="B332" s="92" t="s">
        <v>552</v>
      </c>
      <c r="C332" s="74">
        <f>CFD!E7*'Initial Estimates'!$C$5*'Final Aircraft Checkouts'!C323</f>
        <v>8740.2457208916258</v>
      </c>
      <c r="D332" s="92" t="s">
        <v>125</v>
      </c>
      <c r="E332" s="92" t="s">
        <v>137</v>
      </c>
      <c r="F332" s="92" t="s">
        <v>21</v>
      </c>
      <c r="G332" s="92" t="s">
        <v>554</v>
      </c>
      <c r="H332" s="139" t="s">
        <v>536</v>
      </c>
      <c r="I332" s="139"/>
      <c r="J332" s="139"/>
      <c r="K332" s="139"/>
      <c r="L332" s="139"/>
    </row>
    <row r="333" spans="1:12" x14ac:dyDescent="0.2">
      <c r="A333" s="69">
        <v>46000</v>
      </c>
      <c r="B333" s="92" t="s">
        <v>552</v>
      </c>
      <c r="C333" s="74">
        <f>CFD!E8*'Initial Estimates'!$C$5*'Final Aircraft Checkouts'!C324</f>
        <v>8469.6912295855473</v>
      </c>
      <c r="D333" s="92" t="s">
        <v>125</v>
      </c>
      <c r="E333" s="92" t="s">
        <v>137</v>
      </c>
      <c r="F333" s="92" t="s">
        <v>21</v>
      </c>
      <c r="G333" s="92" t="s">
        <v>554</v>
      </c>
      <c r="H333" s="139" t="s">
        <v>536</v>
      </c>
      <c r="I333" s="139"/>
      <c r="J333" s="139"/>
      <c r="K333" s="139"/>
      <c r="L333" s="139"/>
    </row>
    <row r="334" spans="1:12" x14ac:dyDescent="0.2">
      <c r="A334" s="69">
        <v>47000</v>
      </c>
      <c r="B334" s="92" t="s">
        <v>552</v>
      </c>
      <c r="C334" s="74">
        <f>CFD!E9*'Initial Estimates'!$C$5*'Final Aircraft Checkouts'!C325</f>
        <v>8211.6624091732738</v>
      </c>
      <c r="D334" s="92" t="s">
        <v>125</v>
      </c>
      <c r="E334" s="92" t="s">
        <v>137</v>
      </c>
      <c r="F334" s="92" t="s">
        <v>21</v>
      </c>
      <c r="G334" s="92" t="s">
        <v>554</v>
      </c>
      <c r="H334" s="139" t="s">
        <v>536</v>
      </c>
      <c r="I334" s="139"/>
      <c r="J334" s="139"/>
      <c r="K334" s="139"/>
      <c r="L334" s="139"/>
    </row>
    <row r="335" spans="1:12" x14ac:dyDescent="0.2">
      <c r="A335" s="69">
        <v>48000</v>
      </c>
      <c r="B335" s="92" t="s">
        <v>552</v>
      </c>
      <c r="C335" s="74">
        <f>CFD!E10*'Initial Estimates'!$C$5*'Final Aircraft Checkouts'!C326</f>
        <v>7966.1592596547944</v>
      </c>
      <c r="D335" s="92" t="s">
        <v>125</v>
      </c>
      <c r="E335" s="92" t="s">
        <v>137</v>
      </c>
      <c r="F335" s="92" t="s">
        <v>21</v>
      </c>
      <c r="G335" s="92" t="s">
        <v>554</v>
      </c>
      <c r="H335" s="139" t="s">
        <v>536</v>
      </c>
      <c r="I335" s="139"/>
      <c r="J335" s="139"/>
      <c r="K335" s="139"/>
      <c r="L335" s="139"/>
    </row>
    <row r="336" spans="1:12" x14ac:dyDescent="0.2">
      <c r="A336" s="69">
        <v>49000</v>
      </c>
      <c r="B336" s="92" t="s">
        <v>552</v>
      </c>
      <c r="C336" s="74">
        <f>CFD!E11*'Initial Estimates'!$C$5*'Final Aircraft Checkouts'!C327</f>
        <v>7730.6766468513588</v>
      </c>
      <c r="D336" s="92" t="s">
        <v>125</v>
      </c>
      <c r="E336" s="92" t="s">
        <v>137</v>
      </c>
      <c r="F336" s="92" t="s">
        <v>21</v>
      </c>
      <c r="G336" s="92" t="s">
        <v>554</v>
      </c>
      <c r="H336" s="139" t="s">
        <v>536</v>
      </c>
      <c r="I336" s="139"/>
      <c r="J336" s="139"/>
      <c r="K336" s="139"/>
      <c r="L336" s="139"/>
    </row>
    <row r="337" spans="1:12" ht="21" x14ac:dyDescent="0.2">
      <c r="A337" s="118" t="s">
        <v>579</v>
      </c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20"/>
    </row>
    <row r="338" spans="1:12" ht="16" x14ac:dyDescent="0.2">
      <c r="A338" s="23" t="s">
        <v>5</v>
      </c>
      <c r="B338" s="23" t="s">
        <v>96</v>
      </c>
      <c r="C338" s="94" t="s">
        <v>7</v>
      </c>
      <c r="D338" s="94" t="s">
        <v>125</v>
      </c>
      <c r="E338" s="94" t="s">
        <v>8</v>
      </c>
      <c r="F338" s="94" t="s">
        <v>9</v>
      </c>
      <c r="G338" s="31" t="s">
        <v>10</v>
      </c>
      <c r="H338" s="122" t="s">
        <v>11</v>
      </c>
      <c r="I338" s="123"/>
      <c r="J338" s="123"/>
      <c r="K338" s="123"/>
      <c r="L338" s="124"/>
    </row>
    <row r="339" spans="1:12" x14ac:dyDescent="0.2">
      <c r="A339" s="92" t="s">
        <v>516</v>
      </c>
      <c r="B339" s="92" t="s">
        <v>474</v>
      </c>
      <c r="C339" s="92">
        <f>C279</f>
        <v>59762.029525069192</v>
      </c>
      <c r="D339" s="92" t="s">
        <v>125</v>
      </c>
      <c r="E339" s="92" t="s">
        <v>223</v>
      </c>
      <c r="F339" s="92" t="s">
        <v>517</v>
      </c>
      <c r="G339" s="92" t="s">
        <v>518</v>
      </c>
      <c r="H339" s="140" t="s">
        <v>519</v>
      </c>
      <c r="I339" s="140"/>
      <c r="J339" s="140"/>
      <c r="K339" s="140"/>
      <c r="L339" s="140"/>
    </row>
    <row r="340" spans="1:12" x14ac:dyDescent="0.2">
      <c r="A340" s="92" t="s">
        <v>555</v>
      </c>
      <c r="B340" s="92" t="s">
        <v>520</v>
      </c>
      <c r="C340" s="74">
        <f>$C$339/CFD!F3/'Initial Estimates'!$C$5</f>
        <v>6.7622835173003687E-2</v>
      </c>
      <c r="D340" s="92" t="s">
        <v>125</v>
      </c>
      <c r="E340" s="92" t="s">
        <v>137</v>
      </c>
      <c r="F340" s="92" t="s">
        <v>21</v>
      </c>
      <c r="G340" s="92" t="s">
        <v>535</v>
      </c>
      <c r="H340" s="139" t="s">
        <v>536</v>
      </c>
      <c r="I340" s="139"/>
      <c r="J340" s="139"/>
      <c r="K340" s="139"/>
      <c r="L340" s="139"/>
    </row>
    <row r="341" spans="1:12" x14ac:dyDescent="0.2">
      <c r="A341" s="69">
        <v>42000</v>
      </c>
      <c r="B341" s="92" t="s">
        <v>520</v>
      </c>
      <c r="C341" s="74">
        <f>$C$339/CFD!F4/'Initial Estimates'!$C$5</f>
        <v>7.0943146795066456E-2</v>
      </c>
      <c r="D341" s="92" t="s">
        <v>125</v>
      </c>
      <c r="E341" s="92" t="s">
        <v>137</v>
      </c>
      <c r="F341" s="92" t="s">
        <v>21</v>
      </c>
      <c r="G341" s="92" t="s">
        <v>535</v>
      </c>
      <c r="H341" s="139" t="s">
        <v>536</v>
      </c>
      <c r="I341" s="139"/>
      <c r="J341" s="139"/>
      <c r="K341" s="139"/>
      <c r="L341" s="139"/>
    </row>
    <row r="342" spans="1:12" x14ac:dyDescent="0.2">
      <c r="A342" s="69">
        <v>43000</v>
      </c>
      <c r="B342" s="92" t="s">
        <v>520</v>
      </c>
      <c r="C342" s="74">
        <f>$C$339/CFD!F5/'Initial Estimates'!$C$5</f>
        <v>7.4415693198048874E-2</v>
      </c>
      <c r="D342" s="92" t="s">
        <v>125</v>
      </c>
      <c r="E342" s="92" t="s">
        <v>137</v>
      </c>
      <c r="F342" s="92" t="s">
        <v>21</v>
      </c>
      <c r="G342" s="92" t="s">
        <v>535</v>
      </c>
      <c r="H342" s="139" t="s">
        <v>536</v>
      </c>
      <c r="I342" s="139"/>
      <c r="J342" s="139"/>
      <c r="K342" s="139"/>
      <c r="L342" s="139"/>
    </row>
    <row r="343" spans="1:12" x14ac:dyDescent="0.2">
      <c r="A343" s="69">
        <v>44000</v>
      </c>
      <c r="B343" s="92" t="s">
        <v>520</v>
      </c>
      <c r="C343" s="74">
        <f>$C$339/CFD!F6/'Initial Estimates'!$C$5</f>
        <v>7.8068185460605191E-2</v>
      </c>
      <c r="D343" s="92" t="s">
        <v>125</v>
      </c>
      <c r="E343" s="92" t="s">
        <v>137</v>
      </c>
      <c r="F343" s="92" t="s">
        <v>21</v>
      </c>
      <c r="G343" s="92" t="s">
        <v>535</v>
      </c>
      <c r="H343" s="139" t="s">
        <v>536</v>
      </c>
      <c r="I343" s="139"/>
      <c r="J343" s="139"/>
      <c r="K343" s="139"/>
      <c r="L343" s="139"/>
    </row>
    <row r="344" spans="1:12" x14ac:dyDescent="0.2">
      <c r="A344" s="69">
        <v>45000</v>
      </c>
      <c r="B344" s="92" t="s">
        <v>520</v>
      </c>
      <c r="C344" s="74">
        <f>$C$339/CFD!F7/'Initial Estimates'!$C$5</f>
        <v>8.1884627146544361E-2</v>
      </c>
      <c r="D344" s="92" t="s">
        <v>125</v>
      </c>
      <c r="E344" s="92" t="s">
        <v>137</v>
      </c>
      <c r="F344" s="92" t="s">
        <v>21</v>
      </c>
      <c r="G344" s="92" t="s">
        <v>535</v>
      </c>
      <c r="H344" s="139" t="s">
        <v>536</v>
      </c>
      <c r="I344" s="139"/>
      <c r="J344" s="139"/>
      <c r="K344" s="139"/>
      <c r="L344" s="139"/>
    </row>
    <row r="345" spans="1:12" x14ac:dyDescent="0.2">
      <c r="A345" s="69">
        <v>46000</v>
      </c>
      <c r="B345" s="92" t="s">
        <v>520</v>
      </c>
      <c r="C345" s="74">
        <f>$C$339/CFD!F8/'Initial Estimates'!$C$5</f>
        <v>8.5898032969928428E-2</v>
      </c>
      <c r="D345" s="92" t="s">
        <v>125</v>
      </c>
      <c r="E345" s="92" t="s">
        <v>137</v>
      </c>
      <c r="F345" s="92" t="s">
        <v>21</v>
      </c>
      <c r="G345" s="92" t="s">
        <v>535</v>
      </c>
      <c r="H345" s="139" t="s">
        <v>536</v>
      </c>
      <c r="I345" s="139"/>
      <c r="J345" s="139"/>
      <c r="K345" s="139"/>
      <c r="L345" s="139"/>
    </row>
    <row r="346" spans="1:12" x14ac:dyDescent="0.2">
      <c r="A346" s="69">
        <v>47000</v>
      </c>
      <c r="B346" s="92" t="s">
        <v>520</v>
      </c>
      <c r="C346" s="74">
        <f>$C$339/CFD!F9/'Initial Estimates'!$C$5</f>
        <v>9.011012408913939E-2</v>
      </c>
      <c r="D346" s="92" t="s">
        <v>125</v>
      </c>
      <c r="E346" s="92" t="s">
        <v>137</v>
      </c>
      <c r="F346" s="92" t="s">
        <v>21</v>
      </c>
      <c r="G346" s="92" t="s">
        <v>535</v>
      </c>
      <c r="H346" s="139" t="s">
        <v>536</v>
      </c>
      <c r="I346" s="139"/>
      <c r="J346" s="139"/>
      <c r="K346" s="139"/>
      <c r="L346" s="139"/>
    </row>
    <row r="347" spans="1:12" x14ac:dyDescent="0.2">
      <c r="A347" s="69">
        <v>48000</v>
      </c>
      <c r="B347" s="92" t="s">
        <v>520</v>
      </c>
      <c r="C347" s="74">
        <f>$C$339/CFD!F10/'Initial Estimates'!$C$5</f>
        <v>9.4520007814850079E-2</v>
      </c>
      <c r="D347" s="92" t="s">
        <v>125</v>
      </c>
      <c r="E347" s="92" t="s">
        <v>137</v>
      </c>
      <c r="F347" s="92" t="s">
        <v>21</v>
      </c>
      <c r="G347" s="92" t="s">
        <v>535</v>
      </c>
      <c r="H347" s="139" t="s">
        <v>536</v>
      </c>
      <c r="I347" s="139"/>
      <c r="J347" s="139"/>
      <c r="K347" s="139"/>
      <c r="L347" s="139"/>
    </row>
    <row r="348" spans="1:12" x14ac:dyDescent="0.2">
      <c r="A348" s="69">
        <v>49000</v>
      </c>
      <c r="B348" s="92" t="s">
        <v>520</v>
      </c>
      <c r="C348" s="74">
        <f>$C$339/CFD!F11/'Initial Estimates'!$C$5</f>
        <v>9.9175433926768308E-2</v>
      </c>
      <c r="D348" s="92" t="s">
        <v>125</v>
      </c>
      <c r="E348" s="92" t="s">
        <v>137</v>
      </c>
      <c r="F348" s="92" t="s">
        <v>21</v>
      </c>
      <c r="G348" s="92" t="s">
        <v>535</v>
      </c>
      <c r="H348" s="139" t="s">
        <v>536</v>
      </c>
      <c r="I348" s="139"/>
      <c r="J348" s="139"/>
      <c r="K348" s="139"/>
      <c r="L348" s="139"/>
    </row>
    <row r="349" spans="1:12" x14ac:dyDescent="0.2">
      <c r="A349" s="92" t="s">
        <v>556</v>
      </c>
      <c r="B349" s="92" t="s">
        <v>549</v>
      </c>
      <c r="C349" s="74">
        <f xml:space="preserve"> ABS((C340-CFD!$B$33)/(CFD!$B$34-CFD!$B$33)*(CFD!$E$34-CFD!$E$33) + CFD!$E$33)</f>
        <v>1.165332258464517E-2</v>
      </c>
      <c r="D349" s="92" t="s">
        <v>125</v>
      </c>
      <c r="E349" s="92" t="s">
        <v>137</v>
      </c>
      <c r="F349" s="92" t="s">
        <v>21</v>
      </c>
      <c r="G349" s="92" t="s">
        <v>550</v>
      </c>
      <c r="H349" s="139" t="s">
        <v>526</v>
      </c>
      <c r="I349" s="139"/>
      <c r="J349" s="139"/>
      <c r="K349" s="139"/>
      <c r="L349" s="139"/>
    </row>
    <row r="350" spans="1:12" x14ac:dyDescent="0.2">
      <c r="A350" s="69">
        <v>42000</v>
      </c>
      <c r="B350" s="92" t="s">
        <v>549</v>
      </c>
      <c r="C350" s="74">
        <f xml:space="preserve"> ABS((C341-CFD!$B$33)/(CFD!$B$34-CFD!$B$33)*(CFD!$E$34-CFD!$E$33) + CFD!$E$33)</f>
        <v>1.1932601132295309E-2</v>
      </c>
      <c r="D350" s="92" t="s">
        <v>125</v>
      </c>
      <c r="E350" s="92" t="s">
        <v>137</v>
      </c>
      <c r="F350" s="92" t="s">
        <v>21</v>
      </c>
      <c r="G350" s="92" t="s">
        <v>550</v>
      </c>
      <c r="H350" s="139" t="s">
        <v>526</v>
      </c>
      <c r="I350" s="139"/>
      <c r="J350" s="139"/>
      <c r="K350" s="139"/>
      <c r="L350" s="139"/>
    </row>
    <row r="351" spans="1:12" x14ac:dyDescent="0.2">
      <c r="A351" s="69">
        <v>43000</v>
      </c>
      <c r="B351" s="92" t="s">
        <v>549</v>
      </c>
      <c r="C351" s="74">
        <f xml:space="preserve"> ABS((C342-CFD!$B$33)/(CFD!$B$34-CFD!$B$33)*(CFD!$E$34-CFD!$E$33) + CFD!$E$33)</f>
        <v>1.2224684474602241E-2</v>
      </c>
      <c r="D351" s="92" t="s">
        <v>125</v>
      </c>
      <c r="E351" s="92" t="s">
        <v>137</v>
      </c>
      <c r="F351" s="92" t="s">
        <v>21</v>
      </c>
      <c r="G351" s="92" t="s">
        <v>550</v>
      </c>
      <c r="H351" s="139" t="s">
        <v>526</v>
      </c>
      <c r="I351" s="139"/>
      <c r="J351" s="139"/>
      <c r="K351" s="139"/>
      <c r="L351" s="139"/>
    </row>
    <row r="352" spans="1:12" x14ac:dyDescent="0.2">
      <c r="A352" s="69">
        <v>44000</v>
      </c>
      <c r="B352" s="92" t="s">
        <v>549</v>
      </c>
      <c r="C352" s="74">
        <f xml:space="preserve"> ABS((C343-CFD!$B$33)/(CFD!$B$34-CFD!$B$33)*(CFD!$E$34-CFD!$E$33) + CFD!$E$33)</f>
        <v>1.2531903449957445E-2</v>
      </c>
      <c r="D352" s="92" t="s">
        <v>125</v>
      </c>
      <c r="E352" s="92" t="s">
        <v>137</v>
      </c>
      <c r="F352" s="92" t="s">
        <v>21</v>
      </c>
      <c r="G352" s="92" t="s">
        <v>550</v>
      </c>
      <c r="H352" s="139" t="s">
        <v>526</v>
      </c>
      <c r="I352" s="139"/>
      <c r="J352" s="139"/>
      <c r="K352" s="139"/>
      <c r="L352" s="139"/>
    </row>
    <row r="353" spans="1:12" x14ac:dyDescent="0.2">
      <c r="A353" s="69">
        <v>45000</v>
      </c>
      <c r="B353" s="92" t="s">
        <v>549</v>
      </c>
      <c r="C353" s="74">
        <f xml:space="preserve"> ABS((C344-CFD!$B$33)/(CFD!$B$34-CFD!$B$33)*(CFD!$E$34-CFD!$E$33) + CFD!$E$33)</f>
        <v>1.2852912563728031E-2</v>
      </c>
      <c r="D353" s="92" t="s">
        <v>125</v>
      </c>
      <c r="E353" s="92" t="s">
        <v>137</v>
      </c>
      <c r="F353" s="92" t="s">
        <v>21</v>
      </c>
      <c r="G353" s="92" t="s">
        <v>550</v>
      </c>
      <c r="H353" s="139" t="s">
        <v>526</v>
      </c>
      <c r="I353" s="139"/>
      <c r="J353" s="139"/>
      <c r="K353" s="139"/>
      <c r="L353" s="139"/>
    </row>
    <row r="354" spans="1:12" x14ac:dyDescent="0.2">
      <c r="A354" s="69">
        <v>46000</v>
      </c>
      <c r="B354" s="92" t="s">
        <v>549</v>
      </c>
      <c r="C354" s="74">
        <f xml:space="preserve"> ABS((C345-CFD!$B$33)/(CFD!$B$34-CFD!$B$33)*(CFD!$E$34-CFD!$E$33) + CFD!$E$33)</f>
        <v>1.3190488754479961E-2</v>
      </c>
      <c r="D354" s="92" t="s">
        <v>125</v>
      </c>
      <c r="E354" s="92" t="s">
        <v>137</v>
      </c>
      <c r="F354" s="92" t="s">
        <v>21</v>
      </c>
      <c r="G354" s="92" t="s">
        <v>550</v>
      </c>
      <c r="H354" s="139" t="s">
        <v>526</v>
      </c>
      <c r="I354" s="139"/>
      <c r="J354" s="139"/>
      <c r="K354" s="139"/>
      <c r="L354" s="139"/>
    </row>
    <row r="355" spans="1:12" x14ac:dyDescent="0.2">
      <c r="A355" s="69">
        <v>47000</v>
      </c>
      <c r="B355" s="92" t="s">
        <v>549</v>
      </c>
      <c r="C355" s="74">
        <f xml:space="preserve"> ABS((C346-CFD!$B$33)/(CFD!$B$34-CFD!$B$33)*(CFD!$E$34-CFD!$E$33) + CFD!$E$33)</f>
        <v>1.3544776792544434E-2</v>
      </c>
      <c r="D355" s="92" t="s">
        <v>125</v>
      </c>
      <c r="E355" s="92" t="s">
        <v>137</v>
      </c>
      <c r="F355" s="92" t="s">
        <v>21</v>
      </c>
      <c r="G355" s="92" t="s">
        <v>550</v>
      </c>
      <c r="H355" s="139" t="s">
        <v>526</v>
      </c>
      <c r="I355" s="139"/>
      <c r="J355" s="139"/>
      <c r="K355" s="139"/>
      <c r="L355" s="139"/>
    </row>
    <row r="356" spans="1:12" x14ac:dyDescent="0.2">
      <c r="A356" s="69">
        <v>48000</v>
      </c>
      <c r="B356" s="92" t="s">
        <v>549</v>
      </c>
      <c r="C356" s="74">
        <f xml:space="preserve"> ABS((C347-CFD!$B$33)/(CFD!$B$34-CFD!$B$33)*(CFD!$E$34-CFD!$E$33) + CFD!$E$33)</f>
        <v>1.3915701591903277E-2</v>
      </c>
      <c r="D356" s="92" t="s">
        <v>125</v>
      </c>
      <c r="E356" s="92" t="s">
        <v>137</v>
      </c>
      <c r="F356" s="92" t="s">
        <v>21</v>
      </c>
      <c r="G356" s="92" t="s">
        <v>550</v>
      </c>
      <c r="H356" s="139" t="s">
        <v>526</v>
      </c>
      <c r="I356" s="139"/>
      <c r="J356" s="139"/>
      <c r="K356" s="139"/>
      <c r="L356" s="139"/>
    </row>
    <row r="357" spans="1:12" x14ac:dyDescent="0.2">
      <c r="A357" s="69">
        <v>49000</v>
      </c>
      <c r="B357" s="92" t="s">
        <v>549</v>
      </c>
      <c r="C357" s="74">
        <f xml:space="preserve"> ABS((C348-CFD!$B$33)/(CFD!$B$34-CFD!$B$33)*(CFD!$E$34-CFD!$E$33) + CFD!$E$33)</f>
        <v>1.4307279489167426E-2</v>
      </c>
      <c r="D357" s="92" t="s">
        <v>125</v>
      </c>
      <c r="E357" s="92" t="s">
        <v>137</v>
      </c>
      <c r="F357" s="92" t="s">
        <v>21</v>
      </c>
      <c r="G357" s="92" t="s">
        <v>550</v>
      </c>
      <c r="H357" s="139" t="s">
        <v>526</v>
      </c>
      <c r="I357" s="139"/>
      <c r="J357" s="139"/>
      <c r="K357" s="139"/>
      <c r="L357" s="139"/>
    </row>
    <row r="358" spans="1:12" x14ac:dyDescent="0.2">
      <c r="A358" s="92" t="s">
        <v>553</v>
      </c>
      <c r="B358" s="92" t="s">
        <v>552</v>
      </c>
      <c r="C358" s="74">
        <f>CFD!F3*'Initial Estimates'!$C$5*'Final Aircraft Checkouts'!C349</f>
        <v>10298.683966547838</v>
      </c>
      <c r="D358" s="92" t="s">
        <v>125</v>
      </c>
      <c r="E358" s="92" t="s">
        <v>137</v>
      </c>
      <c r="F358" s="92" t="s">
        <v>21</v>
      </c>
      <c r="G358" s="92" t="s">
        <v>554</v>
      </c>
      <c r="H358" s="139" t="s">
        <v>536</v>
      </c>
      <c r="I358" s="139"/>
      <c r="J358" s="139"/>
      <c r="K358" s="139"/>
      <c r="L358" s="139"/>
    </row>
    <row r="359" spans="1:12" x14ac:dyDescent="0.2">
      <c r="A359" s="69">
        <v>42000</v>
      </c>
      <c r="B359" s="92" t="s">
        <v>552</v>
      </c>
      <c r="C359" s="74">
        <f>CFD!F4*'Initial Estimates'!$C$5*'Final Aircraft Checkouts'!C350</f>
        <v>10051.942906325916</v>
      </c>
      <c r="D359" s="92" t="s">
        <v>125</v>
      </c>
      <c r="E359" s="92" t="s">
        <v>137</v>
      </c>
      <c r="F359" s="92" t="s">
        <v>21</v>
      </c>
      <c r="G359" s="92" t="s">
        <v>554</v>
      </c>
      <c r="H359" s="139" t="s">
        <v>536</v>
      </c>
      <c r="I359" s="139"/>
      <c r="J359" s="139"/>
      <c r="K359" s="139"/>
      <c r="L359" s="139"/>
    </row>
    <row r="360" spans="1:12" x14ac:dyDescent="0.2">
      <c r="A360" s="69">
        <v>43000</v>
      </c>
      <c r="B360" s="92" t="s">
        <v>552</v>
      </c>
      <c r="C360" s="74">
        <f>CFD!F5*'Initial Estimates'!$C$5*'Final Aircraft Checkouts'!C351</f>
        <v>9817.4447231379036</v>
      </c>
      <c r="D360" s="92" t="s">
        <v>125</v>
      </c>
      <c r="E360" s="92" t="s">
        <v>137</v>
      </c>
      <c r="F360" s="92" t="s">
        <v>21</v>
      </c>
      <c r="G360" s="92" t="s">
        <v>554</v>
      </c>
      <c r="H360" s="139" t="s">
        <v>536</v>
      </c>
      <c r="I360" s="139"/>
      <c r="J360" s="139"/>
      <c r="K360" s="139"/>
      <c r="L360" s="139"/>
    </row>
    <row r="361" spans="1:12" x14ac:dyDescent="0.2">
      <c r="A361" s="69">
        <v>44000</v>
      </c>
      <c r="B361" s="92" t="s">
        <v>552</v>
      </c>
      <c r="C361" s="74">
        <f>CFD!F6*'Initial Estimates'!$C$5*'Final Aircraft Checkouts'!C352</f>
        <v>9593.3058974401265</v>
      </c>
      <c r="D361" s="92" t="s">
        <v>125</v>
      </c>
      <c r="E361" s="92" t="s">
        <v>137</v>
      </c>
      <c r="F361" s="92" t="s">
        <v>21</v>
      </c>
      <c r="G361" s="92" t="s">
        <v>554</v>
      </c>
      <c r="H361" s="139" t="s">
        <v>536</v>
      </c>
      <c r="I361" s="139"/>
      <c r="J361" s="139"/>
      <c r="K361" s="139"/>
      <c r="L361" s="139"/>
    </row>
    <row r="362" spans="1:12" x14ac:dyDescent="0.2">
      <c r="A362" s="69">
        <v>45000</v>
      </c>
      <c r="B362" s="92" t="s">
        <v>552</v>
      </c>
      <c r="C362" s="74">
        <f>CFD!F7*'Initial Estimates'!$C$5*'Final Aircraft Checkouts'!C353</f>
        <v>9380.468189004423</v>
      </c>
      <c r="D362" s="92" t="s">
        <v>125</v>
      </c>
      <c r="E362" s="92" t="s">
        <v>137</v>
      </c>
      <c r="F362" s="92" t="s">
        <v>21</v>
      </c>
      <c r="G362" s="92" t="s">
        <v>554</v>
      </c>
      <c r="H362" s="139" t="s">
        <v>536</v>
      </c>
      <c r="I362" s="139"/>
      <c r="J362" s="139"/>
      <c r="K362" s="139"/>
      <c r="L362" s="139"/>
    </row>
    <row r="363" spans="1:12" x14ac:dyDescent="0.2">
      <c r="A363" s="69">
        <v>46000</v>
      </c>
      <c r="B363" s="92" t="s">
        <v>552</v>
      </c>
      <c r="C363" s="74">
        <f>CFD!F8*'Initial Estimates'!$C$5*'Final Aircraft Checkouts'!C354</f>
        <v>9177.0480782871109</v>
      </c>
      <c r="D363" s="92" t="s">
        <v>125</v>
      </c>
      <c r="E363" s="92" t="s">
        <v>137</v>
      </c>
      <c r="F363" s="92" t="s">
        <v>21</v>
      </c>
      <c r="G363" s="92" t="s">
        <v>554</v>
      </c>
      <c r="H363" s="139" t="s">
        <v>536</v>
      </c>
      <c r="I363" s="139"/>
      <c r="J363" s="139"/>
      <c r="K363" s="139"/>
      <c r="L363" s="139"/>
    </row>
    <row r="364" spans="1:12" x14ac:dyDescent="0.2">
      <c r="A364" s="69">
        <v>47000</v>
      </c>
      <c r="B364" s="92" t="s">
        <v>552</v>
      </c>
      <c r="C364" s="74">
        <f>CFD!F9*'Initial Estimates'!$C$5*'Final Aircraft Checkouts'!C355</f>
        <v>8983.0455652881938</v>
      </c>
      <c r="D364" s="92" t="s">
        <v>125</v>
      </c>
      <c r="E364" s="92" t="s">
        <v>137</v>
      </c>
      <c r="F364" s="92" t="s">
        <v>21</v>
      </c>
      <c r="G364" s="92" t="s">
        <v>554</v>
      </c>
      <c r="H364" s="139" t="s">
        <v>536</v>
      </c>
      <c r="I364" s="139"/>
      <c r="J364" s="139"/>
      <c r="K364" s="139"/>
      <c r="L364" s="139"/>
    </row>
    <row r="365" spans="1:12" x14ac:dyDescent="0.2">
      <c r="A365" s="69">
        <v>48000</v>
      </c>
      <c r="B365" s="92" t="s">
        <v>552</v>
      </c>
      <c r="C365" s="74">
        <f>CFD!F10*'Initial Estimates'!$C$5*'Final Aircraft Checkouts'!C356</f>
        <v>8798.4606500076698</v>
      </c>
      <c r="D365" s="92" t="s">
        <v>125</v>
      </c>
      <c r="E365" s="92" t="s">
        <v>137</v>
      </c>
      <c r="F365" s="92" t="s">
        <v>21</v>
      </c>
      <c r="G365" s="92" t="s">
        <v>554</v>
      </c>
      <c r="H365" s="139" t="s">
        <v>536</v>
      </c>
      <c r="I365" s="139"/>
      <c r="J365" s="139"/>
      <c r="K365" s="139"/>
      <c r="L365" s="139"/>
    </row>
    <row r="366" spans="1:12" x14ac:dyDescent="0.2">
      <c r="A366" s="69">
        <v>49000</v>
      </c>
      <c r="B366" s="92" t="s">
        <v>552</v>
      </c>
      <c r="C366" s="74">
        <f>CFD!F11*'Initial Estimates'!$C$5*'Final Aircraft Checkouts'!C357</f>
        <v>8621.4098129018621</v>
      </c>
      <c r="D366" s="92" t="s">
        <v>125</v>
      </c>
      <c r="E366" s="92" t="s">
        <v>137</v>
      </c>
      <c r="F366" s="92" t="s">
        <v>21</v>
      </c>
      <c r="G366" s="92" t="s">
        <v>554</v>
      </c>
      <c r="H366" s="139" t="s">
        <v>536</v>
      </c>
      <c r="I366" s="139"/>
      <c r="J366" s="139"/>
      <c r="K366" s="139"/>
      <c r="L366" s="139"/>
    </row>
  </sheetData>
  <mergeCells count="360">
    <mergeCell ref="H362:L362"/>
    <mergeCell ref="H363:L363"/>
    <mergeCell ref="H364:L364"/>
    <mergeCell ref="H365:L365"/>
    <mergeCell ref="H366:L366"/>
    <mergeCell ref="H357:L357"/>
    <mergeCell ref="H358:L358"/>
    <mergeCell ref="H359:L359"/>
    <mergeCell ref="H360:L360"/>
    <mergeCell ref="H361:L361"/>
    <mergeCell ref="H352:L352"/>
    <mergeCell ref="H353:L353"/>
    <mergeCell ref="H354:L354"/>
    <mergeCell ref="H355:L355"/>
    <mergeCell ref="H356:L356"/>
    <mergeCell ref="H347:L347"/>
    <mergeCell ref="H348:L348"/>
    <mergeCell ref="H349:L349"/>
    <mergeCell ref="H350:L350"/>
    <mergeCell ref="H351:L351"/>
    <mergeCell ref="H342:L342"/>
    <mergeCell ref="H343:L343"/>
    <mergeCell ref="H344:L344"/>
    <mergeCell ref="H345:L345"/>
    <mergeCell ref="H346:L346"/>
    <mergeCell ref="A337:L337"/>
    <mergeCell ref="H338:L338"/>
    <mergeCell ref="H339:L339"/>
    <mergeCell ref="H340:L340"/>
    <mergeCell ref="H341:L341"/>
    <mergeCell ref="H332:L332"/>
    <mergeCell ref="H333:L333"/>
    <mergeCell ref="H334:L334"/>
    <mergeCell ref="H335:L335"/>
    <mergeCell ref="H336:L336"/>
    <mergeCell ref="H327:L327"/>
    <mergeCell ref="H328:L328"/>
    <mergeCell ref="H329:L329"/>
    <mergeCell ref="H330:L330"/>
    <mergeCell ref="H331:L331"/>
    <mergeCell ref="H322:L322"/>
    <mergeCell ref="H323:L323"/>
    <mergeCell ref="H324:L324"/>
    <mergeCell ref="H325:L325"/>
    <mergeCell ref="H326:L326"/>
    <mergeCell ref="H317:L317"/>
    <mergeCell ref="H318:L318"/>
    <mergeCell ref="H319:L319"/>
    <mergeCell ref="H320:L320"/>
    <mergeCell ref="H321:L321"/>
    <mergeCell ref="H312:L312"/>
    <mergeCell ref="H313:L313"/>
    <mergeCell ref="H314:L314"/>
    <mergeCell ref="H315:L315"/>
    <mergeCell ref="H316:L316"/>
    <mergeCell ref="A307:L307"/>
    <mergeCell ref="H308:L308"/>
    <mergeCell ref="H309:L309"/>
    <mergeCell ref="H310:L310"/>
    <mergeCell ref="H311:L311"/>
    <mergeCell ref="H302:L302"/>
    <mergeCell ref="H303:L303"/>
    <mergeCell ref="H304:L304"/>
    <mergeCell ref="H305:L305"/>
    <mergeCell ref="H306:L306"/>
    <mergeCell ref="H297:L297"/>
    <mergeCell ref="H298:L298"/>
    <mergeCell ref="H299:L299"/>
    <mergeCell ref="H300:L300"/>
    <mergeCell ref="H301:L301"/>
    <mergeCell ref="H292:L292"/>
    <mergeCell ref="H293:L293"/>
    <mergeCell ref="H294:L294"/>
    <mergeCell ref="H295:L295"/>
    <mergeCell ref="H296:L296"/>
    <mergeCell ref="H287:L287"/>
    <mergeCell ref="H288:L288"/>
    <mergeCell ref="H289:L289"/>
    <mergeCell ref="H290:L290"/>
    <mergeCell ref="H291:L291"/>
    <mergeCell ref="H282:L282"/>
    <mergeCell ref="H283:L283"/>
    <mergeCell ref="H284:L284"/>
    <mergeCell ref="H285:L285"/>
    <mergeCell ref="H286:L286"/>
    <mergeCell ref="A277:L277"/>
    <mergeCell ref="H278:L278"/>
    <mergeCell ref="H279:L279"/>
    <mergeCell ref="H280:L280"/>
    <mergeCell ref="H281:L281"/>
    <mergeCell ref="H270:L270"/>
    <mergeCell ref="H271:L271"/>
    <mergeCell ref="H272:L272"/>
    <mergeCell ref="H273:L273"/>
    <mergeCell ref="H274:L274"/>
    <mergeCell ref="H265:L265"/>
    <mergeCell ref="H266:L266"/>
    <mergeCell ref="H267:L267"/>
    <mergeCell ref="H268:L268"/>
    <mergeCell ref="H269:L269"/>
    <mergeCell ref="H260:L260"/>
    <mergeCell ref="H261:L261"/>
    <mergeCell ref="H262:L262"/>
    <mergeCell ref="H263:L263"/>
    <mergeCell ref="H264:L264"/>
    <mergeCell ref="H255:L255"/>
    <mergeCell ref="H256:L256"/>
    <mergeCell ref="H257:L257"/>
    <mergeCell ref="H258:L258"/>
    <mergeCell ref="H259:L259"/>
    <mergeCell ref="H250:L250"/>
    <mergeCell ref="H251:L251"/>
    <mergeCell ref="H252:L252"/>
    <mergeCell ref="H253:L253"/>
    <mergeCell ref="H254:L254"/>
    <mergeCell ref="A245:L245"/>
    <mergeCell ref="H246:L246"/>
    <mergeCell ref="H247:L247"/>
    <mergeCell ref="H248:L248"/>
    <mergeCell ref="H249:L249"/>
    <mergeCell ref="H240:L240"/>
    <mergeCell ref="H241:L241"/>
    <mergeCell ref="H242:L242"/>
    <mergeCell ref="H243:L243"/>
    <mergeCell ref="H244:L244"/>
    <mergeCell ref="H235:L235"/>
    <mergeCell ref="H236:L236"/>
    <mergeCell ref="H237:L237"/>
    <mergeCell ref="H238:L238"/>
    <mergeCell ref="H239:L239"/>
    <mergeCell ref="H230:L230"/>
    <mergeCell ref="H231:L231"/>
    <mergeCell ref="H232:L232"/>
    <mergeCell ref="H233:L233"/>
    <mergeCell ref="H234:L234"/>
    <mergeCell ref="H225:L225"/>
    <mergeCell ref="H226:L226"/>
    <mergeCell ref="H227:L227"/>
    <mergeCell ref="H228:L228"/>
    <mergeCell ref="H229:L229"/>
    <mergeCell ref="H220:L220"/>
    <mergeCell ref="H221:L221"/>
    <mergeCell ref="H222:L222"/>
    <mergeCell ref="H223:L223"/>
    <mergeCell ref="H224:L224"/>
    <mergeCell ref="A215:L215"/>
    <mergeCell ref="H216:L216"/>
    <mergeCell ref="H217:L217"/>
    <mergeCell ref="H218:L218"/>
    <mergeCell ref="H219:L219"/>
    <mergeCell ref="H210:L210"/>
    <mergeCell ref="H211:L211"/>
    <mergeCell ref="H212:L212"/>
    <mergeCell ref="H213:L213"/>
    <mergeCell ref="H214:L214"/>
    <mergeCell ref="H205:L205"/>
    <mergeCell ref="H206:L206"/>
    <mergeCell ref="H207:L207"/>
    <mergeCell ref="H208:L208"/>
    <mergeCell ref="H209:L209"/>
    <mergeCell ref="H200:L200"/>
    <mergeCell ref="H201:L201"/>
    <mergeCell ref="H202:L202"/>
    <mergeCell ref="H203:L203"/>
    <mergeCell ref="H204:L204"/>
    <mergeCell ref="H195:L195"/>
    <mergeCell ref="H196:L196"/>
    <mergeCell ref="H197:L197"/>
    <mergeCell ref="H198:L198"/>
    <mergeCell ref="H199:L199"/>
    <mergeCell ref="H190:L190"/>
    <mergeCell ref="H191:L191"/>
    <mergeCell ref="H192:L192"/>
    <mergeCell ref="H193:L193"/>
    <mergeCell ref="H194:L194"/>
    <mergeCell ref="A185:L185"/>
    <mergeCell ref="H186:L186"/>
    <mergeCell ref="H187:L187"/>
    <mergeCell ref="H188:L188"/>
    <mergeCell ref="H189:L189"/>
    <mergeCell ref="H178:L178"/>
    <mergeCell ref="H179:L179"/>
    <mergeCell ref="H180:L180"/>
    <mergeCell ref="H181:L181"/>
    <mergeCell ref="H182:L182"/>
    <mergeCell ref="H173:L173"/>
    <mergeCell ref="H174:L174"/>
    <mergeCell ref="H175:L175"/>
    <mergeCell ref="H176:L176"/>
    <mergeCell ref="H177:L177"/>
    <mergeCell ref="H168:L168"/>
    <mergeCell ref="H169:L169"/>
    <mergeCell ref="H170:L170"/>
    <mergeCell ref="H171:L171"/>
    <mergeCell ref="H172:L172"/>
    <mergeCell ref="H163:L163"/>
    <mergeCell ref="H164:L164"/>
    <mergeCell ref="H165:L165"/>
    <mergeCell ref="H166:L166"/>
    <mergeCell ref="H167:L167"/>
    <mergeCell ref="H158:L158"/>
    <mergeCell ref="H159:L159"/>
    <mergeCell ref="H160:L160"/>
    <mergeCell ref="H161:L161"/>
    <mergeCell ref="H162:L162"/>
    <mergeCell ref="A153:L153"/>
    <mergeCell ref="H154:L154"/>
    <mergeCell ref="H155:L155"/>
    <mergeCell ref="H156:L156"/>
    <mergeCell ref="H157:L157"/>
    <mergeCell ref="H148:L148"/>
    <mergeCell ref="H149:L149"/>
    <mergeCell ref="H150:L150"/>
    <mergeCell ref="H151:L151"/>
    <mergeCell ref="H152:L152"/>
    <mergeCell ref="H143:L143"/>
    <mergeCell ref="H144:L144"/>
    <mergeCell ref="H145:L145"/>
    <mergeCell ref="H146:L146"/>
    <mergeCell ref="H147:L147"/>
    <mergeCell ref="H138:L138"/>
    <mergeCell ref="H139:L139"/>
    <mergeCell ref="H140:L140"/>
    <mergeCell ref="H141:L141"/>
    <mergeCell ref="H142:L142"/>
    <mergeCell ref="H133:L133"/>
    <mergeCell ref="H134:L134"/>
    <mergeCell ref="H135:L135"/>
    <mergeCell ref="H136:L136"/>
    <mergeCell ref="H137:L137"/>
    <mergeCell ref="H128:L128"/>
    <mergeCell ref="H129:L129"/>
    <mergeCell ref="H130:L130"/>
    <mergeCell ref="H131:L131"/>
    <mergeCell ref="H132:L132"/>
    <mergeCell ref="A123:L123"/>
    <mergeCell ref="H124:L124"/>
    <mergeCell ref="H125:L125"/>
    <mergeCell ref="H126:L126"/>
    <mergeCell ref="H127:L127"/>
    <mergeCell ref="H118:L118"/>
    <mergeCell ref="H119:L119"/>
    <mergeCell ref="H120:L120"/>
    <mergeCell ref="H121:L121"/>
    <mergeCell ref="H122:L122"/>
    <mergeCell ref="H113:L113"/>
    <mergeCell ref="H114:L114"/>
    <mergeCell ref="H115:L115"/>
    <mergeCell ref="H116:L116"/>
    <mergeCell ref="H117:L117"/>
    <mergeCell ref="H108:L108"/>
    <mergeCell ref="H109:L109"/>
    <mergeCell ref="H110:L110"/>
    <mergeCell ref="H111:L111"/>
    <mergeCell ref="H112:L112"/>
    <mergeCell ref="H103:L103"/>
    <mergeCell ref="H104:L104"/>
    <mergeCell ref="H105:L105"/>
    <mergeCell ref="H106:L106"/>
    <mergeCell ref="H107:L107"/>
    <mergeCell ref="H98:L98"/>
    <mergeCell ref="H99:L99"/>
    <mergeCell ref="H100:L100"/>
    <mergeCell ref="H101:L101"/>
    <mergeCell ref="H102:L102"/>
    <mergeCell ref="A93:L93"/>
    <mergeCell ref="H94:L94"/>
    <mergeCell ref="H95:L95"/>
    <mergeCell ref="H96:L96"/>
    <mergeCell ref="H97:L97"/>
    <mergeCell ref="H28:L28"/>
    <mergeCell ref="H29:L29"/>
    <mergeCell ref="H30:L30"/>
    <mergeCell ref="H23:L23"/>
    <mergeCell ref="H14:L14"/>
    <mergeCell ref="H15:L15"/>
    <mergeCell ref="H16:L16"/>
    <mergeCell ref="H17:L17"/>
    <mergeCell ref="H22:L22"/>
    <mergeCell ref="H18:L18"/>
    <mergeCell ref="H19:L19"/>
    <mergeCell ref="H20:L20"/>
    <mergeCell ref="H21:L21"/>
    <mergeCell ref="H25:L25"/>
    <mergeCell ref="H24:L24"/>
    <mergeCell ref="H26:L26"/>
    <mergeCell ref="H27:L27"/>
    <mergeCell ref="A1:L1"/>
    <mergeCell ref="H2:L2"/>
    <mergeCell ref="H3:L3"/>
    <mergeCell ref="H4:L4"/>
    <mergeCell ref="H13:L13"/>
    <mergeCell ref="H5:L5"/>
    <mergeCell ref="H6:L6"/>
    <mergeCell ref="H7:L7"/>
    <mergeCell ref="H8:L8"/>
    <mergeCell ref="H9:L9"/>
    <mergeCell ref="H10:L10"/>
    <mergeCell ref="H11:L11"/>
    <mergeCell ref="H12:L12"/>
    <mergeCell ref="A31:L31"/>
    <mergeCell ref="H32:L32"/>
    <mergeCell ref="H33:L33"/>
    <mergeCell ref="H34:L34"/>
    <mergeCell ref="H35:L35"/>
    <mergeCell ref="H36:L36"/>
    <mergeCell ref="H37:L37"/>
    <mergeCell ref="H38:L38"/>
    <mergeCell ref="H39:L39"/>
    <mergeCell ref="H40:L40"/>
    <mergeCell ref="H41:L41"/>
    <mergeCell ref="H42:L42"/>
    <mergeCell ref="H43:L43"/>
    <mergeCell ref="H44:L44"/>
    <mergeCell ref="H45:L45"/>
    <mergeCell ref="H46:L46"/>
    <mergeCell ref="H47:L47"/>
    <mergeCell ref="H48:L48"/>
    <mergeCell ref="H49:L49"/>
    <mergeCell ref="H50:L50"/>
    <mergeCell ref="H51:L51"/>
    <mergeCell ref="H52:L52"/>
    <mergeCell ref="H53:L53"/>
    <mergeCell ref="H54:L54"/>
    <mergeCell ref="H55:L55"/>
    <mergeCell ref="H56:L56"/>
    <mergeCell ref="H57:L57"/>
    <mergeCell ref="H58:L58"/>
    <mergeCell ref="H59:L59"/>
    <mergeCell ref="H60:L60"/>
    <mergeCell ref="A61:L61"/>
    <mergeCell ref="H62:L62"/>
    <mergeCell ref="H63:L63"/>
    <mergeCell ref="H64:L64"/>
    <mergeCell ref="H65:L65"/>
    <mergeCell ref="H66:L66"/>
    <mergeCell ref="H67:L67"/>
    <mergeCell ref="H68:L68"/>
    <mergeCell ref="H69:L69"/>
    <mergeCell ref="H70:L70"/>
    <mergeCell ref="H71:L71"/>
    <mergeCell ref="H72:L72"/>
    <mergeCell ref="H73:L73"/>
    <mergeCell ref="H74:L74"/>
    <mergeCell ref="H75:L75"/>
    <mergeCell ref="H76:L76"/>
    <mergeCell ref="H77:L77"/>
    <mergeCell ref="H78:L78"/>
    <mergeCell ref="H79:L79"/>
    <mergeCell ref="H80:L80"/>
    <mergeCell ref="H81:L81"/>
    <mergeCell ref="H82:L82"/>
    <mergeCell ref="H83:L83"/>
    <mergeCell ref="H84:L84"/>
    <mergeCell ref="H85:L85"/>
    <mergeCell ref="H86:L86"/>
    <mergeCell ref="H87:L87"/>
    <mergeCell ref="H88:L88"/>
    <mergeCell ref="H89:L89"/>
    <mergeCell ref="H90:L9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5" zoomScale="120" zoomScaleNormal="120" zoomScalePageLayoutView="120" workbookViewId="0">
      <selection activeCell="J41" sqref="J41"/>
    </sheetView>
  </sheetViews>
  <sheetFormatPr baseColWidth="10" defaultColWidth="15.1640625" defaultRowHeight="16" x14ac:dyDescent="0.2"/>
  <cols>
    <col min="1" max="1" width="27.6640625" style="57" customWidth="1"/>
    <col min="2" max="2" width="19.33203125" style="57" customWidth="1"/>
    <col min="3" max="3" width="15.1640625" style="57"/>
    <col min="4" max="4" width="2" style="57" customWidth="1"/>
    <col min="5" max="5" width="6.6640625" style="57" customWidth="1"/>
    <col min="6" max="6" width="30.33203125" style="57" customWidth="1"/>
    <col min="7" max="7" width="52.83203125" style="29" customWidth="1"/>
    <col min="8" max="16384" width="15.1640625" style="57"/>
  </cols>
  <sheetData>
    <row r="1" spans="1:12" ht="22" customHeight="1" x14ac:dyDescent="0.2">
      <c r="A1" s="118" t="s">
        <v>521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20"/>
    </row>
    <row r="2" spans="1:12" ht="18" customHeight="1" x14ac:dyDescent="0.2">
      <c r="A2" s="23" t="s">
        <v>5</v>
      </c>
      <c r="B2" s="23" t="s">
        <v>96</v>
      </c>
      <c r="C2" s="58" t="s">
        <v>7</v>
      </c>
      <c r="D2" s="58" t="s">
        <v>125</v>
      </c>
      <c r="E2" s="58" t="s">
        <v>8</v>
      </c>
      <c r="F2" s="71" t="s">
        <v>9</v>
      </c>
      <c r="G2" s="72" t="s">
        <v>10</v>
      </c>
      <c r="H2" s="135" t="s">
        <v>11</v>
      </c>
      <c r="I2" s="136"/>
      <c r="J2" s="136"/>
      <c r="K2" s="136"/>
      <c r="L2" s="137"/>
    </row>
    <row r="3" spans="1:12" ht="18" customHeight="1" x14ac:dyDescent="0.2">
      <c r="A3" t="s">
        <v>522</v>
      </c>
      <c r="B3" t="s">
        <v>523</v>
      </c>
      <c r="C3" s="68">
        <v>12662.098628298852</v>
      </c>
      <c r="D3" t="s">
        <v>125</v>
      </c>
      <c r="E3" t="s">
        <v>223</v>
      </c>
      <c r="F3" s="73" t="s">
        <v>524</v>
      </c>
      <c r="G3" s="73" t="s">
        <v>525</v>
      </c>
      <c r="H3" s="138" t="s">
        <v>526</v>
      </c>
      <c r="I3" s="138"/>
      <c r="J3" s="138"/>
      <c r="K3" s="138"/>
      <c r="L3" s="138"/>
    </row>
    <row r="4" spans="1:12" ht="18" customHeight="1" x14ac:dyDescent="0.2">
      <c r="A4" s="69">
        <v>42000</v>
      </c>
      <c r="B4" s="56" t="s">
        <v>523</v>
      </c>
      <c r="C4" s="68">
        <v>12069.481650697158</v>
      </c>
      <c r="D4" t="s">
        <v>125</v>
      </c>
      <c r="E4" s="56" t="s">
        <v>223</v>
      </c>
      <c r="F4" s="73" t="s">
        <v>524</v>
      </c>
      <c r="G4" s="73" t="s">
        <v>525</v>
      </c>
      <c r="H4" s="138" t="s">
        <v>526</v>
      </c>
      <c r="I4" s="138"/>
      <c r="J4" s="138"/>
      <c r="K4" s="138"/>
      <c r="L4" s="138"/>
    </row>
    <row r="5" spans="1:12" ht="18" customHeight="1" x14ac:dyDescent="0.2">
      <c r="A5" s="69">
        <v>43000</v>
      </c>
      <c r="B5" s="56" t="s">
        <v>523</v>
      </c>
      <c r="C5" s="68">
        <v>11506.269332289437</v>
      </c>
      <c r="D5" t="s">
        <v>125</v>
      </c>
      <c r="E5" s="56" t="s">
        <v>223</v>
      </c>
      <c r="F5" s="73" t="s">
        <v>524</v>
      </c>
      <c r="G5" s="73" t="s">
        <v>525</v>
      </c>
      <c r="H5" s="138" t="s">
        <v>526</v>
      </c>
      <c r="I5" s="138"/>
      <c r="J5" s="138"/>
      <c r="K5" s="138"/>
      <c r="L5" s="138"/>
    </row>
    <row r="6" spans="1:12" ht="18" customHeight="1" x14ac:dyDescent="0.2">
      <c r="A6" s="69">
        <v>44000</v>
      </c>
      <c r="B6" s="56" t="s">
        <v>523</v>
      </c>
      <c r="C6" s="68">
        <v>10967.937879353545</v>
      </c>
      <c r="D6" t="s">
        <v>125</v>
      </c>
      <c r="E6" s="56" t="s">
        <v>223</v>
      </c>
      <c r="F6" s="73" t="s">
        <v>524</v>
      </c>
      <c r="G6" s="73" t="s">
        <v>525</v>
      </c>
      <c r="H6" s="138" t="s">
        <v>526</v>
      </c>
      <c r="I6" s="138"/>
      <c r="J6" s="138"/>
      <c r="K6" s="138"/>
      <c r="L6" s="138"/>
    </row>
    <row r="7" spans="1:12" ht="18" customHeight="1" x14ac:dyDescent="0.2">
      <c r="A7" s="69">
        <v>45000</v>
      </c>
      <c r="B7" s="56" t="s">
        <v>523</v>
      </c>
      <c r="C7" s="68">
        <v>10456.749188750555</v>
      </c>
      <c r="D7" t="s">
        <v>125</v>
      </c>
      <c r="E7" s="56" t="s">
        <v>223</v>
      </c>
      <c r="F7" s="73" t="s">
        <v>524</v>
      </c>
      <c r="G7" s="73" t="s">
        <v>525</v>
      </c>
      <c r="H7" s="138" t="s">
        <v>526</v>
      </c>
      <c r="I7" s="138"/>
      <c r="J7" s="138"/>
      <c r="K7" s="138"/>
      <c r="L7" s="138"/>
    </row>
    <row r="8" spans="1:12" ht="22" customHeight="1" x14ac:dyDescent="0.2">
      <c r="A8" s="69">
        <v>46000</v>
      </c>
      <c r="B8" s="56" t="s">
        <v>523</v>
      </c>
      <c r="C8" s="68">
        <v>9968.1794667583181</v>
      </c>
      <c r="D8" t="s">
        <v>125</v>
      </c>
      <c r="E8" s="56" t="s">
        <v>223</v>
      </c>
      <c r="F8" s="73" t="s">
        <v>524</v>
      </c>
      <c r="G8" s="73" t="s">
        <v>525</v>
      </c>
      <c r="H8" s="138" t="s">
        <v>526</v>
      </c>
      <c r="I8" s="138"/>
      <c r="J8" s="138"/>
      <c r="K8" s="138"/>
      <c r="L8" s="138"/>
    </row>
    <row r="9" spans="1:12" ht="18" customHeight="1" x14ac:dyDescent="0.2">
      <c r="A9" s="69">
        <v>47000</v>
      </c>
      <c r="B9" s="56" t="s">
        <v>523</v>
      </c>
      <c r="C9" s="68">
        <v>9502.2287133768295</v>
      </c>
      <c r="D9" t="s">
        <v>125</v>
      </c>
      <c r="E9" s="56" t="s">
        <v>223</v>
      </c>
      <c r="F9" s="73" t="s">
        <v>524</v>
      </c>
      <c r="G9" s="73" t="s">
        <v>525</v>
      </c>
      <c r="H9" s="138" t="s">
        <v>526</v>
      </c>
      <c r="I9" s="138"/>
      <c r="J9" s="138"/>
      <c r="K9" s="138"/>
      <c r="L9" s="138"/>
    </row>
    <row r="10" spans="1:12" ht="18" customHeight="1" x14ac:dyDescent="0.2">
      <c r="A10" s="69">
        <v>48000</v>
      </c>
      <c r="B10" s="56" t="s">
        <v>523</v>
      </c>
      <c r="C10" s="68">
        <v>9058.8969286060928</v>
      </c>
      <c r="D10" t="s">
        <v>125</v>
      </c>
      <c r="E10" s="56" t="s">
        <v>223</v>
      </c>
      <c r="F10" s="73" t="s">
        <v>524</v>
      </c>
      <c r="G10" s="73" t="s">
        <v>525</v>
      </c>
      <c r="H10" s="138" t="s">
        <v>526</v>
      </c>
      <c r="I10" s="138"/>
      <c r="J10" s="138"/>
      <c r="K10" s="138"/>
      <c r="L10" s="138"/>
    </row>
    <row r="11" spans="1:12" ht="18" customHeight="1" x14ac:dyDescent="0.2">
      <c r="A11" s="69">
        <v>49000</v>
      </c>
      <c r="B11" s="56" t="s">
        <v>523</v>
      </c>
      <c r="C11" s="68">
        <v>8633.6603187239598</v>
      </c>
      <c r="D11" t="s">
        <v>125</v>
      </c>
      <c r="E11" s="56" t="s">
        <v>223</v>
      </c>
      <c r="F11" s="73" t="s">
        <v>524</v>
      </c>
      <c r="G11" s="73" t="s">
        <v>525</v>
      </c>
      <c r="H11" s="138" t="s">
        <v>526</v>
      </c>
      <c r="I11" s="138"/>
      <c r="J11" s="138"/>
      <c r="K11" s="138"/>
      <c r="L11" s="138"/>
    </row>
    <row r="12" spans="1:12" ht="22" customHeight="1" x14ac:dyDescent="0.2">
      <c r="A12" s="118" t="s">
        <v>527</v>
      </c>
      <c r="B12" s="119"/>
      <c r="C12" s="119"/>
      <c r="D12" s="119"/>
      <c r="E12" s="119"/>
      <c r="F12" s="121"/>
      <c r="G12" s="121"/>
      <c r="H12" s="121"/>
      <c r="I12" s="121"/>
      <c r="J12" s="121"/>
      <c r="K12" s="121"/>
      <c r="L12" s="125"/>
    </row>
    <row r="13" spans="1:12" ht="18" customHeight="1" x14ac:dyDescent="0.2">
      <c r="A13" s="23" t="s">
        <v>5</v>
      </c>
      <c r="B13" s="23" t="s">
        <v>96</v>
      </c>
      <c r="C13" s="58" t="s">
        <v>7</v>
      </c>
      <c r="D13" s="58" t="s">
        <v>125</v>
      </c>
      <c r="E13" s="58" t="s">
        <v>8</v>
      </c>
      <c r="F13" s="71" t="s">
        <v>9</v>
      </c>
      <c r="G13" s="72" t="s">
        <v>10</v>
      </c>
      <c r="H13" s="135" t="s">
        <v>11</v>
      </c>
      <c r="I13" s="136"/>
      <c r="J13" s="136"/>
      <c r="K13" s="136"/>
      <c r="L13" s="137"/>
    </row>
    <row r="14" spans="1:12" ht="18" customHeight="1" x14ac:dyDescent="0.2">
      <c r="A14" s="56" t="s">
        <v>522</v>
      </c>
      <c r="B14" s="56" t="s">
        <v>523</v>
      </c>
      <c r="C14" s="70">
        <v>12612.327480941742</v>
      </c>
      <c r="D14" s="56" t="s">
        <v>125</v>
      </c>
      <c r="E14" s="56" t="s">
        <v>223</v>
      </c>
      <c r="F14" s="73" t="s">
        <v>524</v>
      </c>
      <c r="G14" s="73" t="s">
        <v>525</v>
      </c>
      <c r="H14" s="138" t="s">
        <v>526</v>
      </c>
      <c r="I14" s="138"/>
      <c r="J14" s="138"/>
      <c r="K14" s="138"/>
      <c r="L14" s="138"/>
    </row>
    <row r="15" spans="1:12" ht="18" customHeight="1" x14ac:dyDescent="0.2">
      <c r="A15" s="69">
        <v>42000</v>
      </c>
      <c r="B15" s="56" t="s">
        <v>523</v>
      </c>
      <c r="C15" s="70">
        <v>12022.039913952329</v>
      </c>
      <c r="D15" s="56" t="s">
        <v>125</v>
      </c>
      <c r="E15" s="56" t="s">
        <v>223</v>
      </c>
      <c r="F15" s="73" t="s">
        <v>524</v>
      </c>
      <c r="G15" s="73" t="s">
        <v>525</v>
      </c>
      <c r="H15" s="138" t="s">
        <v>526</v>
      </c>
      <c r="I15" s="138"/>
      <c r="J15" s="138"/>
      <c r="K15" s="138"/>
      <c r="L15" s="138"/>
    </row>
    <row r="16" spans="1:12" ht="18" customHeight="1" x14ac:dyDescent="0.2">
      <c r="A16" s="69">
        <v>43000</v>
      </c>
      <c r="B16" s="56" t="s">
        <v>523</v>
      </c>
      <c r="C16" s="70">
        <v>11461.041424714298</v>
      </c>
      <c r="D16" s="56" t="s">
        <v>125</v>
      </c>
      <c r="E16" s="56" t="s">
        <v>223</v>
      </c>
      <c r="F16" s="73" t="s">
        <v>524</v>
      </c>
      <c r="G16" s="73" t="s">
        <v>525</v>
      </c>
      <c r="H16" s="138" t="s">
        <v>526</v>
      </c>
      <c r="I16" s="138"/>
      <c r="J16" s="138"/>
      <c r="K16" s="138"/>
      <c r="L16" s="138"/>
    </row>
    <row r="17" spans="1:12" ht="18" customHeight="1" x14ac:dyDescent="0.2">
      <c r="A17" s="69">
        <v>44000</v>
      </c>
      <c r="B17" s="56" t="s">
        <v>523</v>
      </c>
      <c r="C17" s="70">
        <v>10924.826001265901</v>
      </c>
      <c r="D17" s="56" t="s">
        <v>125</v>
      </c>
      <c r="E17" s="56" t="s">
        <v>223</v>
      </c>
      <c r="F17" s="73" t="s">
        <v>524</v>
      </c>
      <c r="G17" s="73" t="s">
        <v>525</v>
      </c>
      <c r="H17" s="138" t="s">
        <v>526</v>
      </c>
      <c r="I17" s="138"/>
      <c r="J17" s="138"/>
      <c r="K17" s="138"/>
      <c r="L17" s="138"/>
    </row>
    <row r="18" spans="1:12" ht="18" customHeight="1" x14ac:dyDescent="0.2">
      <c r="A18" s="69">
        <v>45000</v>
      </c>
      <c r="B18" s="56" t="s">
        <v>523</v>
      </c>
      <c r="C18" s="70">
        <v>10415.646649588009</v>
      </c>
      <c r="D18" s="56" t="s">
        <v>125</v>
      </c>
      <c r="E18" s="56" t="s">
        <v>223</v>
      </c>
      <c r="F18" s="73" t="s">
        <v>524</v>
      </c>
      <c r="G18" s="73" t="s">
        <v>525</v>
      </c>
      <c r="H18" s="138" t="s">
        <v>526</v>
      </c>
      <c r="I18" s="138"/>
      <c r="J18" s="138"/>
      <c r="K18" s="138"/>
      <c r="L18" s="138"/>
    </row>
    <row r="19" spans="1:12" ht="18" customHeight="1" x14ac:dyDescent="0.2">
      <c r="A19" s="69">
        <v>46000</v>
      </c>
      <c r="B19" s="56" t="s">
        <v>523</v>
      </c>
      <c r="C19" s="70">
        <v>9928.9973577188757</v>
      </c>
      <c r="D19" s="56" t="s">
        <v>125</v>
      </c>
      <c r="E19" s="56" t="s">
        <v>223</v>
      </c>
      <c r="F19" s="73" t="s">
        <v>524</v>
      </c>
      <c r="G19" s="73" t="s">
        <v>525</v>
      </c>
      <c r="H19" s="138" t="s">
        <v>526</v>
      </c>
      <c r="I19" s="138"/>
      <c r="J19" s="138"/>
      <c r="K19" s="138"/>
      <c r="L19" s="138"/>
    </row>
    <row r="20" spans="1:12" ht="22" customHeight="1" x14ac:dyDescent="0.2">
      <c r="A20" s="69">
        <v>47000</v>
      </c>
      <c r="B20" s="56" t="s">
        <v>523</v>
      </c>
      <c r="C20" s="70">
        <v>9464.8781256584971</v>
      </c>
      <c r="D20" s="56" t="s">
        <v>125</v>
      </c>
      <c r="E20" s="56" t="s">
        <v>223</v>
      </c>
      <c r="F20" s="73" t="s">
        <v>524</v>
      </c>
      <c r="G20" s="73" t="s">
        <v>525</v>
      </c>
      <c r="H20" s="138" t="s">
        <v>526</v>
      </c>
      <c r="I20" s="138"/>
      <c r="J20" s="138"/>
      <c r="K20" s="138"/>
      <c r="L20" s="138"/>
    </row>
    <row r="21" spans="1:12" ht="18" customHeight="1" x14ac:dyDescent="0.2">
      <c r="A21" s="69">
        <v>48000</v>
      </c>
      <c r="B21" s="56" t="s">
        <v>523</v>
      </c>
      <c r="C21" s="70">
        <v>9023.2889534068727</v>
      </c>
      <c r="D21" s="56" t="s">
        <v>125</v>
      </c>
      <c r="E21" s="56" t="s">
        <v>223</v>
      </c>
      <c r="F21" s="73" t="s">
        <v>524</v>
      </c>
      <c r="G21" s="73" t="s">
        <v>525</v>
      </c>
      <c r="H21" s="138" t="s">
        <v>526</v>
      </c>
      <c r="I21" s="138"/>
      <c r="J21" s="138"/>
      <c r="K21" s="138"/>
      <c r="L21" s="138"/>
    </row>
    <row r="22" spans="1:12" ht="18" customHeight="1" x14ac:dyDescent="0.2">
      <c r="A22" s="69">
        <v>49000</v>
      </c>
      <c r="B22" s="56" t="s">
        <v>523</v>
      </c>
      <c r="C22" s="70">
        <v>8599.723829002256</v>
      </c>
      <c r="D22" s="56" t="s">
        <v>125</v>
      </c>
      <c r="E22" s="56" t="s">
        <v>223</v>
      </c>
      <c r="F22" s="73" t="s">
        <v>524</v>
      </c>
      <c r="G22" s="73" t="s">
        <v>525</v>
      </c>
      <c r="H22" s="138" t="s">
        <v>526</v>
      </c>
      <c r="I22" s="138"/>
      <c r="J22" s="138"/>
      <c r="K22" s="138"/>
      <c r="L22" s="138"/>
    </row>
    <row r="23" spans="1:12" ht="22" customHeight="1" x14ac:dyDescent="0.2">
      <c r="A23" s="118" t="s">
        <v>527</v>
      </c>
      <c r="B23" s="119"/>
      <c r="C23" s="119"/>
      <c r="D23" s="119"/>
      <c r="E23" s="119"/>
      <c r="F23" s="121"/>
      <c r="G23" s="121"/>
      <c r="H23" s="121"/>
      <c r="I23" s="121"/>
      <c r="J23" s="121"/>
      <c r="K23" s="121"/>
      <c r="L23" s="125"/>
    </row>
    <row r="24" spans="1:12" ht="18" customHeight="1" x14ac:dyDescent="0.2">
      <c r="A24" s="23" t="s">
        <v>5</v>
      </c>
      <c r="B24" s="23" t="s">
        <v>96</v>
      </c>
      <c r="C24" s="58" t="s">
        <v>7</v>
      </c>
      <c r="D24" s="58" t="s">
        <v>125</v>
      </c>
      <c r="E24" s="58" t="s">
        <v>8</v>
      </c>
      <c r="F24" s="71" t="s">
        <v>9</v>
      </c>
      <c r="G24" s="72" t="s">
        <v>10</v>
      </c>
      <c r="H24" s="135" t="s">
        <v>11</v>
      </c>
      <c r="I24" s="136"/>
      <c r="J24" s="136"/>
      <c r="K24" s="136"/>
      <c r="L24" s="137"/>
    </row>
    <row r="25" spans="1:12" ht="18" customHeight="1" x14ac:dyDescent="0.2">
      <c r="A25" s="56" t="s">
        <v>522</v>
      </c>
      <c r="B25" s="56" t="s">
        <v>523</v>
      </c>
      <c r="C25" s="70">
        <v>12565.450703040022</v>
      </c>
      <c r="D25" s="56" t="s">
        <v>125</v>
      </c>
      <c r="E25" s="56" t="s">
        <v>223</v>
      </c>
      <c r="F25" s="73" t="s">
        <v>524</v>
      </c>
      <c r="G25" s="73" t="s">
        <v>525</v>
      </c>
      <c r="H25" s="138" t="s">
        <v>526</v>
      </c>
      <c r="I25" s="138"/>
      <c r="J25" s="138"/>
      <c r="K25" s="138"/>
      <c r="L25" s="138"/>
    </row>
    <row r="26" spans="1:12" ht="18" customHeight="1" x14ac:dyDescent="0.2">
      <c r="A26" s="69">
        <v>42000</v>
      </c>
      <c r="B26" s="56" t="s">
        <v>523</v>
      </c>
      <c r="C26" s="70">
        <v>11977.357083140685</v>
      </c>
      <c r="D26" s="56" t="s">
        <v>125</v>
      </c>
      <c r="E26" s="56" t="s">
        <v>223</v>
      </c>
      <c r="F26" s="73" t="s">
        <v>524</v>
      </c>
      <c r="G26" s="73" t="s">
        <v>525</v>
      </c>
      <c r="H26" s="138" t="s">
        <v>526</v>
      </c>
      <c r="I26" s="138"/>
      <c r="J26" s="138"/>
      <c r="K26" s="138"/>
      <c r="L26" s="138"/>
    </row>
    <row r="27" spans="1:12" ht="18" customHeight="1" x14ac:dyDescent="0.2">
      <c r="A27" s="69">
        <v>43000</v>
      </c>
      <c r="B27" s="56" t="s">
        <v>523</v>
      </c>
      <c r="C27" s="70">
        <v>11418.443681022614</v>
      </c>
      <c r="D27" s="56" t="s">
        <v>125</v>
      </c>
      <c r="E27" s="56" t="s">
        <v>223</v>
      </c>
      <c r="F27" s="73" t="s">
        <v>524</v>
      </c>
      <c r="G27" s="73" t="s">
        <v>525</v>
      </c>
      <c r="H27" s="138" t="s">
        <v>526</v>
      </c>
      <c r="I27" s="138"/>
      <c r="J27" s="138"/>
      <c r="K27" s="138"/>
      <c r="L27" s="138"/>
    </row>
    <row r="28" spans="1:12" ht="18" customHeight="1" x14ac:dyDescent="0.2">
      <c r="A28" s="69">
        <v>44000</v>
      </c>
      <c r="B28" s="56" t="s">
        <v>523</v>
      </c>
      <c r="C28" s="70">
        <v>10884.221232411766</v>
      </c>
      <c r="D28" s="56" t="s">
        <v>125</v>
      </c>
      <c r="E28" s="56" t="s">
        <v>223</v>
      </c>
      <c r="F28" s="73" t="s">
        <v>524</v>
      </c>
      <c r="G28" s="73" t="s">
        <v>525</v>
      </c>
      <c r="H28" s="138" t="s">
        <v>526</v>
      </c>
      <c r="I28" s="138"/>
      <c r="J28" s="138"/>
      <c r="K28" s="138"/>
      <c r="L28" s="138"/>
    </row>
    <row r="29" spans="1:12" ht="18" customHeight="1" x14ac:dyDescent="0.2">
      <c r="A29" s="69">
        <v>45000</v>
      </c>
      <c r="B29" s="56" t="s">
        <v>523</v>
      </c>
      <c r="C29" s="70">
        <v>10376.934369445165</v>
      </c>
      <c r="D29" s="56" t="s">
        <v>125</v>
      </c>
      <c r="E29" s="56" t="s">
        <v>223</v>
      </c>
      <c r="F29" s="73" t="s">
        <v>524</v>
      </c>
      <c r="G29" s="73" t="s">
        <v>525</v>
      </c>
      <c r="H29" s="138" t="s">
        <v>526</v>
      </c>
      <c r="I29" s="138"/>
      <c r="J29" s="138"/>
      <c r="K29" s="138"/>
      <c r="L29" s="138"/>
    </row>
    <row r="30" spans="1:12" ht="18" customHeight="1" x14ac:dyDescent="0.2">
      <c r="A30" s="69">
        <v>46000</v>
      </c>
      <c r="B30" s="56" t="s">
        <v>523</v>
      </c>
      <c r="C30" s="70">
        <v>9892.0938278487647</v>
      </c>
      <c r="D30" s="56" t="s">
        <v>125</v>
      </c>
      <c r="E30" s="56" t="s">
        <v>223</v>
      </c>
      <c r="F30" s="73" t="s">
        <v>524</v>
      </c>
      <c r="G30" s="73" t="s">
        <v>525</v>
      </c>
      <c r="H30" s="138" t="s">
        <v>526</v>
      </c>
      <c r="I30" s="138"/>
      <c r="J30" s="138"/>
      <c r="K30" s="138"/>
      <c r="L30" s="138"/>
    </row>
    <row r="31" spans="1:12" ht="22" customHeight="1" x14ac:dyDescent="0.2">
      <c r="A31" s="69">
        <v>47000</v>
      </c>
      <c r="B31" s="56" t="s">
        <v>523</v>
      </c>
      <c r="C31" s="70">
        <v>9429.6996076225696</v>
      </c>
      <c r="D31" s="56" t="s">
        <v>125</v>
      </c>
      <c r="E31" s="56" t="s">
        <v>223</v>
      </c>
      <c r="F31" s="73" t="s">
        <v>524</v>
      </c>
      <c r="G31" s="73" t="s">
        <v>525</v>
      </c>
      <c r="H31" s="138" t="s">
        <v>526</v>
      </c>
      <c r="I31" s="138"/>
      <c r="J31" s="138"/>
      <c r="K31" s="138"/>
      <c r="L31" s="138"/>
    </row>
    <row r="32" spans="1:12" ht="18" customHeight="1" x14ac:dyDescent="0.2">
      <c r="A32" s="69">
        <v>48000</v>
      </c>
      <c r="B32" s="56" t="s">
        <v>523</v>
      </c>
      <c r="C32" s="70">
        <v>8989.7517087665747</v>
      </c>
      <c r="D32" s="56" t="s">
        <v>125</v>
      </c>
      <c r="E32" s="56" t="s">
        <v>223</v>
      </c>
      <c r="F32" s="73" t="s">
        <v>524</v>
      </c>
      <c r="G32" s="73" t="s">
        <v>525</v>
      </c>
      <c r="H32" s="138" t="s">
        <v>526</v>
      </c>
      <c r="I32" s="138"/>
      <c r="J32" s="138"/>
      <c r="K32" s="138"/>
      <c r="L32" s="138"/>
    </row>
    <row r="33" spans="1:12" ht="18" customHeight="1" x14ac:dyDescent="0.2">
      <c r="A33" s="69">
        <v>49000</v>
      </c>
      <c r="B33" s="56" t="s">
        <v>523</v>
      </c>
      <c r="C33" s="70">
        <v>8567.7608670067475</v>
      </c>
      <c r="D33" s="56" t="s">
        <v>125</v>
      </c>
      <c r="E33" s="56" t="s">
        <v>223</v>
      </c>
      <c r="F33" s="73" t="s">
        <v>524</v>
      </c>
      <c r="G33" s="73" t="s">
        <v>525</v>
      </c>
      <c r="H33" s="138" t="s">
        <v>526</v>
      </c>
      <c r="I33" s="138"/>
      <c r="J33" s="138"/>
      <c r="K33" s="138"/>
      <c r="L33" s="138"/>
    </row>
    <row r="34" spans="1:12" ht="18" customHeight="1" x14ac:dyDescent="0.2">
      <c r="A34"/>
      <c r="B34"/>
      <c r="C34"/>
      <c r="D34"/>
      <c r="E34"/>
      <c r="F34"/>
      <c r="G34"/>
      <c r="H34"/>
      <c r="I34"/>
      <c r="J34"/>
      <c r="K34"/>
      <c r="L34"/>
    </row>
    <row r="35" spans="1:12" ht="18" customHeight="1" x14ac:dyDescent="0.2">
      <c r="A35"/>
      <c r="B35"/>
      <c r="C35"/>
      <c r="D35"/>
      <c r="E35"/>
      <c r="F35"/>
      <c r="G35"/>
      <c r="H35"/>
      <c r="I35"/>
      <c r="J35"/>
      <c r="K35"/>
      <c r="L35"/>
    </row>
    <row r="36" spans="1:12" ht="18" customHeight="1" x14ac:dyDescent="0.2">
      <c r="A36"/>
      <c r="B36"/>
      <c r="C36"/>
      <c r="D36"/>
      <c r="E36"/>
      <c r="F36"/>
      <c r="G36"/>
      <c r="H36"/>
      <c r="I36"/>
      <c r="J36"/>
      <c r="K36"/>
      <c r="L36"/>
    </row>
    <row r="37" spans="1:12" ht="18" customHeight="1" x14ac:dyDescent="0.2">
      <c r="A37"/>
      <c r="B37"/>
      <c r="C37"/>
      <c r="D37"/>
      <c r="E37"/>
      <c r="F37"/>
      <c r="G37"/>
      <c r="H37"/>
      <c r="I37"/>
      <c r="J37"/>
      <c r="K37"/>
      <c r="L37"/>
    </row>
    <row r="38" spans="1:12" ht="18" customHeight="1" x14ac:dyDescent="0.2">
      <c r="A38"/>
      <c r="B38"/>
      <c r="C38"/>
      <c r="D38"/>
      <c r="E38"/>
      <c r="F38"/>
      <c r="G38"/>
      <c r="H38"/>
      <c r="I38"/>
      <c r="J38"/>
      <c r="K38"/>
      <c r="L38"/>
    </row>
    <row r="39" spans="1:12" ht="18" customHeight="1" x14ac:dyDescent="0.2">
      <c r="A39"/>
      <c r="B39"/>
      <c r="C39"/>
      <c r="D39"/>
      <c r="E39"/>
      <c r="F39"/>
      <c r="G39"/>
      <c r="H39"/>
      <c r="I39"/>
      <c r="J39"/>
      <c r="K39"/>
      <c r="L39"/>
    </row>
    <row r="40" spans="1:12" ht="18" customHeight="1" x14ac:dyDescent="0.2">
      <c r="A40"/>
      <c r="B40"/>
      <c r="C40"/>
      <c r="D40"/>
      <c r="E40"/>
      <c r="F40"/>
      <c r="G40"/>
      <c r="H40"/>
      <c r="I40"/>
      <c r="J40"/>
      <c r="K40"/>
      <c r="L40"/>
    </row>
    <row r="41" spans="1:12" ht="18" customHeight="1" x14ac:dyDescent="0.2">
      <c r="A41"/>
      <c r="B41"/>
      <c r="C41"/>
      <c r="D41"/>
      <c r="E41"/>
      <c r="F41"/>
      <c r="G41"/>
      <c r="H41"/>
      <c r="I41"/>
      <c r="J41"/>
      <c r="K41"/>
      <c r="L41"/>
    </row>
    <row r="42" spans="1:12" ht="18" customHeight="1" x14ac:dyDescent="0.2">
      <c r="A42"/>
      <c r="B42"/>
      <c r="C42"/>
      <c r="D42"/>
      <c r="E42"/>
      <c r="F42"/>
      <c r="G42"/>
      <c r="H42"/>
      <c r="I42"/>
      <c r="J42"/>
      <c r="K42"/>
      <c r="L42"/>
    </row>
    <row r="43" spans="1:12" ht="18" customHeight="1" x14ac:dyDescent="0.2">
      <c r="A43"/>
      <c r="B43"/>
      <c r="C43"/>
      <c r="D43"/>
      <c r="E43"/>
      <c r="F43"/>
      <c r="G43"/>
      <c r="H43"/>
      <c r="I43"/>
      <c r="J43"/>
      <c r="K43"/>
      <c r="L43"/>
    </row>
    <row r="44" spans="1:12" ht="22" customHeight="1" x14ac:dyDescent="0.2">
      <c r="A44"/>
      <c r="B44"/>
      <c r="C44"/>
      <c r="D44"/>
      <c r="E44"/>
      <c r="F44"/>
      <c r="G44"/>
      <c r="H44"/>
      <c r="I44"/>
      <c r="J44"/>
      <c r="K44"/>
      <c r="L44"/>
    </row>
    <row r="45" spans="1:12" ht="18" customHeight="1" x14ac:dyDescent="0.2">
      <c r="A45"/>
      <c r="B45"/>
      <c r="C45"/>
      <c r="D45"/>
      <c r="E45"/>
      <c r="F45"/>
      <c r="G45"/>
      <c r="H45"/>
      <c r="I45"/>
      <c r="J45"/>
      <c r="K45"/>
      <c r="L45"/>
    </row>
    <row r="46" spans="1:12" ht="18" customHeight="1" x14ac:dyDescent="0.2">
      <c r="A46"/>
      <c r="B46"/>
      <c r="C46"/>
      <c r="D46"/>
      <c r="E46"/>
      <c r="F46"/>
      <c r="G46"/>
      <c r="H46"/>
      <c r="I46"/>
      <c r="J46"/>
      <c r="K46"/>
      <c r="L46"/>
    </row>
    <row r="47" spans="1:12" ht="18" customHeight="1" x14ac:dyDescent="0.2">
      <c r="A47"/>
      <c r="B47"/>
      <c r="C47"/>
      <c r="D47"/>
      <c r="E47"/>
      <c r="F47"/>
      <c r="G47"/>
      <c r="H47"/>
      <c r="I47"/>
      <c r="J47"/>
      <c r="K47"/>
      <c r="L47"/>
    </row>
    <row r="48" spans="1:12" ht="18" customHeight="1" x14ac:dyDescent="0.2">
      <c r="A48"/>
      <c r="B48"/>
      <c r="C48"/>
      <c r="D48"/>
      <c r="E48"/>
      <c r="F48"/>
      <c r="G48"/>
      <c r="H48"/>
      <c r="I48"/>
      <c r="J48"/>
      <c r="K48"/>
      <c r="L48"/>
    </row>
    <row r="49" spans="1:12" ht="18" customHeight="1" x14ac:dyDescent="0.2">
      <c r="A49"/>
      <c r="B49"/>
      <c r="C49"/>
      <c r="D49"/>
      <c r="E49"/>
      <c r="F49"/>
      <c r="G49"/>
      <c r="H49"/>
      <c r="I49"/>
      <c r="J49"/>
      <c r="K49"/>
      <c r="L49"/>
    </row>
    <row r="50" spans="1:12" ht="18" customHeight="1" x14ac:dyDescent="0.2">
      <c r="A50"/>
      <c r="B50"/>
      <c r="C50"/>
      <c r="D50"/>
      <c r="E50"/>
      <c r="F50"/>
      <c r="G50"/>
      <c r="H50"/>
      <c r="I50"/>
      <c r="J50"/>
      <c r="K50"/>
      <c r="L50"/>
    </row>
    <row r="51" spans="1:12" ht="18" customHeight="1" x14ac:dyDescent="0.2">
      <c r="A51"/>
      <c r="B51"/>
      <c r="C51"/>
      <c r="D51"/>
      <c r="E51"/>
      <c r="F51"/>
      <c r="G51"/>
      <c r="H51"/>
      <c r="I51"/>
      <c r="J51"/>
      <c r="K51"/>
      <c r="L51"/>
    </row>
    <row r="52" spans="1:12" ht="18" customHeight="1" x14ac:dyDescent="0.2">
      <c r="H52" s="110"/>
      <c r="I52" s="110"/>
      <c r="J52" s="110"/>
      <c r="K52" s="110"/>
      <c r="L52" s="110"/>
    </row>
    <row r="55" spans="1:12" ht="18" customHeight="1" x14ac:dyDescent="0.25">
      <c r="F55" s="42"/>
    </row>
  </sheetData>
  <mergeCells count="34">
    <mergeCell ref="H52:L52"/>
    <mergeCell ref="A12:L12"/>
    <mergeCell ref="H20:L20"/>
    <mergeCell ref="A23:L23"/>
    <mergeCell ref="H32:L32"/>
    <mergeCell ref="H30:L30"/>
    <mergeCell ref="H31:L31"/>
    <mergeCell ref="H33:L33"/>
    <mergeCell ref="H24:L24"/>
    <mergeCell ref="H25:L25"/>
    <mergeCell ref="H26:L26"/>
    <mergeCell ref="H27:L27"/>
    <mergeCell ref="H28:L28"/>
    <mergeCell ref="H29:L29"/>
    <mergeCell ref="H18:L18"/>
    <mergeCell ref="H19:L19"/>
    <mergeCell ref="H21:L21"/>
    <mergeCell ref="H22:L22"/>
    <mergeCell ref="H13:L13"/>
    <mergeCell ref="H14:L14"/>
    <mergeCell ref="H15:L15"/>
    <mergeCell ref="H16:L16"/>
    <mergeCell ref="H17:L17"/>
    <mergeCell ref="H6:L6"/>
    <mergeCell ref="H7:L7"/>
    <mergeCell ref="H9:L9"/>
    <mergeCell ref="H10:L10"/>
    <mergeCell ref="H11:L11"/>
    <mergeCell ref="H8:L8"/>
    <mergeCell ref="A1:L1"/>
    <mergeCell ref="H2:L2"/>
    <mergeCell ref="H3:L3"/>
    <mergeCell ref="H4:L4"/>
    <mergeCell ref="H5:L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Design Constraints</vt:lpstr>
      <vt:lpstr>Initial Estimates</vt:lpstr>
      <vt:lpstr>Cg Calcs Subsonic</vt:lpstr>
      <vt:lpstr>Stability Constants Subsonic</vt:lpstr>
      <vt:lpstr>Subsonic Stability</vt:lpstr>
      <vt:lpstr>Cg Calcs Supersonic</vt:lpstr>
      <vt:lpstr>Stability Constants Supersonic</vt:lpstr>
      <vt:lpstr>Supersonic Stability</vt:lpstr>
      <vt:lpstr>CFD</vt:lpstr>
      <vt:lpstr>Final Aircraft Checkouts</vt:lpstr>
      <vt:lpstr>Parasite Drag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2017-03-17T00:04:28Z</dcterms:modified>
</cp:coreProperties>
</file>