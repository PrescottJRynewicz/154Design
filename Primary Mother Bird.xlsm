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016"/>
  <workbookPr codeName="ThisWorkbook"/>
  <mc:AlternateContent xmlns:mc="http://schemas.openxmlformats.org/markup-compatibility/2006">
    <mc:Choice Requires="x15">
      <x15ac:absPath xmlns:x15ac="http://schemas.microsoft.com/office/spreadsheetml/2010/11/ac" url="/Users/prescottrynewicz/Desktop/154Design/"/>
    </mc:Choice>
  </mc:AlternateContent>
  <bookViews>
    <workbookView xWindow="0" yWindow="0" windowWidth="38400" windowHeight="21600" tabRatio="500" activeTab="1"/>
  </bookViews>
  <sheets>
    <sheet name="Design Constraints" sheetId="2" r:id="rId1"/>
    <sheet name="Initial Estimates" sheetId="6" r:id="rId2"/>
    <sheet name="Cg Calcs" sheetId="7" r:id="rId3"/>
    <sheet name="Stability Constants" sheetId="8" r:id="rId4"/>
    <sheet name="Subsonic Stability" sheetId="9" r:id="rId5"/>
    <sheet name="Supersonic Stability" sheetId="12" r:id="rId6"/>
    <sheet name="CFD" sheetId="19" r:id="rId7"/>
    <sheet name="Parasite Drag" sheetId="18" r:id="rId8"/>
    <sheet name="Final Aircraft Checkouts" sheetId="13" r:id="rId9"/>
  </sheets>
  <definedNames>
    <definedName name="solver_adj" localSheetId="8" hidden="1">'Final Aircraft Checkouts'!$C$26</definedName>
    <definedName name="solver_cvg" localSheetId="8" hidden="1">0.0001</definedName>
    <definedName name="solver_drv" localSheetId="8" hidden="1">1</definedName>
    <definedName name="solver_eng" localSheetId="8" hidden="1">1</definedName>
    <definedName name="solver_eng" localSheetId="1" hidden="1">1</definedName>
    <definedName name="solver_itr" localSheetId="8" hidden="1">2147483647</definedName>
    <definedName name="solver_lin" localSheetId="8" hidden="1">2</definedName>
    <definedName name="solver_lin" localSheetId="1" hidden="1">2</definedName>
    <definedName name="solver_mip" localSheetId="8" hidden="1">2147483647</definedName>
    <definedName name="solver_mni" localSheetId="8" hidden="1">30</definedName>
    <definedName name="solver_mrt" localSheetId="8" hidden="1">0.075</definedName>
    <definedName name="solver_msl" localSheetId="8" hidden="1">2</definedName>
    <definedName name="solver_neg" localSheetId="8" hidden="1">1</definedName>
    <definedName name="solver_neg" localSheetId="1" hidden="1">1</definedName>
    <definedName name="solver_nod" localSheetId="8" hidden="1">2147483647</definedName>
    <definedName name="solver_num" localSheetId="8" hidden="1">0</definedName>
    <definedName name="solver_num" localSheetId="1" hidden="1">0</definedName>
    <definedName name="solver_opt" localSheetId="8" hidden="1">'Final Aircraft Checkouts'!$C$26</definedName>
    <definedName name="solver_opt" localSheetId="1" hidden="1">'Initial Estimates'!$C$14</definedName>
    <definedName name="solver_pre" localSheetId="8" hidden="1">0.000001</definedName>
    <definedName name="solver_rbv" localSheetId="8" hidden="1">1</definedName>
    <definedName name="solver_rlx" localSheetId="8" hidden="1">2</definedName>
    <definedName name="solver_rsd" localSheetId="8" hidden="1">0</definedName>
    <definedName name="solver_scl" localSheetId="8" hidden="1">1</definedName>
    <definedName name="solver_sho" localSheetId="8" hidden="1">2</definedName>
    <definedName name="solver_ssz" localSheetId="8" hidden="1">100</definedName>
    <definedName name="solver_tim" localSheetId="8" hidden="1">2147483647</definedName>
    <definedName name="solver_tol" localSheetId="8" hidden="1">0.01</definedName>
    <definedName name="solver_typ" localSheetId="8" hidden="1">3</definedName>
    <definedName name="solver_typ" localSheetId="1" hidden="1">1</definedName>
    <definedName name="solver_val" localSheetId="8" hidden="1">0</definedName>
    <definedName name="solver_val" localSheetId="1" hidden="1">0</definedName>
    <definedName name="solver_ver" localSheetId="8" hidden="1">2</definedName>
    <definedName name="solver_ver" localSheetId="1" hidden="1">2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6" i="6" l="1"/>
  <c r="P4" i="12"/>
  <c r="C3" i="13"/>
  <c r="C4" i="13"/>
  <c r="C5" i="7"/>
  <c r="C11" i="12"/>
  <c r="C29" i="12"/>
  <c r="C47" i="12"/>
  <c r="C56" i="12"/>
  <c r="C32" i="7"/>
  <c r="C41" i="7"/>
  <c r="C42" i="7"/>
  <c r="C37" i="7"/>
  <c r="C38" i="7"/>
  <c r="C54" i="7"/>
  <c r="C55" i="7"/>
  <c r="C88" i="7"/>
  <c r="C90" i="7"/>
  <c r="C8" i="8"/>
  <c r="C9" i="8"/>
  <c r="C10" i="8"/>
  <c r="C5" i="13"/>
  <c r="C12" i="12"/>
  <c r="C30" i="12"/>
  <c r="C75" i="12"/>
  <c r="C84" i="12"/>
  <c r="C263" i="12"/>
  <c r="C6" i="13"/>
  <c r="C13" i="12"/>
  <c r="C31" i="12"/>
  <c r="C76" i="12"/>
  <c r="C85" i="12"/>
  <c r="C264" i="12"/>
  <c r="C7" i="13"/>
  <c r="C14" i="12"/>
  <c r="C32" i="12"/>
  <c r="C77" i="12"/>
  <c r="C86" i="12"/>
  <c r="C265" i="12"/>
  <c r="C8" i="13"/>
  <c r="C15" i="12"/>
  <c r="C33" i="12"/>
  <c r="C78" i="12"/>
  <c r="C87" i="12"/>
  <c r="C266" i="12"/>
  <c r="C9" i="13"/>
  <c r="C16" i="12"/>
  <c r="C34" i="12"/>
  <c r="C79" i="12"/>
  <c r="C88" i="12"/>
  <c r="C267" i="12"/>
  <c r="C10" i="13"/>
  <c r="C17" i="12"/>
  <c r="C35" i="12"/>
  <c r="C80" i="12"/>
  <c r="C89" i="12"/>
  <c r="C268" i="12"/>
  <c r="C11" i="13"/>
  <c r="C18" i="12"/>
  <c r="C36" i="12"/>
  <c r="C81" i="12"/>
  <c r="C90" i="12"/>
  <c r="C269" i="12"/>
  <c r="C12" i="13"/>
  <c r="C19" i="12"/>
  <c r="C37" i="12"/>
  <c r="C82" i="12"/>
  <c r="C91" i="12"/>
  <c r="C270" i="12"/>
  <c r="C3" i="12"/>
  <c r="C7" i="12"/>
  <c r="C65" i="12"/>
  <c r="C271" i="12"/>
  <c r="C48" i="12"/>
  <c r="C57" i="12"/>
  <c r="C66" i="12"/>
  <c r="C272" i="12"/>
  <c r="C49" i="12"/>
  <c r="C58" i="12"/>
  <c r="C67" i="12"/>
  <c r="C273" i="12"/>
  <c r="C50" i="12"/>
  <c r="C59" i="12"/>
  <c r="C68" i="12"/>
  <c r="C274" i="12"/>
  <c r="C51" i="12"/>
  <c r="C60" i="12"/>
  <c r="C69" i="12"/>
  <c r="C275" i="12"/>
  <c r="C52" i="12"/>
  <c r="C61" i="12"/>
  <c r="C70" i="12"/>
  <c r="C276" i="12"/>
  <c r="C53" i="12"/>
  <c r="C62" i="12"/>
  <c r="C71" i="12"/>
  <c r="C277" i="12"/>
  <c r="C54" i="12"/>
  <c r="C63" i="12"/>
  <c r="C72" i="12"/>
  <c r="C278" i="12"/>
  <c r="C55" i="12"/>
  <c r="C64" i="12"/>
  <c r="C73" i="12"/>
  <c r="C279" i="12"/>
  <c r="C33" i="13"/>
  <c r="C34" i="13"/>
  <c r="C95" i="12"/>
  <c r="C113" i="12"/>
  <c r="C158" i="12"/>
  <c r="C167" i="12"/>
  <c r="C280" i="12"/>
  <c r="C35" i="13"/>
  <c r="C96" i="12"/>
  <c r="C114" i="12"/>
  <c r="C159" i="12"/>
  <c r="C168" i="12"/>
  <c r="C281" i="12"/>
  <c r="C36" i="13"/>
  <c r="C97" i="12"/>
  <c r="C115" i="12"/>
  <c r="C160" i="12"/>
  <c r="C169" i="12"/>
  <c r="C282" i="12"/>
  <c r="C37" i="13"/>
  <c r="C98" i="12"/>
  <c r="C116" i="12"/>
  <c r="C161" i="12"/>
  <c r="C170" i="12"/>
  <c r="C283" i="12"/>
  <c r="C38" i="13"/>
  <c r="C99" i="12"/>
  <c r="C117" i="12"/>
  <c r="C162" i="12"/>
  <c r="C171" i="12"/>
  <c r="C284" i="12"/>
  <c r="C39" i="13"/>
  <c r="C100" i="12"/>
  <c r="C118" i="12"/>
  <c r="C163" i="12"/>
  <c r="C172" i="12"/>
  <c r="C285" i="12"/>
  <c r="C40" i="13"/>
  <c r="C101" i="12"/>
  <c r="C119" i="12"/>
  <c r="C164" i="12"/>
  <c r="C173" i="12"/>
  <c r="C286" i="12"/>
  <c r="C41" i="13"/>
  <c r="C102" i="12"/>
  <c r="C120" i="12"/>
  <c r="C165" i="12"/>
  <c r="C174" i="12"/>
  <c r="C287" i="12"/>
  <c r="C42" i="13"/>
  <c r="C103" i="12"/>
  <c r="C121" i="12"/>
  <c r="C166" i="12"/>
  <c r="C175" i="12"/>
  <c r="C288" i="12"/>
  <c r="C131" i="12"/>
  <c r="C140" i="12"/>
  <c r="C149" i="12"/>
  <c r="C289" i="12"/>
  <c r="C132" i="12"/>
  <c r="C141" i="12"/>
  <c r="C150" i="12"/>
  <c r="C290" i="12"/>
  <c r="C133" i="12"/>
  <c r="C142" i="12"/>
  <c r="C151" i="12"/>
  <c r="C291" i="12"/>
  <c r="C134" i="12"/>
  <c r="C143" i="12"/>
  <c r="C152" i="12"/>
  <c r="C292" i="12"/>
  <c r="C135" i="12"/>
  <c r="C144" i="12"/>
  <c r="C153" i="12"/>
  <c r="C293" i="12"/>
  <c r="C136" i="12"/>
  <c r="C145" i="12"/>
  <c r="C154" i="12"/>
  <c r="C294" i="12"/>
  <c r="C137" i="12"/>
  <c r="C146" i="12"/>
  <c r="C155" i="12"/>
  <c r="C295" i="12"/>
  <c r="C138" i="12"/>
  <c r="C147" i="12"/>
  <c r="C156" i="12"/>
  <c r="C296" i="12"/>
  <c r="C139" i="12"/>
  <c r="C148" i="12"/>
  <c r="C157" i="12"/>
  <c r="C297" i="12"/>
  <c r="C63" i="13"/>
  <c r="C64" i="13"/>
  <c r="C179" i="12"/>
  <c r="C197" i="12"/>
  <c r="C242" i="12"/>
  <c r="C251" i="12"/>
  <c r="C298" i="12"/>
  <c r="C65" i="13"/>
  <c r="C180" i="12"/>
  <c r="C198" i="12"/>
  <c r="C243" i="12"/>
  <c r="C252" i="12"/>
  <c r="C299" i="12"/>
  <c r="C66" i="13"/>
  <c r="C181" i="12"/>
  <c r="C199" i="12"/>
  <c r="C244" i="12"/>
  <c r="C253" i="12"/>
  <c r="C300" i="12"/>
  <c r="C67" i="13"/>
  <c r="C182" i="12"/>
  <c r="C200" i="12"/>
  <c r="C245" i="12"/>
  <c r="C254" i="12"/>
  <c r="C301" i="12"/>
  <c r="C68" i="13"/>
  <c r="C183" i="12"/>
  <c r="C201" i="12"/>
  <c r="C246" i="12"/>
  <c r="C255" i="12"/>
  <c r="C302" i="12"/>
  <c r="C69" i="13"/>
  <c r="C184" i="12"/>
  <c r="C202" i="12"/>
  <c r="C247" i="12"/>
  <c r="C256" i="12"/>
  <c r="C303" i="12"/>
  <c r="C70" i="13"/>
  <c r="C185" i="12"/>
  <c r="C203" i="12"/>
  <c r="C248" i="12"/>
  <c r="C257" i="12"/>
  <c r="C304" i="12"/>
  <c r="C71" i="13"/>
  <c r="C186" i="12"/>
  <c r="C204" i="12"/>
  <c r="C249" i="12"/>
  <c r="C258" i="12"/>
  <c r="C305" i="12"/>
  <c r="C72" i="13"/>
  <c r="C187" i="12"/>
  <c r="C205" i="12"/>
  <c r="C250" i="12"/>
  <c r="C259" i="12"/>
  <c r="C306" i="12"/>
  <c r="C307" i="12"/>
  <c r="C308" i="12"/>
  <c r="C309" i="12"/>
  <c r="C310" i="12"/>
  <c r="C311" i="12"/>
  <c r="C312" i="12"/>
  <c r="C313" i="12"/>
  <c r="C314" i="12"/>
  <c r="C315" i="12"/>
  <c r="C74" i="12"/>
  <c r="C83" i="12"/>
  <c r="C262" i="12"/>
  <c r="C31" i="7"/>
  <c r="C34" i="7"/>
  <c r="C20" i="7"/>
  <c r="C22" i="7"/>
  <c r="C19" i="7"/>
  <c r="C21" i="7"/>
  <c r="C23" i="7"/>
  <c r="C106" i="7"/>
  <c r="C108" i="7"/>
  <c r="C109" i="7"/>
  <c r="C33" i="7"/>
  <c r="C100" i="7"/>
  <c r="C102" i="7"/>
  <c r="C103" i="7"/>
  <c r="C94" i="7"/>
  <c r="C96" i="7"/>
  <c r="C97" i="7"/>
  <c r="C91" i="7"/>
  <c r="C24" i="6"/>
  <c r="C27" i="6"/>
  <c r="C66" i="6"/>
  <c r="C68" i="6"/>
  <c r="C28" i="7"/>
  <c r="C89" i="7"/>
  <c r="C12" i="7"/>
  <c r="C8" i="7"/>
  <c r="C9" i="7"/>
  <c r="C27" i="7"/>
  <c r="C50" i="7"/>
  <c r="C51" i="7"/>
  <c r="C61" i="7"/>
  <c r="C14" i="7"/>
  <c r="C58" i="7"/>
  <c r="C66" i="7"/>
  <c r="C62" i="7"/>
  <c r="C15" i="7"/>
  <c r="C59" i="7"/>
  <c r="C67" i="7"/>
  <c r="C63" i="7"/>
  <c r="C16" i="7"/>
  <c r="C60" i="7"/>
  <c r="C68" i="7"/>
  <c r="C64" i="7"/>
  <c r="C69" i="7"/>
  <c r="C65" i="7"/>
  <c r="C13" i="7"/>
  <c r="C70" i="7"/>
  <c r="C46" i="7"/>
  <c r="C47" i="7"/>
  <c r="C14" i="8"/>
  <c r="C11" i="8"/>
  <c r="C15" i="8"/>
  <c r="C234" i="12"/>
  <c r="C12" i="8"/>
  <c r="C13" i="8"/>
  <c r="C74" i="13"/>
  <c r="C75" i="13"/>
  <c r="C76" i="13"/>
  <c r="C77" i="13"/>
  <c r="C78" i="13"/>
  <c r="C79" i="13"/>
  <c r="C80" i="13"/>
  <c r="C81" i="13"/>
  <c r="C73" i="13"/>
  <c r="C83" i="13"/>
  <c r="C84" i="13"/>
  <c r="C85" i="13"/>
  <c r="C86" i="13"/>
  <c r="C87" i="13"/>
  <c r="C88" i="13"/>
  <c r="C89" i="13"/>
  <c r="C90" i="13"/>
  <c r="C82" i="13"/>
  <c r="C44" i="13"/>
  <c r="C53" i="13"/>
  <c r="C45" i="13"/>
  <c r="C54" i="13"/>
  <c r="C46" i="13"/>
  <c r="C55" i="13"/>
  <c r="C47" i="13"/>
  <c r="C56" i="13"/>
  <c r="C48" i="13"/>
  <c r="C57" i="13"/>
  <c r="C49" i="13"/>
  <c r="C58" i="13"/>
  <c r="C50" i="13"/>
  <c r="C59" i="13"/>
  <c r="C51" i="13"/>
  <c r="C60" i="13"/>
  <c r="C43" i="13"/>
  <c r="C52" i="13"/>
  <c r="C14" i="13"/>
  <c r="C23" i="13"/>
  <c r="C15" i="13"/>
  <c r="C24" i="13"/>
  <c r="C16" i="13"/>
  <c r="C25" i="13"/>
  <c r="C17" i="13"/>
  <c r="C26" i="13"/>
  <c r="C18" i="13"/>
  <c r="C27" i="13"/>
  <c r="C19" i="13"/>
  <c r="C28" i="13"/>
  <c r="C20" i="13"/>
  <c r="C29" i="13"/>
  <c r="C21" i="13"/>
  <c r="C30" i="13"/>
  <c r="C13" i="13"/>
  <c r="C22" i="13"/>
  <c r="C241" i="12"/>
  <c r="C240" i="12"/>
  <c r="C239" i="12"/>
  <c r="C238" i="12"/>
  <c r="C237" i="12"/>
  <c r="C236" i="12"/>
  <c r="C235" i="12"/>
  <c r="C233" i="12"/>
  <c r="C223" i="12"/>
  <c r="C232" i="12"/>
  <c r="C222" i="12"/>
  <c r="C231" i="12"/>
  <c r="C221" i="12"/>
  <c r="C230" i="12"/>
  <c r="C220" i="12"/>
  <c r="C229" i="12"/>
  <c r="C219" i="12"/>
  <c r="C228" i="12"/>
  <c r="C218" i="12"/>
  <c r="C227" i="12"/>
  <c r="C217" i="12"/>
  <c r="C226" i="12"/>
  <c r="C216" i="12"/>
  <c r="C225" i="12"/>
  <c r="C215" i="12"/>
  <c r="C224" i="12"/>
  <c r="C214" i="12"/>
  <c r="C213" i="12"/>
  <c r="C212" i="12"/>
  <c r="C211" i="12"/>
  <c r="C210" i="12"/>
  <c r="C209" i="12"/>
  <c r="C208" i="12"/>
  <c r="C207" i="12"/>
  <c r="C206" i="12"/>
  <c r="C39" i="12"/>
  <c r="C38" i="12"/>
  <c r="C40" i="12"/>
  <c r="C41" i="12"/>
  <c r="C42" i="12"/>
  <c r="C43" i="12"/>
  <c r="C44" i="12"/>
  <c r="C45" i="12"/>
  <c r="C46" i="12"/>
  <c r="C12" i="6"/>
  <c r="C342" i="12"/>
  <c r="C346" i="12"/>
  <c r="C344" i="12"/>
  <c r="C345" i="12"/>
  <c r="C367" i="12"/>
  <c r="C122" i="12"/>
  <c r="C123" i="12"/>
  <c r="C124" i="12"/>
  <c r="C125" i="12"/>
  <c r="C126" i="12"/>
  <c r="C127" i="12"/>
  <c r="C128" i="12"/>
  <c r="C129" i="12"/>
  <c r="C130" i="12"/>
  <c r="C321" i="12"/>
  <c r="C324" i="12"/>
  <c r="C330" i="12"/>
  <c r="C332" i="12"/>
  <c r="C333" i="12"/>
  <c r="C331" i="12"/>
  <c r="C334" i="12"/>
  <c r="C335" i="12"/>
  <c r="C336" i="12"/>
  <c r="C343" i="12"/>
  <c r="G11" i="19"/>
  <c r="F11" i="19"/>
  <c r="E11" i="19"/>
  <c r="D11" i="19"/>
  <c r="G10" i="19"/>
  <c r="F10" i="19"/>
  <c r="E10" i="19"/>
  <c r="D10" i="19"/>
  <c r="G9" i="19"/>
  <c r="F9" i="19"/>
  <c r="E9" i="19"/>
  <c r="D9" i="19"/>
  <c r="G8" i="19"/>
  <c r="F8" i="19"/>
  <c r="E8" i="19"/>
  <c r="D8" i="19"/>
  <c r="G7" i="19"/>
  <c r="F7" i="19"/>
  <c r="E7" i="19"/>
  <c r="D7" i="19"/>
  <c r="G6" i="19"/>
  <c r="F6" i="19"/>
  <c r="E6" i="19"/>
  <c r="D6" i="19"/>
  <c r="G5" i="19"/>
  <c r="F5" i="19"/>
  <c r="E5" i="19"/>
  <c r="D5" i="19"/>
  <c r="G4" i="19"/>
  <c r="F4" i="19"/>
  <c r="E4" i="19"/>
  <c r="D4" i="19"/>
  <c r="G3" i="19"/>
  <c r="F3" i="19"/>
  <c r="E3" i="19"/>
  <c r="D3" i="19"/>
  <c r="C34" i="6"/>
  <c r="C7" i="6"/>
  <c r="C10" i="6"/>
  <c r="C33" i="6"/>
  <c r="C37" i="6"/>
  <c r="C28" i="6"/>
  <c r="C36" i="6"/>
  <c r="C35" i="6"/>
  <c r="C38" i="6"/>
  <c r="C9" i="6"/>
  <c r="C11" i="6"/>
  <c r="C4" i="9"/>
  <c r="C7" i="9"/>
  <c r="C17" i="9"/>
  <c r="C49" i="9"/>
  <c r="C39" i="9"/>
  <c r="M25" i="9"/>
  <c r="M26" i="9"/>
  <c r="C23" i="6"/>
  <c r="C354" i="12"/>
  <c r="C462" i="12"/>
  <c r="C450" i="12"/>
  <c r="C438" i="12"/>
  <c r="C464" i="12"/>
  <c r="C465" i="12"/>
  <c r="C466" i="12"/>
  <c r="C476" i="12"/>
  <c r="C452" i="12"/>
  <c r="C453" i="12"/>
  <c r="C454" i="12"/>
  <c r="C475" i="12"/>
  <c r="C440" i="12"/>
  <c r="C441" i="12"/>
  <c r="C442" i="12"/>
  <c r="C474" i="12"/>
  <c r="C467" i="12"/>
  <c r="C468" i="12"/>
  <c r="C473" i="12"/>
  <c r="C455" i="12"/>
  <c r="C456" i="12"/>
  <c r="C472" i="12"/>
  <c r="C443" i="12"/>
  <c r="C444" i="12"/>
  <c r="C471" i="12"/>
  <c r="C463" i="12"/>
  <c r="C451" i="12"/>
  <c r="C439" i="12"/>
  <c r="C432" i="12"/>
  <c r="C429" i="12"/>
  <c r="C396" i="12"/>
  <c r="C408" i="12"/>
  <c r="C384" i="12"/>
  <c r="C410" i="12"/>
  <c r="C411" i="12"/>
  <c r="C412" i="12"/>
  <c r="C422" i="12"/>
  <c r="C398" i="12"/>
  <c r="C399" i="12"/>
  <c r="C400" i="12"/>
  <c r="C421" i="12"/>
  <c r="C386" i="12"/>
  <c r="C387" i="12"/>
  <c r="C388" i="12"/>
  <c r="C420" i="12"/>
  <c r="C413" i="12"/>
  <c r="C414" i="12"/>
  <c r="C419" i="12"/>
  <c r="C401" i="12"/>
  <c r="C402" i="12"/>
  <c r="C418" i="12"/>
  <c r="C389" i="12"/>
  <c r="C390" i="12"/>
  <c r="C417" i="12"/>
  <c r="C409" i="12"/>
  <c r="C397" i="12"/>
  <c r="C385" i="12"/>
  <c r="C378" i="12"/>
  <c r="C375" i="12"/>
  <c r="C347" i="12"/>
  <c r="C348" i="12"/>
  <c r="C356" i="12"/>
  <c r="C357" i="12"/>
  <c r="C355" i="12"/>
  <c r="C358" i="12"/>
  <c r="C359" i="12"/>
  <c r="C360" i="12"/>
  <c r="C363" i="12"/>
  <c r="C364" i="12"/>
  <c r="C365" i="12"/>
  <c r="C366" i="12"/>
  <c r="C368" i="12"/>
  <c r="C17" i="6"/>
  <c r="C15" i="6"/>
  <c r="R15" i="7"/>
  <c r="R14" i="7"/>
  <c r="R13" i="7"/>
  <c r="R12" i="7"/>
  <c r="R11" i="7"/>
  <c r="R10" i="7"/>
  <c r="R9" i="7"/>
  <c r="R8" i="7"/>
  <c r="R7" i="7"/>
  <c r="R6" i="7"/>
  <c r="R5" i="7"/>
  <c r="R3" i="7"/>
  <c r="R4" i="7"/>
  <c r="R2" i="7"/>
  <c r="P15" i="7"/>
  <c r="P14" i="7"/>
  <c r="P13" i="7"/>
  <c r="P12" i="7"/>
  <c r="P11" i="7"/>
  <c r="P10" i="7"/>
  <c r="P9" i="7"/>
  <c r="P8" i="7"/>
  <c r="P7" i="7"/>
  <c r="P6" i="7"/>
  <c r="P5" i="7"/>
  <c r="P3" i="7"/>
  <c r="P4" i="7"/>
  <c r="P2" i="7"/>
  <c r="O8" i="7"/>
  <c r="O15" i="7"/>
  <c r="O14" i="7"/>
  <c r="O13" i="7"/>
  <c r="O12" i="7"/>
  <c r="O11" i="7"/>
  <c r="O10" i="7"/>
  <c r="O9" i="7"/>
  <c r="O7" i="7"/>
  <c r="O6" i="7"/>
  <c r="O5" i="7"/>
  <c r="O3" i="7"/>
  <c r="O4" i="7"/>
  <c r="O2" i="7"/>
  <c r="C18" i="9"/>
  <c r="C19" i="9"/>
  <c r="C46" i="9"/>
  <c r="C76" i="7"/>
  <c r="C77" i="7"/>
  <c r="C78" i="7"/>
  <c r="C79" i="7"/>
  <c r="C80" i="7"/>
  <c r="C107" i="7"/>
  <c r="C84" i="7"/>
  <c r="C73" i="7"/>
  <c r="C81" i="7"/>
  <c r="C74" i="7"/>
  <c r="C82" i="7"/>
  <c r="C75" i="7"/>
  <c r="C83" i="7"/>
  <c r="C85" i="7"/>
  <c r="C101" i="7"/>
  <c r="C95" i="7"/>
  <c r="C37" i="9"/>
  <c r="C25" i="9"/>
  <c r="C40" i="9"/>
  <c r="C38" i="9"/>
  <c r="C27" i="9"/>
  <c r="C28" i="9"/>
  <c r="C26" i="9"/>
  <c r="C13" i="9"/>
  <c r="C15" i="9"/>
  <c r="C16" i="9"/>
  <c r="C14" i="9"/>
  <c r="C42" i="9"/>
  <c r="C43" i="9"/>
  <c r="C30" i="9"/>
  <c r="C31" i="9"/>
  <c r="C29" i="9"/>
  <c r="C41" i="9"/>
  <c r="C61" i="6"/>
  <c r="C62" i="6"/>
  <c r="C45" i="7"/>
  <c r="C16" i="6"/>
  <c r="H15" i="6"/>
  <c r="C48" i="9"/>
  <c r="C47" i="9"/>
  <c r="C65" i="6"/>
  <c r="C67" i="6"/>
  <c r="C51" i="9"/>
  <c r="C50" i="9"/>
  <c r="C7" i="8"/>
  <c r="C60" i="6"/>
  <c r="C30" i="6"/>
</calcChain>
</file>

<file path=xl/sharedStrings.xml><?xml version="1.0" encoding="utf-8"?>
<sst xmlns="http://schemas.openxmlformats.org/spreadsheetml/2006/main" count="5036" uniqueCount="567">
  <si>
    <t>Initial Estimates 06 Feb 2017</t>
  </si>
  <si>
    <t>Design Constraints</t>
  </si>
  <si>
    <t>Estimates and Calculations (in the order they were estimated or calculated)</t>
  </si>
  <si>
    <t>Crew</t>
  </si>
  <si>
    <t>2 Pilots to be included in dry weight of aircraft</t>
  </si>
  <si>
    <t>Parameter</t>
  </si>
  <si>
    <t>Given</t>
  </si>
  <si>
    <t>Value</t>
  </si>
  <si>
    <t>Units</t>
  </si>
  <si>
    <t>Given / Estimate / Calculation</t>
  </si>
  <si>
    <t>Equation(s) Used</t>
  </si>
  <si>
    <t>Reference</t>
  </si>
  <si>
    <t>1 Stewardess</t>
  </si>
  <si>
    <t>Wing Loading [W/S]</t>
  </si>
  <si>
    <t>Estimate</t>
  </si>
  <si>
    <t>SSBJ Sample Data</t>
  </si>
  <si>
    <t>Maximum Takeoff Weight [MTOW] [W0]</t>
  </si>
  <si>
    <t>lbs</t>
  </si>
  <si>
    <t>Cabin Seating</t>
  </si>
  <si>
    <t>Max Range (Max Fuel): 8 + 1 jumpseat for Stewardess</t>
  </si>
  <si>
    <t>Wing Area [S]</t>
  </si>
  <si>
    <t>Calculation</t>
  </si>
  <si>
    <t>S = (S/W)*W</t>
  </si>
  <si>
    <t>Common Knowledge</t>
  </si>
  <si>
    <t>Max Seating: 12 + 1 jumpseat for Stewardess</t>
  </si>
  <si>
    <t>Aspect Ratio [AR]</t>
  </si>
  <si>
    <t>41000ft</t>
  </si>
  <si>
    <t>42000ft</t>
  </si>
  <si>
    <t>Length</t>
  </si>
  <si>
    <t>ft</t>
  </si>
  <si>
    <t>SSBJ Sample Data Ratio Estimations</t>
  </si>
  <si>
    <t>Project Handout, Appendix B, pg. 13</t>
  </si>
  <si>
    <t>Wing Span [b] (of one wing)</t>
  </si>
  <si>
    <t>43000ft</t>
  </si>
  <si>
    <t>Fuselage Length</t>
  </si>
  <si>
    <t>44000ft</t>
  </si>
  <si>
    <t>Range at Mach 1.6</t>
  </si>
  <si>
    <t>Tail Empennage Length</t>
  </si>
  <si>
    <t>45000ft</t>
  </si>
  <si>
    <t>Nose Length</t>
  </si>
  <si>
    <t>46000ft</t>
  </si>
  <si>
    <t>Width (Fuselage Diameter / Cabin Diameter)</t>
  </si>
  <si>
    <t>47000ft</t>
  </si>
  <si>
    <t>AR = b2/S : b/2 = 2.5Cr</t>
  </si>
  <si>
    <t>alpha</t>
  </si>
  <si>
    <t>48000ft</t>
  </si>
  <si>
    <t>49000ft</t>
  </si>
  <si>
    <t>Root Tail Chord Length [Cr_t]</t>
  </si>
  <si>
    <t>Calcuation</t>
  </si>
  <si>
    <t>Cr_t = W_t/W_w*Cr</t>
  </si>
  <si>
    <t>Torenbeek Weight Assumptions for similar Aircraft</t>
  </si>
  <si>
    <t>Superosonic Cruise Mach Range</t>
  </si>
  <si>
    <t>1.6 - 1.8</t>
  </si>
  <si>
    <t>Mean Aerodynamic Chord [MAC]</t>
  </si>
  <si>
    <t>unitless</t>
  </si>
  <si>
    <t>Mean Tail Chord</t>
  </si>
  <si>
    <t>Subsonic Cruise Mach Range</t>
  </si>
  <si>
    <t>0.9-0.95</t>
  </si>
  <si>
    <t>Tip Chord Length [Ct]</t>
  </si>
  <si>
    <t>1/hr</t>
  </si>
  <si>
    <t>BruinJet BJ205 Performance Data</t>
  </si>
  <si>
    <t>Altitude (ft)</t>
  </si>
  <si>
    <t>Maximum Operating Mach Number</t>
  </si>
  <si>
    <t>Project Handout, Appendix B, Table B-19, pg. 15</t>
  </si>
  <si>
    <t>Speed of Sound at Cruise Altitude [a]</t>
  </si>
  <si>
    <t>Cruise Altitude</t>
  </si>
  <si>
    <t>Cruise Speed [V]</t>
  </si>
  <si>
    <t>M = a/V</t>
  </si>
  <si>
    <t>Speed of Sound at Sea Level [a0]</t>
  </si>
  <si>
    <t>http://www.fighter-planes.com/jetmach1.htm</t>
  </si>
  <si>
    <t>Service Ceiling</t>
  </si>
  <si>
    <t>Ambient Temp at Crusing Altitude [Ta]</t>
  </si>
  <si>
    <t>Kelvin</t>
  </si>
  <si>
    <t>Standard Atmospheric Temperature [T0]</t>
  </si>
  <si>
    <t>Payload with Maximum Fuel (Max Range / Max Fuel Cabin Seating)</t>
  </si>
  <si>
    <t>O.O. Bendisken, Chapter 2 Slides, Equation 2.130</t>
  </si>
  <si>
    <t>Fuel Weight [Wfuel] (this is fuel needed to make trip)</t>
  </si>
  <si>
    <t xml:space="preserve">R/a0 = (M(L/D))/(Ctf/sqrt(Ta/T0))*ln(W0/W1)
Wfuel = W0 - W1    </t>
  </si>
  <si>
    <t>Fuel Requirements</t>
  </si>
  <si>
    <t>* aircraft must be stable in pitch without use of active controls</t>
  </si>
  <si>
    <t>Earlier Calculation</t>
  </si>
  <si>
    <t>Jet Fuel Density</t>
  </si>
  <si>
    <t>Wikipedia</t>
  </si>
  <si>
    <t>NACA 64A006 Airfoil Data                   See Project Handout, Appendix B, pg. 13</t>
  </si>
  <si>
    <t>Total Volume of Fuel Tank Storage Required</t>
  </si>
  <si>
    <t>Weight Group Breakdowns as a Function of MTOW</t>
  </si>
  <si>
    <t>Wing Group</t>
  </si>
  <si>
    <t>Tail Group</t>
  </si>
  <si>
    <t>Fuselage Group</t>
  </si>
  <si>
    <t>Landing Gear</t>
  </si>
  <si>
    <t>Surface Controls Group</t>
  </si>
  <si>
    <t>Nacelle Group</t>
  </si>
  <si>
    <t>Aircraft Dimensions</t>
  </si>
  <si>
    <t>Height</t>
  </si>
  <si>
    <t>Total Wing Span (of both wings and aircraft)</t>
  </si>
  <si>
    <t>Total Wing Span = 2*b + Width</t>
  </si>
  <si>
    <t>Variable</t>
  </si>
  <si>
    <t xml:space="preserve">WL = </t>
  </si>
  <si>
    <t xml:space="preserve">MTOW = </t>
  </si>
  <si>
    <t xml:space="preserve">S = </t>
  </si>
  <si>
    <t xml:space="preserve">AR = </t>
  </si>
  <si>
    <t xml:space="preserve">MAC = </t>
  </si>
  <si>
    <t xml:space="preserve">Cr = </t>
  </si>
  <si>
    <t xml:space="preserve">Cr_t = </t>
  </si>
  <si>
    <t xml:space="preserve">** </t>
  </si>
  <si>
    <t xml:space="preserve">C_t = </t>
  </si>
  <si>
    <t>MAC_t =</t>
  </si>
  <si>
    <t xml:space="preserve">TSFC = </t>
  </si>
  <si>
    <t xml:space="preserve">L_D = </t>
  </si>
  <si>
    <t xml:space="preserve">a_cruise = </t>
  </si>
  <si>
    <t xml:space="preserve">V_1_6 = </t>
  </si>
  <si>
    <t xml:space="preserve">a0 = </t>
  </si>
  <si>
    <t xml:space="preserve">T_cruise = </t>
  </si>
  <si>
    <t xml:space="preserve">T0 = </t>
  </si>
  <si>
    <t xml:space="preserve">W_fuel = </t>
  </si>
  <si>
    <t>Project Handout, Appendix B, pg. 13: Assuming same airfoil for Wing and Tail</t>
  </si>
  <si>
    <t xml:space="preserve">rho_fuel = </t>
  </si>
  <si>
    <t xml:space="preserve">V_f = </t>
  </si>
  <si>
    <t xml:space="preserve">W_wing = </t>
  </si>
  <si>
    <t xml:space="preserve">W_tail = </t>
  </si>
  <si>
    <t xml:space="preserve">W_fus = </t>
  </si>
  <si>
    <t xml:space="preserve">W_land = </t>
  </si>
  <si>
    <t xml:space="preserve">W_Nac = </t>
  </si>
  <si>
    <t xml:space="preserve">W_eng = </t>
  </si>
  <si>
    <t xml:space="preserve">L_aircraft = </t>
  </si>
  <si>
    <t xml:space="preserve">; </t>
  </si>
  <si>
    <t xml:space="preserve">L_fus = </t>
  </si>
  <si>
    <t xml:space="preserve">L_emp = </t>
  </si>
  <si>
    <t xml:space="preserve">L_nose = </t>
  </si>
  <si>
    <t xml:space="preserve">D_aircraft = </t>
  </si>
  <si>
    <t xml:space="preserve">H = </t>
  </si>
  <si>
    <t xml:space="preserve">b_tot = </t>
  </si>
  <si>
    <t>41,000 - 49,000 ft</t>
  </si>
  <si>
    <t>51000 ft</t>
  </si>
  <si>
    <t>2000 lbs</t>
  </si>
  <si>
    <t>See above</t>
  </si>
  <si>
    <t>Torenbeek, Ch.8, pg. 280, Table 8-5, Aerospat. Caravelle VIR 2-Engine Aircraft</t>
  </si>
  <si>
    <t>**</t>
  </si>
  <si>
    <t>O.O. Bendiksen, Gas Turbine Engines, F414-GE-400</t>
  </si>
  <si>
    <t>See Right</t>
  </si>
  <si>
    <t>See Left</t>
  </si>
  <si>
    <t>Fuel Weight [Wfuel]</t>
  </si>
  <si>
    <t>lb/ft3</t>
  </si>
  <si>
    <t>ft3</t>
  </si>
  <si>
    <t>Volume = Wfuel / Jet Fuel Density</t>
  </si>
  <si>
    <t>lb/ft2</t>
  </si>
  <si>
    <t>ft2</t>
  </si>
  <si>
    <t>AR = b2/S</t>
  </si>
  <si>
    <t>Root Chord Length [Cr]</t>
  </si>
  <si>
    <t>MAC = 0.73917*Cr</t>
  </si>
  <si>
    <t>MAC = 0.73917*Cr_t</t>
  </si>
  <si>
    <t>Ct = 0.3886*Cr</t>
  </si>
  <si>
    <t>TSFC [Ctf]</t>
  </si>
  <si>
    <t>Engine Length</t>
  </si>
  <si>
    <t xml:space="preserve">L_eng = </t>
  </si>
  <si>
    <t>Seating Section 1 Length</t>
  </si>
  <si>
    <t xml:space="preserve">L_seat1 = </t>
  </si>
  <si>
    <t>Seating Section 2 Length</t>
  </si>
  <si>
    <t>Seating Section 3 Length</t>
  </si>
  <si>
    <t xml:space="preserve">L_seat2 = </t>
  </si>
  <si>
    <t xml:space="preserve">L_seat3 = </t>
  </si>
  <si>
    <t>Nacelle Length</t>
  </si>
  <si>
    <t>Locations for CG calcs: Connects to First Page for Aircraft Dimensions, and will auto update all other values associated with these lengths</t>
  </si>
  <si>
    <t>Leading Edge wing Placement</t>
  </si>
  <si>
    <t>Leading Edge Engine Placement</t>
  </si>
  <si>
    <t xml:space="preserve">x_eng = </t>
  </si>
  <si>
    <t xml:space="preserve">x_wing = </t>
  </si>
  <si>
    <t>Percent Length * Plane Length</t>
  </si>
  <si>
    <t>Leading Edge Nacelle Placement</t>
  </si>
  <si>
    <t xml:space="preserve">x_nac = </t>
  </si>
  <si>
    <t>Leading Edge Front Landing Gear Placement</t>
  </si>
  <si>
    <t xml:space="preserve">x_lg_front = </t>
  </si>
  <si>
    <t>Leading Edge Rear Landing Gear Placement</t>
  </si>
  <si>
    <t xml:space="preserve">x_lg_rear = </t>
  </si>
  <si>
    <t>Leading Edge Fuselage Placement</t>
  </si>
  <si>
    <t xml:space="preserve">x_fus = </t>
  </si>
  <si>
    <t>Leading Edge Empanage Placement</t>
  </si>
  <si>
    <t xml:space="preserve">x_emp = </t>
  </si>
  <si>
    <t>Leading Edge Vertical Tail Surfaces</t>
  </si>
  <si>
    <t xml:space="preserve">x_t_vert = </t>
  </si>
  <si>
    <t>Leading Edge Horizontal Tail Surfaces</t>
  </si>
  <si>
    <t xml:space="preserve">x_t_horiz = </t>
  </si>
  <si>
    <t>Leading Edge CockPit Placement</t>
  </si>
  <si>
    <t xml:space="preserve">x_cock = </t>
  </si>
  <si>
    <t>Leading Edge Jump Seat Placement</t>
  </si>
  <si>
    <t xml:space="preserve">x_js = </t>
  </si>
  <si>
    <t>Leading Edge Placement of Seating Section 1</t>
  </si>
  <si>
    <t>Leading Edge Placement of Seating Section 2</t>
  </si>
  <si>
    <t>Leading Edge Placement of Seating Section 3</t>
  </si>
  <si>
    <t xml:space="preserve">x_seat1 = </t>
  </si>
  <si>
    <t xml:space="preserve">x_seat2 = </t>
  </si>
  <si>
    <t xml:space="preserve">x_seat3 = </t>
  </si>
  <si>
    <t xml:space="preserve">Engine Group </t>
  </si>
  <si>
    <t>Number Of Engines</t>
  </si>
  <si>
    <t xml:space="preserve">N_engines = </t>
  </si>
  <si>
    <t xml:space="preserve">Will need to add a third engine eventually. Starting with 2 now. </t>
  </si>
  <si>
    <t>Weight of Luxury Passenger</t>
  </si>
  <si>
    <t>Weight of Jump Seat</t>
  </si>
  <si>
    <t>Weight of Pilot Seat</t>
  </si>
  <si>
    <t>Weight of Passenger + Luggage</t>
  </si>
  <si>
    <t xml:space="preserve">W_pass_seat = </t>
  </si>
  <si>
    <t xml:space="preserve">W_js = </t>
  </si>
  <si>
    <t xml:space="preserve">W_pilot_seat = </t>
  </si>
  <si>
    <t xml:space="preserve">W_pass = </t>
  </si>
  <si>
    <t>Leading Edge of MAC</t>
  </si>
  <si>
    <t xml:space="preserve">x_MAC = </t>
  </si>
  <si>
    <t>x_MAC = x_wing+((1-.8037)*Cr);</t>
  </si>
  <si>
    <t>Appendix B/C</t>
  </si>
  <si>
    <t>Placement of Wing CG</t>
  </si>
  <si>
    <t xml:space="preserve">x_wing_cg = </t>
  </si>
  <si>
    <t>Surface Control CG Placement</t>
  </si>
  <si>
    <t xml:space="preserve">x_sc = </t>
  </si>
  <si>
    <t>Wing Moment</t>
  </si>
  <si>
    <t xml:space="preserve">M_wing = </t>
  </si>
  <si>
    <t>Surface Control Moment</t>
  </si>
  <si>
    <t xml:space="preserve">M_sc = </t>
  </si>
  <si>
    <t>Fuel Tank Parameters</t>
  </si>
  <si>
    <t>Wing and Surface Controls Parameters</t>
  </si>
  <si>
    <t>Weight of Center Fuel Tank</t>
  </si>
  <si>
    <t xml:space="preserve">W_cent_fuel = </t>
  </si>
  <si>
    <t>Cross Section of Fuel In Center Tank</t>
  </si>
  <si>
    <t xml:space="preserve">A_cross_fuel = </t>
  </si>
  <si>
    <t>ft^2</t>
  </si>
  <si>
    <t>lb</t>
  </si>
  <si>
    <t>ft-lb</t>
  </si>
  <si>
    <t>x_wing_cg = x_wing+(.7*Cr);</t>
  </si>
  <si>
    <t>x_sc = x_MAC + MAC;</t>
  </si>
  <si>
    <t xml:space="preserve">M_wing = x_wing_xg *W_wing; </t>
  </si>
  <si>
    <t xml:space="preserve">M_sc = x_sc*W_sc; </t>
  </si>
  <si>
    <t xml:space="preserve">W_sc = </t>
  </si>
  <si>
    <t>** Ask Jordy **</t>
  </si>
  <si>
    <t xml:space="preserve">W_wing_fuel = </t>
  </si>
  <si>
    <t>Weight of Fuel in Both Wings</t>
  </si>
  <si>
    <t>CG Position for Center Fuel Tank</t>
  </si>
  <si>
    <t xml:space="preserve">x_cent_fuel_cg = </t>
  </si>
  <si>
    <t xml:space="preserve">W_wing_fuel= W_fuel - W_cent_fuel; </t>
  </si>
  <si>
    <t xml:space="preserve">x_cent_fuel_cg = x_wing + Cr/2; </t>
  </si>
  <si>
    <t>CG Position of Wing Fuel Tanks</t>
  </si>
  <si>
    <t xml:space="preserve">x_wing_fuel_cg = </t>
  </si>
  <si>
    <t>x_wing_fuel_cg = x_wing+0.5+0.7*0.4*Cr</t>
  </si>
  <si>
    <t>Moment of Center Fuel Tank</t>
  </si>
  <si>
    <t xml:space="preserve">M_cent_fuel = </t>
  </si>
  <si>
    <t xml:space="preserve">M_cent_fuel = x_cent_fuel_cg*W_cent_fuel; </t>
  </si>
  <si>
    <t>Moment of Wing with Fuel</t>
  </si>
  <si>
    <t xml:space="preserve">M_wing_fuel = </t>
  </si>
  <si>
    <t xml:space="preserve">M_wing_fuel = x_cent_fuel_cg*W_cent_fuel; </t>
  </si>
  <si>
    <t>Engine Group Parameters</t>
  </si>
  <si>
    <t xml:space="preserve">x_eng_cg = </t>
  </si>
  <si>
    <t>x_eng_cg = x_eng+ L_eng/2;</t>
  </si>
  <si>
    <t>Engine Moment</t>
  </si>
  <si>
    <t xml:space="preserve">M_eng = </t>
  </si>
  <si>
    <t>Weight of One Engine</t>
  </si>
  <si>
    <t xml:space="preserve">W_one_eng = </t>
  </si>
  <si>
    <t>Ask Janelle or Jordy</t>
  </si>
  <si>
    <t>Total Weight Of Engines</t>
  </si>
  <si>
    <t xml:space="preserve">M_eng = x_eng_cg*W_eng; </t>
  </si>
  <si>
    <t>Nacelle Group Parameters</t>
  </si>
  <si>
    <t>Nacelle Moment</t>
  </si>
  <si>
    <t xml:space="preserve">x_nac_cg = </t>
  </si>
  <si>
    <t xml:space="preserve">L_nac = </t>
  </si>
  <si>
    <t>x_nac_cg = x_nac+ L_nac*0.4;</t>
  </si>
  <si>
    <t xml:space="preserve">M_nac = </t>
  </si>
  <si>
    <t xml:space="preserve">M_nac = x_nac_cg*W_nac; </t>
  </si>
  <si>
    <t>Tail Group Parameters</t>
  </si>
  <si>
    <t>Fuselage Group Parameters</t>
  </si>
  <si>
    <t>Landing Gear Group Parameters</t>
  </si>
  <si>
    <t>Tail Moment</t>
  </si>
  <si>
    <t xml:space="preserve">M_tail = </t>
  </si>
  <si>
    <t>Vertical Tail CG</t>
  </si>
  <si>
    <t>Horizontal Tail CG</t>
  </si>
  <si>
    <t xml:space="preserve">x_vert_tail_cg = </t>
  </si>
  <si>
    <t xml:space="preserve">x_horz_tail_cg = </t>
  </si>
  <si>
    <t>Fuselage CG</t>
  </si>
  <si>
    <t>Engine CG</t>
  </si>
  <si>
    <t>Nacelle CG</t>
  </si>
  <si>
    <t xml:space="preserve">x_fus_cg = </t>
  </si>
  <si>
    <t>x_tail_cg = x_tail+ L_tail*0.42;</t>
  </si>
  <si>
    <t xml:space="preserve">M_tail = x_tail_cg*W_tail; </t>
  </si>
  <si>
    <t>x_fus_cg = x_fus+ L_fus*0.47;</t>
  </si>
  <si>
    <t>Fuselage Moment</t>
  </si>
  <si>
    <t xml:space="preserve">M_fus = </t>
  </si>
  <si>
    <t xml:space="preserve">M_fus = x_fus_cg*W_fus; </t>
  </si>
  <si>
    <t>Landing Gear CG</t>
  </si>
  <si>
    <t xml:space="preserve">x_lg_cg = </t>
  </si>
  <si>
    <t>Landing Gear Moment</t>
  </si>
  <si>
    <t xml:space="preserve">M_lg = </t>
  </si>
  <si>
    <t xml:space="preserve">M_lg = W_lg*x_cg_lg; </t>
  </si>
  <si>
    <t>Seat 1 CG</t>
  </si>
  <si>
    <t>Seat 2 CG</t>
  </si>
  <si>
    <t>CG</t>
  </si>
  <si>
    <t>Seat 3 CG</t>
  </si>
  <si>
    <t xml:space="preserve">x_seat1_cg = </t>
  </si>
  <si>
    <t xml:space="preserve">x_seat2_cg = </t>
  </si>
  <si>
    <t xml:space="preserve">x_seat3_cg = </t>
  </si>
  <si>
    <t>x_lg_cg = x_lg_front+(((2/3)*x_lg_rear)));</t>
  </si>
  <si>
    <t>x_seat1_cg = x_seat1 + L_seat1/2;</t>
  </si>
  <si>
    <t>Same As Seat 1</t>
  </si>
  <si>
    <t>Total Weight of Seating Section 1</t>
  </si>
  <si>
    <t>Total Weight of Seating Section 2</t>
  </si>
  <si>
    <t>Total Weight of Seating Section 3</t>
  </si>
  <si>
    <t xml:space="preserve">W_seat1 = </t>
  </si>
  <si>
    <t xml:space="preserve">W_seat2 = </t>
  </si>
  <si>
    <t xml:space="preserve">W_seat3 = </t>
  </si>
  <si>
    <t>Number Of Passengers in Section 1</t>
  </si>
  <si>
    <t>Number Of Passengers in Section 2</t>
  </si>
  <si>
    <t>Number Of Passengers in Section 3</t>
  </si>
  <si>
    <t xml:space="preserve">N_seat1 = </t>
  </si>
  <si>
    <t xml:space="preserve">N_seat2 = </t>
  </si>
  <si>
    <t xml:space="preserve">N_seat3 = </t>
  </si>
  <si>
    <t>Project Handout</t>
  </si>
  <si>
    <t>Sum weight of Passenger Seat, person and bags</t>
  </si>
  <si>
    <t>Total Weight of Pilots</t>
  </si>
  <si>
    <t xml:space="preserve">W_pilots = </t>
  </si>
  <si>
    <t>Sum weight of Pilot Seat, person and bags</t>
  </si>
  <si>
    <t>Total Weight of Jumper Seat</t>
  </si>
  <si>
    <t>Seating Section 1 Moment</t>
  </si>
  <si>
    <t xml:space="preserve">M_seat1 = </t>
  </si>
  <si>
    <t>Seating Section 2 Moment</t>
  </si>
  <si>
    <t>Seating Section 3 Moment</t>
  </si>
  <si>
    <t xml:space="preserve">M_seat2 = </t>
  </si>
  <si>
    <t xml:space="preserve">M_seat3 = </t>
  </si>
  <si>
    <t xml:space="preserve">M_seat = W_seat + x_seat_cg; </t>
  </si>
  <si>
    <t>Pilot Moment</t>
  </si>
  <si>
    <t xml:space="preserve">M_pilots = </t>
  </si>
  <si>
    <t>Jump Seat Moment</t>
  </si>
  <si>
    <t xml:space="preserve">M_js = </t>
  </si>
  <si>
    <t>See Seat Moment Calc</t>
  </si>
  <si>
    <t>Sum of Moments</t>
  </si>
  <si>
    <t xml:space="preserve">M_sum = </t>
  </si>
  <si>
    <t>Sum all Moments</t>
  </si>
  <si>
    <t>Sum of Weights</t>
  </si>
  <si>
    <t xml:space="preserve">W_sum = </t>
  </si>
  <si>
    <t>Sum all Weights</t>
  </si>
  <si>
    <t xml:space="preserve">CG = </t>
  </si>
  <si>
    <t>Sum_M/Sum_W</t>
  </si>
  <si>
    <t>CG Percent MAC</t>
  </si>
  <si>
    <t xml:space="preserve">CG_MAC = </t>
  </si>
  <si>
    <t>%</t>
  </si>
  <si>
    <t xml:space="preserve">(CG-x_MAC)/MAC; </t>
  </si>
  <si>
    <t>Correction Coefficient</t>
  </si>
  <si>
    <t xml:space="preserve">tau = </t>
  </si>
  <si>
    <t>Appendix C: Stability Calcs</t>
  </si>
  <si>
    <t>Fuselage Fineness Ratio 1</t>
  </si>
  <si>
    <t>Fuselage Fineness Ratio 2</t>
  </si>
  <si>
    <t>Nacelle Fineness Ratio 1</t>
  </si>
  <si>
    <t>Nacelle Fineness Ratio 2</t>
  </si>
  <si>
    <t xml:space="preserve">k1_f = </t>
  </si>
  <si>
    <t xml:space="preserve">k2_f = </t>
  </si>
  <si>
    <t xml:space="preserve">k1_n = </t>
  </si>
  <si>
    <t xml:space="preserve">k2_n = </t>
  </si>
  <si>
    <t>Placement of CG</t>
  </si>
  <si>
    <t xml:space="preserve">x_cg = </t>
  </si>
  <si>
    <t>See CG Calcs Page</t>
  </si>
  <si>
    <t>Moment Coefficient about AC</t>
  </si>
  <si>
    <t xml:space="preserve">CM_ac = </t>
  </si>
  <si>
    <t>Assume 0 to start</t>
  </si>
  <si>
    <t>Volume of Fuselage</t>
  </si>
  <si>
    <t xml:space="preserve">V_fus = </t>
  </si>
  <si>
    <t xml:space="preserve">V_emp = </t>
  </si>
  <si>
    <t>Volume of Emp</t>
  </si>
  <si>
    <t>ft^3</t>
  </si>
  <si>
    <t>Area of Circle*Length Fuselage</t>
  </si>
  <si>
    <t>Area of Circle*Length Empennage</t>
  </si>
  <si>
    <t xml:space="preserve">l_w = </t>
  </si>
  <si>
    <t>Length from Wing MAC to CG</t>
  </si>
  <si>
    <t>Length from Tail MAC to CG</t>
  </si>
  <si>
    <t xml:space="preserve">l_t = </t>
  </si>
  <si>
    <t xml:space="preserve">l_t = x_tail_MAC - x_cg; </t>
  </si>
  <si>
    <t xml:space="preserve">l_w= x_wing_MAC - x_cg; </t>
  </si>
  <si>
    <t>Number of Nacelle</t>
  </si>
  <si>
    <t xml:space="preserve">N_nac = </t>
  </si>
  <si>
    <t>Air Density at Cruise Altitude</t>
  </si>
  <si>
    <t xml:space="preserve">rho_cruise = </t>
  </si>
  <si>
    <t>slug/ft^3</t>
  </si>
  <si>
    <t>Standard Air Density</t>
  </si>
  <si>
    <t>Tail Surface Area</t>
  </si>
  <si>
    <t xml:space="preserve">S_t = </t>
  </si>
  <si>
    <t>Velocity of Aircraft at Mach 0.8</t>
  </si>
  <si>
    <t xml:space="preserve">V_plane = </t>
  </si>
  <si>
    <t>Mach Speed</t>
  </si>
  <si>
    <t xml:space="preserve">M = </t>
  </si>
  <si>
    <t>Subsonic Criuse</t>
  </si>
  <si>
    <t>Toohey Stability Slides for Tail Ratio</t>
  </si>
  <si>
    <t>V_plane = a_cruise*M_08</t>
  </si>
  <si>
    <t>Standard Calc</t>
  </si>
  <si>
    <t>Dynamic Pressure</t>
  </si>
  <si>
    <t xml:space="preserve">q = </t>
  </si>
  <si>
    <t>slugs/(ft*s^2)</t>
  </si>
  <si>
    <t>Standard Dynamic Pressure</t>
  </si>
  <si>
    <t>Volume Of Fuselage</t>
  </si>
  <si>
    <t>Volume Of Cylender</t>
  </si>
  <si>
    <t>Volume of Nacelle</t>
  </si>
  <si>
    <t xml:space="preserve">V_n = </t>
  </si>
  <si>
    <t>Will Add When Quang Calcs This</t>
  </si>
  <si>
    <t>Length from Tail MAC to Wing MAC</t>
  </si>
  <si>
    <t xml:space="preserve">l = </t>
  </si>
  <si>
    <t xml:space="preserve">l = l_w+l_t; </t>
  </si>
  <si>
    <t>Tail Efficiency</t>
  </si>
  <si>
    <t xml:space="preserve">n_t = </t>
  </si>
  <si>
    <t>given / Estimate / Calculation</t>
  </si>
  <si>
    <t xml:space="preserve">Given </t>
  </si>
  <si>
    <t>Assume 1</t>
  </si>
  <si>
    <t>Input Stability Parameters</t>
  </si>
  <si>
    <t>Angle Of Attack</t>
  </si>
  <si>
    <t>Constant Stability Parameters</t>
  </si>
  <si>
    <t>Lift Coefficient</t>
  </si>
  <si>
    <t xml:space="preserve">C_L = </t>
  </si>
  <si>
    <t>Rad</t>
  </si>
  <si>
    <t>See Appendix B: C_L = 0.3</t>
  </si>
  <si>
    <t>See Appendix Bfor C_L = 0.3</t>
  </si>
  <si>
    <t>Tail Volume Ratio</t>
  </si>
  <si>
    <t xml:space="preserve">V_h = </t>
  </si>
  <si>
    <t xml:space="preserve">Appendix C: Values range from 0.56-1.2 : See plots to right for Affects of varied Vh. </t>
  </si>
  <si>
    <t xml:space="preserve">150B Text, pg. 254: CM_ac varies from .008-.025 : Small contribution to calcs. </t>
  </si>
  <si>
    <t>DownWash Angle</t>
  </si>
  <si>
    <t xml:space="preserve">epsilon = </t>
  </si>
  <si>
    <t>epsilon = 2*C_L/(pi*AR)*(1+tau)</t>
  </si>
  <si>
    <t>See Appendix C: Use Values from McMormick</t>
  </si>
  <si>
    <t>Not sure what to assume here</t>
  </si>
  <si>
    <t>Lift Curve Slope for Wing</t>
  </si>
  <si>
    <t xml:space="preserve">a_w = </t>
  </si>
  <si>
    <t>1/Rad</t>
  </si>
  <si>
    <t>a_w = C_L/alpha</t>
  </si>
  <si>
    <t>Assuming C_L0 is negligible</t>
  </si>
  <si>
    <t>Appendix B Values: C_L= 0.3 : For Different Mach Values, update from AppendBix B</t>
  </si>
  <si>
    <t>Lift Curve Slope for Tail</t>
  </si>
  <si>
    <t xml:space="preserve">a_t = </t>
  </si>
  <si>
    <t>a_t = C_Lt/alpha_t</t>
  </si>
  <si>
    <t>Assuming a_w = a_wt</t>
  </si>
  <si>
    <t>Derivative Of Epsilon with alpha</t>
  </si>
  <si>
    <t xml:space="preserve">dev_epsilon = </t>
  </si>
  <si>
    <t>1/rad</t>
  </si>
  <si>
    <t>dev_eps = epsilon/alpha</t>
  </si>
  <si>
    <t>Using Assumptions that C_L = alpha*a_w</t>
  </si>
  <si>
    <t xml:space="preserve">Moment of Fuselage </t>
  </si>
  <si>
    <t xml:space="preserve">M_f = </t>
  </si>
  <si>
    <t xml:space="preserve">alpha_w = </t>
  </si>
  <si>
    <t>M_f = 2*q*(k2_f-k1_f)*Vol_f*alpha_w;</t>
  </si>
  <si>
    <t>Appendix C</t>
  </si>
  <si>
    <t>Moment of Nacelle</t>
  </si>
  <si>
    <t xml:space="preserve">M_n = </t>
  </si>
  <si>
    <t>Appendix C Data</t>
  </si>
  <si>
    <t>M_n = 2*q*(k2_n-k1_n)*Vol_n*alpha_w;</t>
  </si>
  <si>
    <t>Appendix B Values: C_L= 0.4 : For Different Mach Values, update from AppendBix B</t>
  </si>
  <si>
    <t>Appendix B Values: C_L= 0.5 : For Different Mach Values, update from AppendBix B</t>
  </si>
  <si>
    <t>Moment Coefficient and Derivatives</t>
  </si>
  <si>
    <t xml:space="preserve">C_M_cg = </t>
  </si>
  <si>
    <t>Lift Coefficient of Tail</t>
  </si>
  <si>
    <t xml:space="preserve">C_Lt = </t>
  </si>
  <si>
    <t>Assume C_Lt = C_L</t>
  </si>
  <si>
    <t>Moment Coefficients for C_L = 0.3 @ Initial Estimates</t>
  </si>
  <si>
    <t>Moment Coefficients for C_L = 0.4 @ Initial Estimates</t>
  </si>
  <si>
    <t>Moment Coefficients for C_L = 0.5 @ Initial Estimates</t>
  </si>
  <si>
    <t xml:space="preserve">C_M_cg_alpha = </t>
  </si>
  <si>
    <t xml:space="preserve">Derivate of C_M_cg with alpha for C_L = 0.3 @ Initial Est. </t>
  </si>
  <si>
    <t>Toohey's Slides</t>
  </si>
  <si>
    <t>S_t = S_w*MAC/l_t</t>
  </si>
  <si>
    <t xml:space="preserve">Derivate of C_M_cg with alpha for C_L = 0.4 @ Initial Est. </t>
  </si>
  <si>
    <t>See Appendix C or Stability Code, Very Long Equation</t>
  </si>
  <si>
    <t>Equation(s) Used / Variables Involved</t>
  </si>
  <si>
    <t>CL, l_w, MAC, CM_AC, CL_t, n_t, Vh, M_f, M_nS_w</t>
  </si>
  <si>
    <t xml:space="preserve">Estimate : Currently 50%, maybe too high? </t>
  </si>
  <si>
    <t>Loading Conditions</t>
  </si>
  <si>
    <t>Loading Conditions One</t>
  </si>
  <si>
    <t>Loading Conditions Two</t>
  </si>
  <si>
    <t>Loading Conditions Three</t>
  </si>
  <si>
    <t>Loading Condition Four</t>
  </si>
  <si>
    <t xml:space="preserve">W_1 = </t>
  </si>
  <si>
    <t xml:space="preserve">W_2 = </t>
  </si>
  <si>
    <t>fuel Weight 45 Mins</t>
  </si>
  <si>
    <t xml:space="preserve">W_fuel_45 = </t>
  </si>
  <si>
    <t>Wfuel45min = MTOW - (MTOW/(exp(E/((1/Ctsfc)*(CL_CD))))); </t>
  </si>
  <si>
    <t>Janelle Weight Code</t>
  </si>
  <si>
    <t xml:space="preserve">W_3 = </t>
  </si>
  <si>
    <t>MTOW</t>
  </si>
  <si>
    <t>MTOW - W_fuel + W_fuel_45</t>
  </si>
  <si>
    <t>MTOW - 13*W_passenger</t>
  </si>
  <si>
    <t>MTOW - (W_fuel + W_fuel_45) - 13*W_passenger</t>
  </si>
  <si>
    <t xml:space="preserve">b_2 = </t>
  </si>
  <si>
    <t>b/2</t>
  </si>
  <si>
    <t>Angle of Atttack Tail</t>
  </si>
  <si>
    <t xml:space="preserve">alpha_t = </t>
  </si>
  <si>
    <t>alpha_t = CL_t_trim/A_t</t>
  </si>
  <si>
    <t>Toohey's Slide  [246]</t>
  </si>
  <si>
    <t>Supersonic Cruise</t>
  </si>
  <si>
    <t xml:space="preserve">Taken Estimate from Appendix </t>
  </si>
  <si>
    <t>Appendix B</t>
  </si>
  <si>
    <t>Loading Condition One</t>
  </si>
  <si>
    <t>Loading Condition Two</t>
  </si>
  <si>
    <t xml:space="preserve">Weight of Min Fuel in Both Wings </t>
  </si>
  <si>
    <t>Pilot/Payload Group Parameters Full Payload</t>
  </si>
  <si>
    <t>Pilot/Payload Group Parameters Ferry Flight</t>
  </si>
  <si>
    <t xml:space="preserve">W_wing_fuel_min = </t>
  </si>
  <si>
    <t>Moment of Wing with Fuel_min</t>
  </si>
  <si>
    <t>Loading Condition Three</t>
  </si>
  <si>
    <t>x</t>
  </si>
  <si>
    <t>Moment Coefficient and Derivatives: Loading Condition 1</t>
  </si>
  <si>
    <t>2 Engines, .803, 2445</t>
  </si>
  <si>
    <t>2 Engines, (1 - .803), 2445</t>
  </si>
  <si>
    <t>2 Engines, (.803), 2445</t>
  </si>
  <si>
    <t>Loading Condition 1</t>
  </si>
  <si>
    <t>Appendix B, Mach 1.6</t>
  </si>
  <si>
    <t>Appendix B, Mach 1.8</t>
  </si>
  <si>
    <t>Appendix B, Mach 1.7</t>
  </si>
  <si>
    <t>ft/s</t>
  </si>
  <si>
    <t>Derivate of C_M_cg at M = 1.8</t>
  </si>
  <si>
    <t>Derivate of C_M_cg at M = 1.6</t>
  </si>
  <si>
    <t>Derivate of C_M_cg at M = 1.7</t>
  </si>
  <si>
    <t>Loading Condition 2</t>
  </si>
  <si>
    <t>Moment Coefficient and Derivatives: Loading Condition 2</t>
  </si>
  <si>
    <t>Loading Condition 3</t>
  </si>
  <si>
    <t>Moment Coefficient and Derivatives: Loading Condition 3</t>
  </si>
  <si>
    <t>Loading Condition 4</t>
  </si>
  <si>
    <t>Moment Coefficient and Derivatives: Loading Condition 4</t>
  </si>
  <si>
    <t>Input Parameter now</t>
  </si>
  <si>
    <t>up</t>
  </si>
  <si>
    <t>Weight</t>
  </si>
  <si>
    <t xml:space="preserve">Estimate </t>
  </si>
  <si>
    <t>N/A</t>
  </si>
  <si>
    <t>Sample SSBJ</t>
  </si>
  <si>
    <t>C_L</t>
  </si>
  <si>
    <t>Mach 1.6</t>
  </si>
  <si>
    <t>Paraiste Drag at 41,000</t>
  </si>
  <si>
    <t>D_p</t>
  </si>
  <si>
    <t>Lukas Calc</t>
  </si>
  <si>
    <t>Ask Lukas</t>
  </si>
  <si>
    <t>Lukas</t>
  </si>
  <si>
    <t>Mach 1.7</t>
  </si>
  <si>
    <t>Density (rho)</t>
  </si>
  <si>
    <t>Temperature
 (T)</t>
  </si>
  <si>
    <t>Dynamic Pressue
 (q) Mach  1.6</t>
  </si>
  <si>
    <t>Dynamic Pressue
 (q) MAch 1.7</t>
  </si>
  <si>
    <t>Dynamic Pressue
 (q) Mach 1.8</t>
  </si>
  <si>
    <t>Dynamic Viscosity
 (mu) lbs/ft^2</t>
  </si>
  <si>
    <t>Fluid Properties</t>
  </si>
  <si>
    <t>C_L = L/(q*S)</t>
  </si>
  <si>
    <t>Basic Aerodynamics</t>
  </si>
  <si>
    <t>Euler Calculations Mach 1.6</t>
  </si>
  <si>
    <t>CL</t>
  </si>
  <si>
    <t>CMcr/4</t>
  </si>
  <si>
    <t>CMmac/4</t>
  </si>
  <si>
    <t>CD</t>
  </si>
  <si>
    <t>L/Di+w</t>
  </si>
  <si>
    <t>MACHmax</t>
  </si>
  <si>
    <t>CL/Alpha</t>
  </si>
  <si>
    <t>X@CM=0</t>
  </si>
  <si>
    <t>X%mac@CM=0</t>
  </si>
  <si>
    <t>Euler Calculations Mach 1.7</t>
  </si>
  <si>
    <t>Euler Calculations Mach 1.8</t>
  </si>
  <si>
    <t>C_D</t>
  </si>
  <si>
    <t>CFD</t>
  </si>
  <si>
    <t>Loading Condition 1: Mach 1.6</t>
  </si>
  <si>
    <t>D</t>
  </si>
  <si>
    <t>Drag from lift</t>
  </si>
  <si>
    <t>D = qSC_D</t>
  </si>
  <si>
    <t>C_L necessary 41-49k feet</t>
  </si>
  <si>
    <t>C_D from CFD 41,000</t>
  </si>
  <si>
    <t>Lift Coefficient, 41,000</t>
  </si>
  <si>
    <t>Angle Of Attack, 41,000</t>
  </si>
  <si>
    <t>Lift Curve Slope for Wing, 41,000</t>
  </si>
  <si>
    <t>Angle of Atttack Tail, 41,000</t>
  </si>
  <si>
    <t>Loading Condition 1: Mach 1.7</t>
  </si>
  <si>
    <t>Moment Coeff at 1.7</t>
  </si>
  <si>
    <t>Moment Coefficient at 1.6</t>
  </si>
  <si>
    <t>Loading Condition 1: Mach 1.8</t>
  </si>
  <si>
    <t>Moment Coeff at 1.8</t>
  </si>
  <si>
    <t>Lift to Drag Ratio average [L/D]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</si>
</sst>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#,##0.000"/>
    <numFmt numFmtId="166" formatCode="0.00000"/>
    <numFmt numFmtId="167" formatCode="0.0000"/>
  </numFmts>
  <fonts count="31" x14ac:knownFonts="1">
    <font>
      <sz val="11"/>
      <color rgb="FF000000"/>
      <name val="Calibri"/>
    </font>
    <font>
      <sz val="11"/>
      <name val="Calibri"/>
    </font>
    <font>
      <b/>
      <sz val="12"/>
      <color rgb="FFFFFFFF"/>
      <name val="Times New Roman"/>
    </font>
    <font>
      <sz val="12"/>
      <color rgb="FF000000"/>
      <name val="Times New Roman"/>
    </font>
    <font>
      <b/>
      <sz val="12"/>
      <color rgb="FF000000"/>
      <name val="Times New Roman"/>
    </font>
    <font>
      <sz val="11"/>
      <color rgb="FF000000"/>
      <name val="Inconsolata"/>
    </font>
    <font>
      <u/>
      <sz val="11"/>
      <color theme="11"/>
      <name val="Calibri"/>
    </font>
    <font>
      <b/>
      <sz val="12"/>
      <color theme="7" tint="0.39997558519241921"/>
      <name val="Times New Roman"/>
    </font>
    <font>
      <sz val="11"/>
      <color theme="7" tint="0.39997558519241921"/>
      <name val="Calibri"/>
    </font>
    <font>
      <b/>
      <sz val="12"/>
      <color rgb="FF000000"/>
      <name val="Times Roman"/>
    </font>
    <font>
      <sz val="12"/>
      <color rgb="FF000000"/>
      <name val="Times Roman"/>
    </font>
    <font>
      <sz val="12"/>
      <name val="Times Roman"/>
    </font>
    <font>
      <u/>
      <sz val="12"/>
      <color rgb="FF0563C1"/>
      <name val="Times Roman"/>
    </font>
    <font>
      <u/>
      <sz val="12"/>
      <color rgb="FF0000FF"/>
      <name val="Times Roman"/>
    </font>
    <font>
      <b/>
      <sz val="16"/>
      <color theme="0"/>
      <name val="Times Roman"/>
    </font>
    <font>
      <sz val="12"/>
      <color rgb="FF000000"/>
      <name val="Calibri"/>
    </font>
    <font>
      <u/>
      <sz val="12"/>
      <name val="Times Roman"/>
    </font>
    <font>
      <i/>
      <sz val="12"/>
      <color rgb="FF000000"/>
      <name val="Times Roman"/>
    </font>
    <font>
      <b/>
      <i/>
      <sz val="12"/>
      <color rgb="FF000000"/>
      <name val="Times Roman"/>
    </font>
    <font>
      <i/>
      <sz val="12"/>
      <name val="Times Roman"/>
    </font>
    <font>
      <i/>
      <sz val="11"/>
      <color rgb="FF000000"/>
      <name val="Calibri"/>
    </font>
    <font>
      <sz val="15"/>
      <color rgb="FF000000"/>
      <name val="Courier"/>
    </font>
    <font>
      <sz val="12"/>
      <color theme="1"/>
      <name val="Times Roman"/>
    </font>
    <font>
      <sz val="11"/>
      <color rgb="FF000000"/>
      <name val="Calibri Light"/>
    </font>
    <font>
      <sz val="12"/>
      <color rgb="FF000000"/>
      <name val="Times"/>
    </font>
    <font>
      <i/>
      <sz val="12"/>
      <color rgb="FF000000"/>
      <name val="Times"/>
    </font>
    <font>
      <b/>
      <sz val="12"/>
      <color rgb="FF000000"/>
      <name val="Times"/>
    </font>
    <font>
      <sz val="12"/>
      <name val="Times"/>
    </font>
    <font>
      <sz val="12.1"/>
      <color rgb="FF000000"/>
      <name val="Calibri"/>
    </font>
    <font>
      <sz val="12.1"/>
      <color rgb="FF000000"/>
      <name val="Arial"/>
    </font>
    <font>
      <sz val="13"/>
      <color rgb="FF000000"/>
      <name val="Arial"/>
    </font>
  </fonts>
  <fills count="11">
    <fill>
      <patternFill patternType="none"/>
    </fill>
    <fill>
      <patternFill patternType="gray125"/>
    </fill>
    <fill>
      <patternFill patternType="solid">
        <fgColor theme="4" tint="-0.249977111117893"/>
        <bgColor rgb="FFBDD6EE"/>
      </patternFill>
    </fill>
    <fill>
      <patternFill patternType="solid">
        <fgColor theme="5" tint="-0.249977111117893"/>
        <bgColor rgb="FFF7CAAC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auto="1"/>
      </top>
      <bottom style="thin">
        <color rgb="FF000000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43">
    <xf numFmtId="0" fontId="0" fillId="0" borderId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36">
    <xf numFmtId="0" fontId="0" fillId="0" borderId="0" xfId="0" applyFont="1" applyAlignment="1"/>
    <xf numFmtId="0" fontId="2" fillId="0" borderId="0" xfId="0" applyFont="1"/>
    <xf numFmtId="0" fontId="3" fillId="0" borderId="0" xfId="0" applyFont="1"/>
    <xf numFmtId="0" fontId="0" fillId="0" borderId="0" xfId="0" applyFont="1"/>
    <xf numFmtId="0" fontId="4" fillId="0" borderId="0" xfId="0" applyFont="1"/>
    <xf numFmtId="0" fontId="3" fillId="0" borderId="0" xfId="0" applyFont="1" applyAlignment="1"/>
    <xf numFmtId="0" fontId="0" fillId="0" borderId="0" xfId="0" applyFont="1" applyAlignment="1"/>
    <xf numFmtId="0" fontId="1" fillId="0" borderId="0" xfId="0" applyFont="1" applyBorder="1"/>
    <xf numFmtId="0" fontId="0" fillId="0" borderId="0" xfId="0" applyFont="1"/>
    <xf numFmtId="0" fontId="0" fillId="0" borderId="0" xfId="0" applyFont="1" applyAlignment="1">
      <alignment horizontal="left"/>
    </xf>
    <xf numFmtId="0" fontId="0" fillId="0" borderId="0" xfId="0" applyFont="1" applyAlignment="1">
      <alignment horizontal="left" vertical="center"/>
    </xf>
    <xf numFmtId="0" fontId="2" fillId="3" borderId="0" xfId="0" applyFont="1" applyFill="1" applyBorder="1" applyAlignment="1"/>
    <xf numFmtId="0" fontId="10" fillId="0" borderId="0" xfId="0" applyFont="1" applyAlignment="1">
      <alignment horizontal="left"/>
    </xf>
    <xf numFmtId="164" fontId="10" fillId="0" borderId="0" xfId="0" applyNumberFormat="1" applyFont="1" applyAlignment="1">
      <alignment horizontal="left"/>
    </xf>
    <xf numFmtId="0" fontId="10" fillId="0" borderId="0" xfId="0" applyFont="1" applyAlignment="1">
      <alignment horizontal="left"/>
    </xf>
    <xf numFmtId="0" fontId="11" fillId="0" borderId="0" xfId="0" applyFont="1" applyFill="1" applyBorder="1" applyAlignment="1">
      <alignment horizontal="left"/>
    </xf>
    <xf numFmtId="164" fontId="11" fillId="0" borderId="0" xfId="0" applyNumberFormat="1" applyFont="1" applyAlignment="1">
      <alignment horizontal="left"/>
    </xf>
    <xf numFmtId="0" fontId="10" fillId="0" borderId="0" xfId="0" applyFont="1" applyAlignment="1">
      <alignment horizontal="left" vertical="center" wrapText="1"/>
    </xf>
    <xf numFmtId="0" fontId="11" fillId="0" borderId="0" xfId="0" applyFont="1" applyAlignment="1">
      <alignment horizontal="left"/>
    </xf>
    <xf numFmtId="164" fontId="10" fillId="0" borderId="0" xfId="0" applyNumberFormat="1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10" fillId="0" borderId="0" xfId="0" applyFont="1" applyAlignment="1">
      <alignment horizontal="left" wrapText="1"/>
    </xf>
    <xf numFmtId="165" fontId="10" fillId="0" borderId="0" xfId="0" applyNumberFormat="1" applyFont="1" applyAlignment="1">
      <alignment horizontal="left"/>
    </xf>
    <xf numFmtId="0" fontId="9" fillId="5" borderId="1" xfId="0" applyFont="1" applyFill="1" applyBorder="1" applyAlignment="1">
      <alignment horizontal="left" wrapText="1"/>
    </xf>
    <xf numFmtId="0" fontId="9" fillId="5" borderId="1" xfId="0" applyFont="1" applyFill="1" applyBorder="1" applyAlignment="1">
      <alignment horizontal="left"/>
    </xf>
    <xf numFmtId="0" fontId="9" fillId="5" borderId="1" xfId="0" applyFont="1" applyFill="1" applyBorder="1" applyAlignment="1">
      <alignment horizontal="left"/>
    </xf>
    <xf numFmtId="0" fontId="15" fillId="0" borderId="0" xfId="0" applyFont="1" applyAlignment="1">
      <alignment horizontal="left"/>
    </xf>
    <xf numFmtId="0" fontId="11" fillId="0" borderId="0" xfId="0" applyFont="1" applyAlignment="1">
      <alignment horizontal="left"/>
    </xf>
    <xf numFmtId="0" fontId="17" fillId="0" borderId="0" xfId="0" applyFont="1" applyAlignment="1">
      <alignment horizontal="left" vertical="center" wrapText="1"/>
    </xf>
    <xf numFmtId="0" fontId="17" fillId="0" borderId="0" xfId="0" applyFont="1" applyAlignment="1">
      <alignment horizontal="left"/>
    </xf>
    <xf numFmtId="0" fontId="17" fillId="0" borderId="0" xfId="0" applyFont="1" applyAlignment="1"/>
    <xf numFmtId="0" fontId="18" fillId="5" borderId="1" xfId="0" applyFont="1" applyFill="1" applyBorder="1" applyAlignment="1">
      <alignment horizontal="left"/>
    </xf>
    <xf numFmtId="0" fontId="19" fillId="0" borderId="0" xfId="0" applyFont="1" applyAlignment="1">
      <alignment horizontal="left"/>
    </xf>
    <xf numFmtId="0" fontId="20" fillId="0" borderId="0" xfId="0" applyFont="1" applyAlignment="1">
      <alignment horizontal="left"/>
    </xf>
    <xf numFmtId="0" fontId="10" fillId="0" borderId="0" xfId="0" applyFont="1" applyAlignment="1"/>
    <xf numFmtId="166" fontId="10" fillId="0" borderId="0" xfId="0" applyNumberFormat="1" applyFont="1" applyAlignment="1">
      <alignment horizontal="left"/>
    </xf>
    <xf numFmtId="167" fontId="10" fillId="0" borderId="0" xfId="0" applyNumberFormat="1" applyFont="1" applyAlignment="1">
      <alignment horizontal="left"/>
    </xf>
    <xf numFmtId="0" fontId="10" fillId="0" borderId="0" xfId="0" applyFont="1" applyAlignment="1">
      <alignment horizontal="left"/>
    </xf>
    <xf numFmtId="0" fontId="0" fillId="0" borderId="0" xfId="0" applyFont="1" applyAlignment="1">
      <alignment horizontal="left" vertical="center"/>
    </xf>
    <xf numFmtId="0" fontId="10" fillId="0" borderId="0" xfId="0" applyFont="1" applyAlignment="1">
      <alignment horizontal="left"/>
    </xf>
    <xf numFmtId="0" fontId="9" fillId="5" borderId="1" xfId="0" applyFont="1" applyFill="1" applyBorder="1" applyAlignment="1">
      <alignment horizontal="left"/>
    </xf>
    <xf numFmtId="0" fontId="10" fillId="0" borderId="0" xfId="0" applyFont="1" applyAlignment="1">
      <alignment horizontal="left" vertical="center"/>
    </xf>
    <xf numFmtId="0" fontId="21" fillId="0" borderId="0" xfId="0" applyFont="1" applyAlignment="1"/>
    <xf numFmtId="0" fontId="9" fillId="5" borderId="1" xfId="0" applyFont="1" applyFill="1" applyBorder="1" applyAlignment="1">
      <alignment horizontal="left" vertical="center"/>
    </xf>
    <xf numFmtId="3" fontId="10" fillId="0" borderId="0" xfId="0" applyNumberFormat="1" applyFont="1" applyAlignment="1">
      <alignment horizontal="left" vertical="center"/>
    </xf>
    <xf numFmtId="164" fontId="22" fillId="0" borderId="0" xfId="0" applyNumberFormat="1" applyFont="1" applyAlignment="1">
      <alignment horizontal="left"/>
    </xf>
    <xf numFmtId="0" fontId="10" fillId="0" borderId="0" xfId="0" applyFont="1" applyAlignment="1">
      <alignment horizontal="left"/>
    </xf>
    <xf numFmtId="0" fontId="10" fillId="6" borderId="1" xfId="0" applyFont="1" applyFill="1" applyBorder="1" applyAlignment="1">
      <alignment horizontal="left"/>
    </xf>
    <xf numFmtId="167" fontId="10" fillId="6" borderId="1" xfId="0" applyNumberFormat="1" applyFont="1" applyFill="1" applyBorder="1" applyAlignment="1">
      <alignment horizontal="left"/>
    </xf>
    <xf numFmtId="0" fontId="10" fillId="0" borderId="0" xfId="0" applyFont="1" applyAlignment="1">
      <alignment horizontal="left"/>
    </xf>
    <xf numFmtId="0" fontId="9" fillId="5" borderId="1" xfId="0" applyFont="1" applyFill="1" applyBorder="1" applyAlignment="1">
      <alignment horizontal="left"/>
    </xf>
    <xf numFmtId="0" fontId="10" fillId="0" borderId="0" xfId="0" applyFont="1" applyAlignment="1">
      <alignment horizontal="left" vertical="center"/>
    </xf>
    <xf numFmtId="0" fontId="10" fillId="0" borderId="0" xfId="0" applyFont="1" applyAlignment="1"/>
    <xf numFmtId="0" fontId="10" fillId="5" borderId="1" xfId="0" applyFont="1" applyFill="1" applyBorder="1" applyAlignment="1">
      <alignment vertical="center"/>
    </xf>
    <xf numFmtId="0" fontId="9" fillId="5" borderId="1" xfId="0" applyFont="1" applyFill="1" applyBorder="1" applyAlignment="1">
      <alignment horizontal="left"/>
    </xf>
    <xf numFmtId="2" fontId="23" fillId="0" borderId="0" xfId="0" applyNumberFormat="1" applyFont="1" applyFill="1" applyBorder="1" applyAlignment="1">
      <alignment horizontal="left" vertical="center" wrapText="1"/>
    </xf>
    <xf numFmtId="0" fontId="0" fillId="0" borderId="0" xfId="0" applyFont="1" applyAlignment="1"/>
    <xf numFmtId="0" fontId="10" fillId="0" borderId="0" xfId="0" applyFont="1" applyAlignment="1">
      <alignment horizontal="left"/>
    </xf>
    <xf numFmtId="0" fontId="9" fillId="5" borderId="1" xfId="0" applyFont="1" applyFill="1" applyBorder="1" applyAlignment="1">
      <alignment horizontal="left"/>
    </xf>
    <xf numFmtId="164" fontId="10" fillId="8" borderId="1" xfId="0" applyNumberFormat="1" applyFont="1" applyFill="1" applyBorder="1" applyAlignment="1">
      <alignment horizontal="left"/>
    </xf>
    <xf numFmtId="164" fontId="10" fillId="9" borderId="1" xfId="0" applyNumberFormat="1" applyFont="1" applyFill="1" applyBorder="1" applyAlignment="1">
      <alignment horizontal="left"/>
    </xf>
    <xf numFmtId="164" fontId="11" fillId="9" borderId="1" xfId="0" applyNumberFormat="1" applyFont="1" applyFill="1" applyBorder="1" applyAlignment="1">
      <alignment horizontal="left"/>
    </xf>
    <xf numFmtId="0" fontId="0" fillId="0" borderId="0" xfId="0" applyFont="1" applyAlignment="1"/>
    <xf numFmtId="0" fontId="10" fillId="0" borderId="0" xfId="0" applyFont="1" applyAlignment="1">
      <alignment horizontal="left"/>
    </xf>
    <xf numFmtId="0" fontId="9" fillId="5" borderId="1" xfId="0" applyFont="1" applyFill="1" applyBorder="1" applyAlignment="1">
      <alignment horizontal="left"/>
    </xf>
    <xf numFmtId="0" fontId="10" fillId="0" borderId="0" xfId="0" applyFont="1" applyAlignment="1"/>
    <xf numFmtId="164" fontId="10" fillId="8" borderId="0" xfId="0" applyNumberFormat="1" applyFont="1" applyFill="1" applyAlignment="1">
      <alignment horizontal="left"/>
    </xf>
    <xf numFmtId="0" fontId="10" fillId="6" borderId="0" xfId="0" applyFont="1" applyFill="1" applyBorder="1" applyAlignment="1">
      <alignment horizontal="left"/>
    </xf>
    <xf numFmtId="0" fontId="25" fillId="0" borderId="0" xfId="0" applyFont="1" applyAlignment="1">
      <alignment horizontal="left"/>
    </xf>
    <xf numFmtId="3" fontId="0" fillId="0" borderId="0" xfId="0" applyNumberFormat="1" applyFont="1" applyAlignment="1"/>
    <xf numFmtId="0" fontId="24" fillId="0" borderId="0" xfId="0" applyFont="1" applyAlignment="1">
      <alignment horizontal="left"/>
    </xf>
    <xf numFmtId="0" fontId="9" fillId="5" borderId="9" xfId="0" applyFont="1" applyFill="1" applyBorder="1" applyAlignment="1">
      <alignment horizontal="left"/>
    </xf>
    <xf numFmtId="0" fontId="18" fillId="5" borderId="9" xfId="0" applyFont="1" applyFill="1" applyBorder="1" applyAlignment="1">
      <alignment horizontal="left"/>
    </xf>
    <xf numFmtId="0" fontId="0" fillId="0" borderId="0" xfId="0" applyFont="1" applyBorder="1" applyAlignment="1"/>
    <xf numFmtId="11" fontId="0" fillId="0" borderId="0" xfId="0" applyNumberFormat="1" applyFont="1" applyAlignment="1"/>
    <xf numFmtId="0" fontId="1" fillId="0" borderId="0" xfId="0" applyFont="1" applyFill="1" applyAlignment="1"/>
    <xf numFmtId="0" fontId="1" fillId="0" borderId="0" xfId="0" applyFont="1" applyFill="1" applyAlignment="1">
      <alignment horizontal="right"/>
    </xf>
    <xf numFmtId="164" fontId="27" fillId="0" borderId="0" xfId="0" applyNumberFormat="1" applyFont="1" applyFill="1" applyAlignment="1">
      <alignment horizontal="left"/>
    </xf>
    <xf numFmtId="164" fontId="24" fillId="0" borderId="0" xfId="0" applyNumberFormat="1" applyFont="1" applyFill="1" applyAlignment="1">
      <alignment horizontal="left"/>
    </xf>
    <xf numFmtId="164" fontId="5" fillId="0" borderId="0" xfId="0" applyNumberFormat="1" applyFont="1" applyFill="1"/>
    <xf numFmtId="0" fontId="14" fillId="2" borderId="6" xfId="0" applyFont="1" applyFill="1" applyBorder="1" applyAlignment="1">
      <alignment vertical="center"/>
    </xf>
    <xf numFmtId="0" fontId="14" fillId="2" borderId="11" xfId="0" applyFont="1" applyFill="1" applyBorder="1" applyAlignment="1">
      <alignment vertical="center"/>
    </xf>
    <xf numFmtId="0" fontId="26" fillId="10" borderId="12" xfId="0" applyFont="1" applyFill="1" applyBorder="1" applyAlignment="1">
      <alignment horizontal="left" wrapText="1"/>
    </xf>
    <xf numFmtId="0" fontId="26" fillId="10" borderId="12" xfId="0" applyFont="1" applyFill="1" applyBorder="1" applyAlignment="1">
      <alignment horizontal="left"/>
    </xf>
    <xf numFmtId="0" fontId="28" fillId="0" borderId="0" xfId="0" applyFont="1" applyAlignment="1"/>
    <xf numFmtId="0" fontId="29" fillId="0" borderId="0" xfId="0" applyFont="1" applyAlignment="1"/>
    <xf numFmtId="0" fontId="30" fillId="0" borderId="0" xfId="0" applyFont="1" applyAlignment="1"/>
    <xf numFmtId="11" fontId="28" fillId="0" borderId="0" xfId="0" applyNumberFormat="1" applyFont="1" applyAlignment="1"/>
    <xf numFmtId="0" fontId="28" fillId="10" borderId="1" xfId="0" applyFont="1" applyFill="1" applyBorder="1" applyAlignment="1"/>
    <xf numFmtId="0" fontId="29" fillId="10" borderId="1" xfId="0" applyFont="1" applyFill="1" applyBorder="1" applyAlignment="1"/>
    <xf numFmtId="0" fontId="30" fillId="10" borderId="1" xfId="0" applyFont="1" applyFill="1" applyBorder="1" applyAlignment="1"/>
    <xf numFmtId="3" fontId="10" fillId="0" borderId="0" xfId="0" applyNumberFormat="1" applyFont="1" applyAlignment="1">
      <alignment horizontal="left"/>
    </xf>
    <xf numFmtId="0" fontId="7" fillId="2" borderId="0" xfId="0" applyFont="1" applyFill="1" applyBorder="1" applyAlignment="1">
      <alignment horizontal="left"/>
    </xf>
    <xf numFmtId="0" fontId="8" fillId="4" borderId="0" xfId="0" applyFont="1" applyFill="1" applyBorder="1"/>
    <xf numFmtId="0" fontId="3" fillId="0" borderId="0" xfId="0" applyFont="1" applyAlignment="1">
      <alignment horizontal="left" vertical="center"/>
    </xf>
    <xf numFmtId="0" fontId="0" fillId="0" borderId="0" xfId="0" applyFont="1" applyAlignment="1">
      <alignment horizontal="left" vertical="center"/>
    </xf>
    <xf numFmtId="0" fontId="7" fillId="2" borderId="0" xfId="0" applyFont="1" applyFill="1" applyBorder="1" applyAlignment="1">
      <alignment horizontal="left" wrapText="1"/>
    </xf>
    <xf numFmtId="3" fontId="3" fillId="0" borderId="0" xfId="0" applyNumberFormat="1" applyFont="1" applyAlignment="1">
      <alignment horizontal="left" vertical="center"/>
    </xf>
    <xf numFmtId="0" fontId="4" fillId="0" borderId="0" xfId="0" applyFont="1" applyAlignment="1">
      <alignment horizontal="left" wrapText="1"/>
    </xf>
    <xf numFmtId="0" fontId="0" fillId="0" borderId="0" xfId="0" applyFont="1" applyAlignment="1"/>
    <xf numFmtId="0" fontId="14" fillId="2" borderId="2" xfId="0" applyFont="1" applyFill="1" applyBorder="1" applyAlignment="1">
      <alignment horizontal="left"/>
    </xf>
    <xf numFmtId="0" fontId="14" fillId="2" borderId="3" xfId="0" applyFont="1" applyFill="1" applyBorder="1" applyAlignment="1">
      <alignment horizontal="left"/>
    </xf>
    <xf numFmtId="0" fontId="14" fillId="2" borderId="4" xfId="0" applyFont="1" applyFill="1" applyBorder="1" applyAlignment="1">
      <alignment horizontal="left"/>
    </xf>
    <xf numFmtId="0" fontId="13" fillId="0" borderId="0" xfId="0" applyFont="1" applyAlignment="1">
      <alignment horizontal="left"/>
    </xf>
    <xf numFmtId="0" fontId="10" fillId="0" borderId="0" xfId="0" applyFont="1" applyAlignment="1">
      <alignment horizontal="left" vertical="center"/>
    </xf>
    <xf numFmtId="0" fontId="10" fillId="0" borderId="0" xfId="0" applyFont="1" applyAlignment="1">
      <alignment horizontal="left"/>
    </xf>
    <xf numFmtId="0" fontId="9" fillId="5" borderId="1" xfId="0" applyFont="1" applyFill="1" applyBorder="1" applyAlignment="1">
      <alignment horizontal="left"/>
    </xf>
    <xf numFmtId="0" fontId="12" fillId="0" borderId="0" xfId="0" applyFont="1" applyAlignment="1">
      <alignment horizontal="left"/>
    </xf>
    <xf numFmtId="0" fontId="14" fillId="2" borderId="1" xfId="0" applyFont="1" applyFill="1" applyBorder="1" applyAlignment="1">
      <alignment horizontal="left"/>
    </xf>
    <xf numFmtId="0" fontId="14" fillId="2" borderId="5" xfId="0" applyFont="1" applyFill="1" applyBorder="1" applyAlignment="1">
      <alignment horizontal="left"/>
    </xf>
    <xf numFmtId="0" fontId="11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0" fontId="10" fillId="0" borderId="0" xfId="0" applyFont="1" applyBorder="1" applyAlignment="1">
      <alignment horizontal="left" vertical="center"/>
    </xf>
    <xf numFmtId="0" fontId="14" fillId="2" borderId="2" xfId="0" applyFont="1" applyFill="1" applyBorder="1" applyAlignment="1">
      <alignment horizontal="left" vertical="center"/>
    </xf>
    <xf numFmtId="0" fontId="14" fillId="2" borderId="3" xfId="0" applyFont="1" applyFill="1" applyBorder="1" applyAlignment="1">
      <alignment horizontal="left" vertical="center"/>
    </xf>
    <xf numFmtId="0" fontId="14" fillId="2" borderId="4" xfId="0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left" vertical="center"/>
    </xf>
    <xf numFmtId="0" fontId="9" fillId="5" borderId="2" xfId="0" applyFont="1" applyFill="1" applyBorder="1" applyAlignment="1">
      <alignment horizontal="left"/>
    </xf>
    <xf numFmtId="0" fontId="9" fillId="5" borderId="3" xfId="0" applyFont="1" applyFill="1" applyBorder="1" applyAlignment="1">
      <alignment horizontal="left"/>
    </xf>
    <xf numFmtId="0" fontId="9" fillId="5" borderId="4" xfId="0" applyFont="1" applyFill="1" applyBorder="1" applyAlignment="1">
      <alignment horizontal="left"/>
    </xf>
    <xf numFmtId="0" fontId="14" fillId="2" borderId="8" xfId="0" applyFont="1" applyFill="1" applyBorder="1" applyAlignment="1">
      <alignment horizontal="left" vertical="center"/>
    </xf>
    <xf numFmtId="0" fontId="10" fillId="0" borderId="6" xfId="0" applyFont="1" applyBorder="1" applyAlignment="1">
      <alignment horizontal="left"/>
    </xf>
    <xf numFmtId="0" fontId="10" fillId="0" borderId="0" xfId="0" applyFont="1" applyBorder="1" applyAlignment="1">
      <alignment horizontal="left"/>
    </xf>
    <xf numFmtId="0" fontId="10" fillId="0" borderId="0" xfId="0" applyFont="1" applyAlignment="1"/>
    <xf numFmtId="0" fontId="10" fillId="7" borderId="0" xfId="0" applyFont="1" applyFill="1" applyAlignment="1">
      <alignment horizontal="center"/>
    </xf>
    <xf numFmtId="0" fontId="10" fillId="7" borderId="7" xfId="0" applyFont="1" applyFill="1" applyBorder="1" applyAlignment="1">
      <alignment horizontal="center"/>
    </xf>
    <xf numFmtId="0" fontId="14" fillId="2" borderId="15" xfId="0" applyFont="1" applyFill="1" applyBorder="1" applyAlignment="1">
      <alignment horizontal="left" vertical="center"/>
    </xf>
    <xf numFmtId="0" fontId="10" fillId="0" borderId="6" xfId="0" applyFont="1" applyBorder="1" applyAlignment="1"/>
    <xf numFmtId="0" fontId="14" fillId="2" borderId="13" xfId="0" applyFont="1" applyFill="1" applyBorder="1" applyAlignment="1">
      <alignment horizontal="left" vertical="center"/>
    </xf>
    <xf numFmtId="0" fontId="14" fillId="2" borderId="14" xfId="0" applyFont="1" applyFill="1" applyBorder="1" applyAlignment="1">
      <alignment horizontal="left" vertical="center"/>
    </xf>
    <xf numFmtId="0" fontId="9" fillId="5" borderId="10" xfId="0" applyFont="1" applyFill="1" applyBorder="1" applyAlignment="1">
      <alignment horizontal="left"/>
    </xf>
    <xf numFmtId="0" fontId="9" fillId="5" borderId="6" xfId="0" applyFont="1" applyFill="1" applyBorder="1" applyAlignment="1">
      <alignment horizontal="left"/>
    </xf>
    <xf numFmtId="0" fontId="9" fillId="5" borderId="11" xfId="0" applyFont="1" applyFill="1" applyBorder="1" applyAlignment="1">
      <alignment horizontal="left"/>
    </xf>
    <xf numFmtId="0" fontId="0" fillId="0" borderId="0" xfId="0" applyFont="1" applyBorder="1" applyAlignment="1">
      <alignment horizontal="center"/>
    </xf>
    <xf numFmtId="0" fontId="0" fillId="0" borderId="0" xfId="0" applyFont="1" applyAlignment="1">
      <alignment horizontal="center"/>
    </xf>
    <xf numFmtId="0" fontId="0" fillId="0" borderId="6" xfId="0" applyFont="1" applyBorder="1" applyAlignment="1">
      <alignment horizontal="center"/>
    </xf>
  </cellXfs>
  <cellStyles count="43">
    <cellStyle name="Followed Hyperlink" xfId="1" builtinId="9" hidden="1"/>
    <cellStyle name="Followed Hyperlink" xfId="2" builtinId="9" hidden="1"/>
    <cellStyle name="Followed Hyperlink" xfId="3" builtinId="9" hidden="1"/>
    <cellStyle name="Followed Hyperlink" xfId="4" builtinId="9" hidden="1"/>
    <cellStyle name="Followed Hyperlink" xfId="5" builtinId="9" hidden="1"/>
    <cellStyle name="Followed Hyperlink" xfId="6" builtinId="9" hidden="1"/>
    <cellStyle name="Followed Hyperlink" xfId="7" builtinId="9" hidden="1"/>
    <cellStyle name="Followed Hyperlink" xfId="8" builtinId="9" hidden="1"/>
    <cellStyle name="Followed Hyperlink" xfId="9" builtinId="9" hidden="1"/>
    <cellStyle name="Followed Hyperlink" xfId="10" builtinId="9" hidden="1"/>
    <cellStyle name="Followed Hyperlink" xfId="11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190500</xdr:rowOff>
    </xdr:from>
    <xdr:to>
      <xdr:col>3</xdr:col>
      <xdr:colOff>352425</xdr:colOff>
      <xdr:row>34</xdr:row>
      <xdr:rowOff>0</xdr:rowOff>
    </xdr:to>
    <xdr:pic>
      <xdr:nvPicPr>
        <xdr:cNvPr id="2" name="image01.jpg" title="Image"/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4667250" cy="2857500"/>
        </a:xfrm>
        <a:prstGeom prst="rect">
          <a:avLst/>
        </a:prstGeom>
        <a:noFill/>
      </xdr:spPr>
    </xdr:pic>
    <xdr:clientData fLock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fighter-planes.com/jetmach1.htm" TargetMode="External"/><Relationship Id="rId4" Type="http://schemas.openxmlformats.org/officeDocument/2006/relationships/hyperlink" Target="http://www.fighter-planes.com/jetmach1.htm" TargetMode="External"/><Relationship Id="rId1" Type="http://schemas.openxmlformats.org/officeDocument/2006/relationships/hyperlink" Target="http://www.fighter-planes.com/jetmach1.htm" TargetMode="External"/><Relationship Id="rId2" Type="http://schemas.openxmlformats.org/officeDocument/2006/relationships/hyperlink" Target="http://www.fighter-planes.com/jetmach1.ht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H55"/>
  <sheetViews>
    <sheetView zoomScale="150" zoomScaleNormal="150" zoomScalePageLayoutView="150" workbookViewId="0">
      <selection activeCell="B7" sqref="B7:F7"/>
    </sheetView>
  </sheetViews>
  <sheetFormatPr baseColWidth="10" defaultColWidth="15.1640625" defaultRowHeight="15" customHeight="1" x14ac:dyDescent="0.2"/>
  <cols>
    <col min="1" max="1" width="34.6640625" customWidth="1"/>
    <col min="3" max="3" width="6.6640625" customWidth="1"/>
    <col min="4" max="4" width="6.1640625" customWidth="1"/>
    <col min="5" max="5" width="8" customWidth="1"/>
    <col min="6" max="6" width="7.83203125" customWidth="1"/>
    <col min="7" max="7" width="8.33203125" customWidth="1"/>
  </cols>
  <sheetData>
    <row r="1" spans="1:8" x14ac:dyDescent="0.2">
      <c r="A1" s="11" t="s">
        <v>0</v>
      </c>
      <c r="B1" s="1"/>
      <c r="C1" s="1"/>
      <c r="D1" s="2"/>
      <c r="E1" s="2"/>
      <c r="F1" s="2"/>
      <c r="G1" s="2"/>
    </row>
    <row r="2" spans="1:8" x14ac:dyDescent="0.2">
      <c r="A2" s="92" t="s">
        <v>1</v>
      </c>
      <c r="B2" s="93"/>
      <c r="C2" s="93"/>
      <c r="D2" s="93"/>
      <c r="E2" s="93"/>
      <c r="F2" s="93"/>
      <c r="G2" s="2"/>
      <c r="H2" s="7"/>
    </row>
    <row r="3" spans="1:8" x14ac:dyDescent="0.2">
      <c r="A3" s="4" t="s">
        <v>3</v>
      </c>
      <c r="B3" s="94" t="s">
        <v>4</v>
      </c>
      <c r="C3" s="95"/>
      <c r="D3" s="95"/>
      <c r="E3" s="95"/>
      <c r="F3" s="95"/>
      <c r="G3" s="2"/>
    </row>
    <row r="4" spans="1:8" x14ac:dyDescent="0.2">
      <c r="A4" s="2"/>
      <c r="B4" s="94" t="s">
        <v>12</v>
      </c>
      <c r="C4" s="94"/>
      <c r="D4" s="94"/>
      <c r="E4" s="94"/>
      <c r="F4" s="94"/>
      <c r="G4" s="2"/>
    </row>
    <row r="5" spans="1:8" x14ac:dyDescent="0.2">
      <c r="A5" s="4" t="s">
        <v>18</v>
      </c>
      <c r="B5" s="94" t="s">
        <v>19</v>
      </c>
      <c r="C5" s="94"/>
      <c r="D5" s="94"/>
      <c r="E5" s="94"/>
      <c r="F5" s="94"/>
      <c r="G5" s="2"/>
    </row>
    <row r="6" spans="1:8" x14ac:dyDescent="0.2">
      <c r="A6" s="2"/>
      <c r="B6" s="94" t="s">
        <v>24</v>
      </c>
      <c r="C6" s="94"/>
      <c r="D6" s="94"/>
      <c r="E6" s="94"/>
      <c r="F6" s="94"/>
      <c r="G6" s="2"/>
    </row>
    <row r="7" spans="1:8" x14ac:dyDescent="0.2">
      <c r="A7" s="4" t="s">
        <v>36</v>
      </c>
      <c r="B7" s="97">
        <v>4500</v>
      </c>
      <c r="C7" s="97"/>
      <c r="D7" s="97"/>
      <c r="E7" s="97"/>
      <c r="F7" s="97"/>
      <c r="G7" s="2"/>
    </row>
    <row r="8" spans="1:8" x14ac:dyDescent="0.2">
      <c r="A8" s="4" t="s">
        <v>51</v>
      </c>
      <c r="B8" s="94" t="s">
        <v>52</v>
      </c>
      <c r="C8" s="94"/>
      <c r="D8" s="94"/>
      <c r="E8" s="94"/>
      <c r="F8" s="94"/>
      <c r="G8" s="2"/>
    </row>
    <row r="9" spans="1:8" x14ac:dyDescent="0.2">
      <c r="A9" s="4" t="s">
        <v>56</v>
      </c>
      <c r="B9" s="94" t="s">
        <v>57</v>
      </c>
      <c r="C9" s="94"/>
      <c r="D9" s="94"/>
      <c r="E9" s="94"/>
      <c r="F9" s="94"/>
      <c r="G9" s="2"/>
    </row>
    <row r="10" spans="1:8" x14ac:dyDescent="0.2">
      <c r="A10" s="4" t="s">
        <v>62</v>
      </c>
      <c r="B10" s="94">
        <v>1.9</v>
      </c>
      <c r="C10" s="94"/>
      <c r="D10" s="94"/>
      <c r="E10" s="94"/>
      <c r="F10" s="94"/>
      <c r="G10" s="2"/>
    </row>
    <row r="11" spans="1:8" x14ac:dyDescent="0.2">
      <c r="A11" s="4" t="s">
        <v>65</v>
      </c>
      <c r="B11" s="94" t="s">
        <v>132</v>
      </c>
      <c r="C11" s="94"/>
      <c r="D11" s="94"/>
      <c r="E11" s="94"/>
      <c r="F11" s="94"/>
      <c r="G11" s="2"/>
    </row>
    <row r="12" spans="1:8" x14ac:dyDescent="0.2">
      <c r="A12" s="4" t="s">
        <v>70</v>
      </c>
      <c r="B12" s="97" t="s">
        <v>133</v>
      </c>
      <c r="C12" s="97"/>
      <c r="D12" s="97"/>
      <c r="E12" s="97"/>
      <c r="F12" s="97"/>
      <c r="G12" s="2"/>
    </row>
    <row r="13" spans="1:8" x14ac:dyDescent="0.2">
      <c r="A13" s="98" t="s">
        <v>74</v>
      </c>
      <c r="B13" s="97" t="s">
        <v>134</v>
      </c>
      <c r="C13" s="97"/>
      <c r="D13" s="97"/>
      <c r="E13" s="97"/>
      <c r="F13" s="97"/>
      <c r="G13" s="2"/>
    </row>
    <row r="14" spans="1:8" x14ac:dyDescent="0.2">
      <c r="A14" s="99"/>
      <c r="B14" s="97"/>
      <c r="C14" s="97"/>
      <c r="D14" s="97"/>
      <c r="E14" s="97"/>
      <c r="F14" s="97"/>
      <c r="G14" s="2"/>
    </row>
    <row r="15" spans="1:8" x14ac:dyDescent="0.2">
      <c r="A15" s="98" t="s">
        <v>79</v>
      </c>
      <c r="B15" s="2"/>
      <c r="C15" s="2"/>
      <c r="D15" s="2"/>
      <c r="E15" s="2"/>
      <c r="F15" s="2"/>
      <c r="G15" s="2"/>
    </row>
    <row r="16" spans="1:8" x14ac:dyDescent="0.2">
      <c r="A16" s="99"/>
      <c r="B16" s="2"/>
      <c r="C16" s="2"/>
      <c r="D16" s="2"/>
      <c r="E16" s="2"/>
      <c r="F16" s="2"/>
      <c r="G16" s="2"/>
    </row>
    <row r="17" spans="1:8" x14ac:dyDescent="0.2">
      <c r="A17" s="2"/>
      <c r="B17" s="2"/>
      <c r="C17" s="2"/>
      <c r="D17" s="2"/>
      <c r="E17" s="2"/>
      <c r="F17" s="2"/>
      <c r="G17" s="2"/>
      <c r="H17" s="6"/>
    </row>
    <row r="18" spans="1:8" x14ac:dyDescent="0.2">
      <c r="A18" s="96" t="s">
        <v>83</v>
      </c>
      <c r="B18" s="2"/>
      <c r="C18" s="2"/>
      <c r="D18" s="2"/>
      <c r="E18" s="5"/>
      <c r="F18" s="2"/>
      <c r="G18" s="2"/>
    </row>
    <row r="19" spans="1:8" x14ac:dyDescent="0.2">
      <c r="A19" s="93"/>
      <c r="B19" s="2"/>
      <c r="C19" s="2"/>
      <c r="D19" s="2"/>
      <c r="E19" s="2"/>
      <c r="F19" s="2"/>
      <c r="G19" s="2"/>
    </row>
    <row r="20" spans="1:8" x14ac:dyDescent="0.2">
      <c r="B20" s="2"/>
      <c r="C20" s="2"/>
      <c r="D20" s="2"/>
      <c r="E20" s="2"/>
      <c r="F20" s="2"/>
      <c r="G20" s="2"/>
    </row>
    <row r="21" spans="1:8" x14ac:dyDescent="0.2">
      <c r="A21" s="8"/>
      <c r="B21" s="8"/>
      <c r="C21" s="8"/>
      <c r="D21" s="8"/>
      <c r="F21" s="3"/>
    </row>
    <row r="22" spans="1:8" x14ac:dyDescent="0.2">
      <c r="A22" s="8"/>
      <c r="B22" s="8"/>
      <c r="C22" s="8"/>
      <c r="D22" s="8"/>
      <c r="F22" s="3"/>
    </row>
    <row r="23" spans="1:8" x14ac:dyDescent="0.2">
      <c r="A23" s="8"/>
      <c r="B23" s="8"/>
      <c r="C23" s="8"/>
      <c r="D23" s="8"/>
      <c r="F23" s="3"/>
    </row>
    <row r="24" spans="1:8" x14ac:dyDescent="0.2">
      <c r="A24" s="8"/>
      <c r="B24" s="8"/>
      <c r="C24" s="8"/>
      <c r="D24" s="8"/>
      <c r="F24" s="3"/>
    </row>
    <row r="25" spans="1:8" x14ac:dyDescent="0.2">
      <c r="A25" s="8"/>
      <c r="B25" s="8"/>
      <c r="C25" s="8"/>
      <c r="D25" s="8"/>
      <c r="F25" s="3"/>
    </row>
    <row r="26" spans="1:8" x14ac:dyDescent="0.2">
      <c r="A26" s="8"/>
      <c r="B26" s="8"/>
      <c r="C26" s="8"/>
      <c r="D26" s="8"/>
      <c r="F26" s="3"/>
    </row>
    <row r="27" spans="1:8" x14ac:dyDescent="0.2">
      <c r="A27" s="8"/>
      <c r="B27" s="8"/>
      <c r="C27" s="8"/>
      <c r="D27" s="8"/>
      <c r="F27" s="3"/>
    </row>
    <row r="28" spans="1:8" x14ac:dyDescent="0.2">
      <c r="A28" s="8"/>
      <c r="B28" s="8"/>
      <c r="C28" s="8"/>
      <c r="D28" s="8"/>
      <c r="F28" s="3"/>
    </row>
    <row r="29" spans="1:8" x14ac:dyDescent="0.2">
      <c r="A29" s="8"/>
      <c r="B29" s="8"/>
      <c r="C29" s="8"/>
      <c r="D29" s="8"/>
      <c r="F29" s="3"/>
    </row>
    <row r="30" spans="1:8" x14ac:dyDescent="0.2">
      <c r="A30" s="8"/>
      <c r="B30" s="8"/>
      <c r="C30" s="8"/>
      <c r="D30" s="8"/>
      <c r="F30" s="3"/>
    </row>
    <row r="31" spans="1:8" x14ac:dyDescent="0.2">
      <c r="A31" s="8"/>
      <c r="B31" s="8"/>
      <c r="C31" s="8"/>
      <c r="D31" s="8"/>
      <c r="F31" s="3"/>
    </row>
    <row r="32" spans="1:8" x14ac:dyDescent="0.2">
      <c r="A32" s="8"/>
      <c r="B32" s="8"/>
      <c r="C32" s="8"/>
      <c r="D32" s="8"/>
      <c r="F32" s="3"/>
    </row>
    <row r="33" spans="1:6" x14ac:dyDescent="0.2">
      <c r="A33" s="8"/>
      <c r="B33" s="8"/>
      <c r="C33" s="8"/>
      <c r="D33" s="8"/>
      <c r="F33" s="3"/>
    </row>
    <row r="34" spans="1:6" x14ac:dyDescent="0.2">
      <c r="A34" s="8"/>
      <c r="B34" s="8"/>
      <c r="C34" s="8"/>
      <c r="D34" s="8"/>
      <c r="F34" s="3"/>
    </row>
    <row r="35" spans="1:6" x14ac:dyDescent="0.2">
      <c r="A35" s="8"/>
      <c r="B35" s="8"/>
      <c r="C35" s="8"/>
      <c r="D35" s="8"/>
      <c r="F35" s="3"/>
    </row>
    <row r="36" spans="1:6" x14ac:dyDescent="0.2">
      <c r="A36" s="8"/>
      <c r="B36" s="8"/>
      <c r="C36" s="8"/>
      <c r="D36" s="8"/>
      <c r="F36" s="3"/>
    </row>
    <row r="37" spans="1:6" x14ac:dyDescent="0.2">
      <c r="A37" s="3"/>
      <c r="B37" s="3"/>
      <c r="F37" s="3"/>
    </row>
    <row r="38" spans="1:6" x14ac:dyDescent="0.2">
      <c r="A38" s="3"/>
      <c r="B38" s="3"/>
      <c r="F38" s="3"/>
    </row>
    <row r="39" spans="1:6" x14ac:dyDescent="0.2">
      <c r="A39" s="3"/>
      <c r="B39" s="3"/>
      <c r="F39" s="3"/>
    </row>
    <row r="40" spans="1:6" x14ac:dyDescent="0.2">
      <c r="A40" s="3"/>
      <c r="B40" s="3"/>
      <c r="F40" s="3"/>
    </row>
    <row r="41" spans="1:6" x14ac:dyDescent="0.2">
      <c r="A41" s="3"/>
      <c r="B41" s="3"/>
      <c r="F41" s="3"/>
    </row>
    <row r="42" spans="1:6" x14ac:dyDescent="0.2">
      <c r="A42" s="3"/>
      <c r="B42" s="3"/>
      <c r="F42" s="3"/>
    </row>
    <row r="43" spans="1:6" x14ac:dyDescent="0.2">
      <c r="A43" s="3"/>
      <c r="B43" s="3"/>
      <c r="F43" s="3"/>
    </row>
    <row r="44" spans="1:6" x14ac:dyDescent="0.2">
      <c r="A44" s="3"/>
      <c r="B44" s="3"/>
      <c r="F44" s="3"/>
    </row>
    <row r="45" spans="1:6" x14ac:dyDescent="0.2">
      <c r="A45" s="3"/>
      <c r="B45" s="3"/>
      <c r="F45" s="3"/>
    </row>
    <row r="46" spans="1:6" x14ac:dyDescent="0.2">
      <c r="A46" s="3"/>
      <c r="B46" s="3"/>
      <c r="F46" s="3"/>
    </row>
    <row r="47" spans="1:6" x14ac:dyDescent="0.2">
      <c r="A47" s="3"/>
      <c r="B47" s="3"/>
      <c r="F47" s="3"/>
    </row>
    <row r="48" spans="1:6" x14ac:dyDescent="0.2">
      <c r="A48" s="3"/>
      <c r="B48" s="3"/>
      <c r="F48" s="3"/>
    </row>
    <row r="49" spans="1:6" x14ac:dyDescent="0.2">
      <c r="A49" s="3"/>
      <c r="B49" s="3"/>
      <c r="F49" s="3"/>
    </row>
    <row r="50" spans="1:6" x14ac:dyDescent="0.2">
      <c r="A50" s="3"/>
      <c r="B50" s="3"/>
      <c r="F50" s="3"/>
    </row>
    <row r="51" spans="1:6" x14ac:dyDescent="0.2">
      <c r="A51" s="3"/>
      <c r="B51" s="3"/>
      <c r="F51" s="3"/>
    </row>
    <row r="52" spans="1:6" x14ac:dyDescent="0.2">
      <c r="A52" s="3"/>
      <c r="B52" s="3"/>
      <c r="F52" s="3"/>
    </row>
    <row r="53" spans="1:6" x14ac:dyDescent="0.2">
      <c r="A53" s="3"/>
      <c r="B53" s="3"/>
      <c r="F53" s="3"/>
    </row>
    <row r="54" spans="1:6" x14ac:dyDescent="0.2">
      <c r="A54" s="3"/>
      <c r="B54" s="3"/>
      <c r="F54" s="3"/>
    </row>
    <row r="55" spans="1:6" x14ac:dyDescent="0.2">
      <c r="A55" s="3"/>
      <c r="B55" s="3"/>
      <c r="F55" s="3"/>
    </row>
  </sheetData>
  <mergeCells count="15">
    <mergeCell ref="A2:F2"/>
    <mergeCell ref="B3:F3"/>
    <mergeCell ref="B4:F4"/>
    <mergeCell ref="A18:A19"/>
    <mergeCell ref="B6:F6"/>
    <mergeCell ref="B7:F7"/>
    <mergeCell ref="B8:F8"/>
    <mergeCell ref="B9:F9"/>
    <mergeCell ref="B10:F10"/>
    <mergeCell ref="B11:F11"/>
    <mergeCell ref="B12:F12"/>
    <mergeCell ref="B13:F14"/>
    <mergeCell ref="A13:A14"/>
    <mergeCell ref="A15:A16"/>
    <mergeCell ref="B5:F5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L68"/>
  <sheetViews>
    <sheetView tabSelected="1" workbookViewId="0">
      <selection activeCell="C6" sqref="C6"/>
    </sheetView>
  </sheetViews>
  <sheetFormatPr baseColWidth="10" defaultColWidth="15.1640625" defaultRowHeight="18" customHeight="1" x14ac:dyDescent="0.2"/>
  <cols>
    <col min="1" max="1" width="51" style="9" customWidth="1"/>
    <col min="2" max="2" width="19.33203125" style="9" customWidth="1"/>
    <col min="3" max="3" width="15.1640625" style="9"/>
    <col min="4" max="4" width="2" style="38" customWidth="1"/>
    <col min="5" max="5" width="15.1640625" style="9"/>
    <col min="6" max="6" width="34.1640625" style="9" customWidth="1"/>
    <col min="7" max="7" width="53.83203125" style="33" customWidth="1"/>
    <col min="8" max="16384" width="15.1640625" style="9"/>
  </cols>
  <sheetData>
    <row r="1" spans="1:12" ht="22" customHeight="1" x14ac:dyDescent="0.25">
      <c r="A1" s="100" t="s">
        <v>2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2"/>
    </row>
    <row r="2" spans="1:12" ht="18" customHeight="1" x14ac:dyDescent="0.2">
      <c r="A2" s="23" t="s">
        <v>5</v>
      </c>
      <c r="B2" s="23" t="s">
        <v>96</v>
      </c>
      <c r="C2" s="24" t="s">
        <v>7</v>
      </c>
      <c r="D2" s="43" t="s">
        <v>125</v>
      </c>
      <c r="E2" s="24" t="s">
        <v>8</v>
      </c>
      <c r="F2" s="24" t="s">
        <v>9</v>
      </c>
      <c r="G2" s="31" t="s">
        <v>10</v>
      </c>
      <c r="H2" s="106" t="s">
        <v>11</v>
      </c>
      <c r="I2" s="106"/>
      <c r="J2" s="106"/>
      <c r="K2" s="106"/>
      <c r="L2" s="106"/>
    </row>
    <row r="3" spans="1:12" ht="18" customHeight="1" x14ac:dyDescent="0.2">
      <c r="A3" s="12" t="s">
        <v>13</v>
      </c>
      <c r="B3" s="12" t="s">
        <v>97</v>
      </c>
      <c r="C3" s="59">
        <v>110</v>
      </c>
      <c r="D3" s="19" t="s">
        <v>125</v>
      </c>
      <c r="E3" s="12" t="s">
        <v>145</v>
      </c>
      <c r="F3" s="12" t="s">
        <v>14</v>
      </c>
      <c r="G3" s="29" t="s">
        <v>137</v>
      </c>
      <c r="H3" s="105" t="s">
        <v>15</v>
      </c>
      <c r="I3" s="105"/>
      <c r="J3" s="105"/>
      <c r="K3" s="105"/>
      <c r="L3" s="105"/>
    </row>
    <row r="4" spans="1:12" ht="18" customHeight="1" x14ac:dyDescent="0.2">
      <c r="A4" s="15" t="s">
        <v>16</v>
      </c>
      <c r="B4" s="15" t="s">
        <v>98</v>
      </c>
      <c r="C4" s="59">
        <v>72445</v>
      </c>
      <c r="D4" s="19" t="s">
        <v>125</v>
      </c>
      <c r="E4" s="12" t="s">
        <v>17</v>
      </c>
      <c r="F4" s="12" t="s">
        <v>14</v>
      </c>
      <c r="G4" s="29" t="s">
        <v>137</v>
      </c>
      <c r="H4" s="105" t="s">
        <v>15</v>
      </c>
      <c r="I4" s="105"/>
      <c r="J4" s="105"/>
      <c r="K4" s="105"/>
      <c r="L4" s="105"/>
    </row>
    <row r="5" spans="1:12" ht="18" customHeight="1" x14ac:dyDescent="0.2">
      <c r="A5" s="12" t="s">
        <v>20</v>
      </c>
      <c r="B5" s="12" t="s">
        <v>99</v>
      </c>
      <c r="C5" s="60">
        <v>1040</v>
      </c>
      <c r="D5" s="19" t="s">
        <v>125</v>
      </c>
      <c r="E5" s="12" t="s">
        <v>146</v>
      </c>
      <c r="F5" s="12" t="s">
        <v>21</v>
      </c>
      <c r="G5" s="29" t="s">
        <v>22</v>
      </c>
      <c r="H5" s="105" t="s">
        <v>23</v>
      </c>
      <c r="I5" s="105"/>
      <c r="J5" s="105"/>
      <c r="K5" s="105"/>
      <c r="L5" s="105"/>
    </row>
    <row r="6" spans="1:12" ht="18" customHeight="1" x14ac:dyDescent="0.2">
      <c r="A6" s="12" t="s">
        <v>25</v>
      </c>
      <c r="B6" s="12" t="s">
        <v>100</v>
      </c>
      <c r="C6" s="60">
        <f>(2*C7)^2/C5</f>
        <v>3.4781737846153842</v>
      </c>
      <c r="D6" s="19" t="s">
        <v>125</v>
      </c>
      <c r="E6" s="12" t="s">
        <v>104</v>
      </c>
      <c r="F6" s="12" t="s">
        <v>6</v>
      </c>
      <c r="G6" s="29" t="s">
        <v>147</v>
      </c>
      <c r="H6" s="104" t="s">
        <v>31</v>
      </c>
      <c r="I6" s="104"/>
      <c r="J6" s="104"/>
      <c r="K6" s="104"/>
      <c r="L6" s="104"/>
    </row>
    <row r="7" spans="1:12" ht="18" customHeight="1" x14ac:dyDescent="0.2">
      <c r="A7" s="12" t="s">
        <v>32</v>
      </c>
      <c r="B7" s="12" t="s">
        <v>478</v>
      </c>
      <c r="C7" s="60">
        <f>C8</f>
        <v>30.071999999999999</v>
      </c>
      <c r="D7" s="19" t="s">
        <v>125</v>
      </c>
      <c r="E7" s="12" t="s">
        <v>104</v>
      </c>
      <c r="F7" s="12" t="s">
        <v>21</v>
      </c>
      <c r="G7" s="29" t="s">
        <v>479</v>
      </c>
      <c r="H7" s="104" t="s">
        <v>31</v>
      </c>
      <c r="I7" s="104"/>
      <c r="J7" s="104"/>
      <c r="K7" s="104"/>
      <c r="L7" s="104"/>
    </row>
    <row r="8" spans="1:12" ht="18" customHeight="1" x14ac:dyDescent="0.2">
      <c r="A8" s="12" t="s">
        <v>148</v>
      </c>
      <c r="B8" s="12" t="s">
        <v>102</v>
      </c>
      <c r="C8" s="61">
        <v>30.071999999999999</v>
      </c>
      <c r="D8" s="19" t="s">
        <v>125</v>
      </c>
      <c r="E8" s="12" t="s">
        <v>29</v>
      </c>
      <c r="F8" s="12" t="s">
        <v>21</v>
      </c>
      <c r="G8" s="28" t="s">
        <v>43</v>
      </c>
      <c r="H8" s="104" t="s">
        <v>31</v>
      </c>
      <c r="I8" s="104"/>
      <c r="J8" s="104"/>
      <c r="K8" s="104"/>
      <c r="L8" s="104"/>
    </row>
    <row r="9" spans="1:12" ht="18" customHeight="1" x14ac:dyDescent="0.2">
      <c r="A9" s="12" t="s">
        <v>47</v>
      </c>
      <c r="B9" s="12" t="s">
        <v>103</v>
      </c>
      <c r="C9" s="60">
        <f>C34/C33*C8</f>
        <v>3.9721970149253725</v>
      </c>
      <c r="D9" s="19" t="s">
        <v>125</v>
      </c>
      <c r="E9" s="12" t="s">
        <v>29</v>
      </c>
      <c r="F9" s="12" t="s">
        <v>48</v>
      </c>
      <c r="G9" s="28" t="s">
        <v>49</v>
      </c>
      <c r="H9" s="104" t="s">
        <v>50</v>
      </c>
      <c r="I9" s="104"/>
      <c r="J9" s="104"/>
      <c r="K9" s="104"/>
      <c r="L9" s="104"/>
    </row>
    <row r="10" spans="1:12" ht="18" customHeight="1" x14ac:dyDescent="0.2">
      <c r="A10" s="12" t="s">
        <v>53</v>
      </c>
      <c r="B10" s="12" t="s">
        <v>101</v>
      </c>
      <c r="C10" s="60">
        <f>0.679*C8</f>
        <v>20.418888000000003</v>
      </c>
      <c r="D10" s="19" t="s">
        <v>125</v>
      </c>
      <c r="E10" s="12" t="s">
        <v>29</v>
      </c>
      <c r="F10" s="12" t="s">
        <v>21</v>
      </c>
      <c r="G10" s="29" t="s">
        <v>149</v>
      </c>
      <c r="H10" s="104" t="s">
        <v>31</v>
      </c>
      <c r="I10" s="104"/>
      <c r="J10" s="104"/>
      <c r="K10" s="104"/>
      <c r="L10" s="104"/>
    </row>
    <row r="11" spans="1:12" ht="18" customHeight="1" x14ac:dyDescent="0.2">
      <c r="A11" s="12" t="s">
        <v>55</v>
      </c>
      <c r="B11" s="12" t="s">
        <v>106</v>
      </c>
      <c r="C11" s="60">
        <f>0.679*C9</f>
        <v>2.6971217731343282</v>
      </c>
      <c r="D11" s="19" t="s">
        <v>125</v>
      </c>
      <c r="E11" s="12" t="s">
        <v>104</v>
      </c>
      <c r="F11" s="12" t="s">
        <v>21</v>
      </c>
      <c r="G11" s="29" t="s">
        <v>150</v>
      </c>
      <c r="H11" s="104" t="s">
        <v>115</v>
      </c>
      <c r="I11" s="104"/>
      <c r="J11" s="104"/>
      <c r="K11" s="104"/>
      <c r="L11" s="104"/>
    </row>
    <row r="12" spans="1:12" ht="18" customHeight="1" x14ac:dyDescent="0.2">
      <c r="A12" s="12" t="s">
        <v>58</v>
      </c>
      <c r="B12" s="12" t="s">
        <v>105</v>
      </c>
      <c r="C12" s="60">
        <f>0.15*C8</f>
        <v>4.5107999999999997</v>
      </c>
      <c r="D12" s="19" t="s">
        <v>125</v>
      </c>
      <c r="E12" s="12" t="s">
        <v>29</v>
      </c>
      <c r="F12" s="12" t="s">
        <v>21</v>
      </c>
      <c r="G12" s="29" t="s">
        <v>151</v>
      </c>
      <c r="H12" s="105" t="s">
        <v>31</v>
      </c>
      <c r="I12" s="105"/>
      <c r="J12" s="105"/>
      <c r="K12" s="105"/>
      <c r="L12" s="105"/>
    </row>
    <row r="13" spans="1:12" ht="18" customHeight="1" x14ac:dyDescent="0.2">
      <c r="A13" s="12" t="s">
        <v>152</v>
      </c>
      <c r="B13" s="12" t="s">
        <v>107</v>
      </c>
      <c r="C13" s="13">
        <v>0.66749999999999998</v>
      </c>
      <c r="D13" s="19" t="s">
        <v>125</v>
      </c>
      <c r="E13" s="12" t="s">
        <v>59</v>
      </c>
      <c r="F13" s="12" t="s">
        <v>6</v>
      </c>
      <c r="G13" s="29" t="s">
        <v>137</v>
      </c>
      <c r="H13" s="105" t="s">
        <v>60</v>
      </c>
      <c r="I13" s="105"/>
      <c r="J13" s="105"/>
      <c r="K13" s="105"/>
      <c r="L13" s="105"/>
    </row>
    <row r="14" spans="1:12" ht="18" customHeight="1" x14ac:dyDescent="0.2">
      <c r="A14" s="12" t="s">
        <v>566</v>
      </c>
      <c r="B14" s="12" t="s">
        <v>108</v>
      </c>
      <c r="C14" s="66">
        <v>6.34</v>
      </c>
      <c r="D14" s="19" t="s">
        <v>125</v>
      </c>
      <c r="E14" s="12" t="s">
        <v>54</v>
      </c>
      <c r="F14" s="12" t="s">
        <v>514</v>
      </c>
      <c r="G14" s="29" t="s">
        <v>137</v>
      </c>
      <c r="H14" s="105" t="s">
        <v>63</v>
      </c>
      <c r="I14" s="105"/>
      <c r="J14" s="105"/>
      <c r="K14" s="105"/>
      <c r="L14" s="105"/>
    </row>
    <row r="15" spans="1:12" ht="18" customHeight="1" x14ac:dyDescent="0.2">
      <c r="A15" s="12" t="s">
        <v>64</v>
      </c>
      <c r="B15" s="12" t="s">
        <v>109</v>
      </c>
      <c r="C15" s="13">
        <f>573.3502*1.68</f>
        <v>963.2283359999999</v>
      </c>
      <c r="D15" s="19" t="s">
        <v>125</v>
      </c>
      <c r="E15" s="12" t="s">
        <v>504</v>
      </c>
      <c r="F15" s="12" t="s">
        <v>6</v>
      </c>
      <c r="G15" s="29" t="s">
        <v>137</v>
      </c>
      <c r="H15" s="107" t="str">
        <f>HYPERLINK("http://www.fighter-planes.com/jetmach1.htm","http://www.fighter-planes.com/jetmach1.htm")</f>
        <v>http://www.fighter-planes.com/jetmach1.htm</v>
      </c>
      <c r="I15" s="107"/>
      <c r="J15" s="107"/>
      <c r="K15" s="107"/>
      <c r="L15" s="107"/>
    </row>
    <row r="16" spans="1:12" ht="18" customHeight="1" x14ac:dyDescent="0.2">
      <c r="A16" s="12" t="s">
        <v>66</v>
      </c>
      <c r="B16" s="12" t="s">
        <v>110</v>
      </c>
      <c r="C16" s="13">
        <f>1.6*C15</f>
        <v>1541.1653375999999</v>
      </c>
      <c r="D16" s="19" t="s">
        <v>125</v>
      </c>
      <c r="E16" s="12" t="s">
        <v>504</v>
      </c>
      <c r="F16" s="12" t="s">
        <v>21</v>
      </c>
      <c r="G16" s="29" t="s">
        <v>67</v>
      </c>
      <c r="H16" s="105" t="s">
        <v>23</v>
      </c>
      <c r="I16" s="105"/>
      <c r="J16" s="105"/>
      <c r="K16" s="105"/>
      <c r="L16" s="105"/>
    </row>
    <row r="17" spans="1:12" ht="18" customHeight="1" x14ac:dyDescent="0.2">
      <c r="A17" s="18" t="s">
        <v>68</v>
      </c>
      <c r="B17" s="18" t="s">
        <v>111</v>
      </c>
      <c r="C17" s="16">
        <f>1.8*661.47</f>
        <v>1190.6460000000002</v>
      </c>
      <c r="D17" s="19" t="s">
        <v>125</v>
      </c>
      <c r="E17" s="18" t="s">
        <v>504</v>
      </c>
      <c r="F17" s="18" t="s">
        <v>6</v>
      </c>
      <c r="G17" s="32" t="s">
        <v>137</v>
      </c>
      <c r="H17" s="103" t="s">
        <v>69</v>
      </c>
      <c r="I17" s="103"/>
      <c r="J17" s="103"/>
      <c r="K17" s="103"/>
      <c r="L17" s="103"/>
    </row>
    <row r="18" spans="1:12" ht="18" customHeight="1" x14ac:dyDescent="0.2">
      <c r="A18" s="18" t="s">
        <v>71</v>
      </c>
      <c r="B18" s="18" t="s">
        <v>112</v>
      </c>
      <c r="C18" s="16">
        <v>216.65</v>
      </c>
      <c r="D18" s="19" t="s">
        <v>125</v>
      </c>
      <c r="E18" s="18" t="s">
        <v>72</v>
      </c>
      <c r="F18" s="18" t="s">
        <v>6</v>
      </c>
      <c r="G18" s="32" t="s">
        <v>137</v>
      </c>
      <c r="H18" s="103" t="s">
        <v>69</v>
      </c>
      <c r="I18" s="103"/>
      <c r="J18" s="103"/>
      <c r="K18" s="103"/>
      <c r="L18" s="103"/>
    </row>
    <row r="19" spans="1:12" ht="18" customHeight="1" x14ac:dyDescent="0.2">
      <c r="A19" s="18" t="s">
        <v>73</v>
      </c>
      <c r="B19" s="18" t="s">
        <v>113</v>
      </c>
      <c r="C19" s="16">
        <v>288.14999999999998</v>
      </c>
      <c r="D19" s="19" t="s">
        <v>125</v>
      </c>
      <c r="E19" s="18" t="s">
        <v>72</v>
      </c>
      <c r="F19" s="18" t="s">
        <v>6</v>
      </c>
      <c r="G19" s="32" t="s">
        <v>137</v>
      </c>
      <c r="H19" s="103" t="s">
        <v>69</v>
      </c>
      <c r="I19" s="103"/>
      <c r="J19" s="103"/>
      <c r="K19" s="103"/>
      <c r="L19" s="103"/>
    </row>
    <row r="20" spans="1:12" ht="18" customHeight="1" x14ac:dyDescent="0.2">
      <c r="A20" s="27" t="s">
        <v>371</v>
      </c>
      <c r="B20" s="27" t="s">
        <v>372</v>
      </c>
      <c r="C20" s="35">
        <v>4.6200000000000001E-4</v>
      </c>
      <c r="D20" s="19" t="s">
        <v>125</v>
      </c>
      <c r="E20" s="27" t="s">
        <v>373</v>
      </c>
      <c r="F20" s="27" t="s">
        <v>374</v>
      </c>
      <c r="G20" s="32" t="s">
        <v>137</v>
      </c>
      <c r="H20" s="103"/>
      <c r="I20" s="103"/>
      <c r="J20" s="103"/>
      <c r="K20" s="103"/>
      <c r="L20" s="103"/>
    </row>
    <row r="21" spans="1:12" ht="18" customHeight="1" x14ac:dyDescent="0.2">
      <c r="A21" s="18" t="s">
        <v>193</v>
      </c>
      <c r="B21" s="18" t="s">
        <v>194</v>
      </c>
      <c r="C21" s="16">
        <v>3</v>
      </c>
      <c r="D21" s="19" t="s">
        <v>125</v>
      </c>
      <c r="E21" s="18" t="s">
        <v>104</v>
      </c>
      <c r="F21" s="18" t="s">
        <v>14</v>
      </c>
      <c r="G21" s="32" t="s">
        <v>137</v>
      </c>
      <c r="H21" s="110" t="s">
        <v>195</v>
      </c>
      <c r="I21" s="111"/>
      <c r="J21" s="111"/>
      <c r="K21" s="111"/>
      <c r="L21" s="111"/>
    </row>
    <row r="22" spans="1:12" ht="18" customHeight="1" x14ac:dyDescent="0.2">
      <c r="A22" s="18" t="s">
        <v>251</v>
      </c>
      <c r="B22" s="18" t="s">
        <v>252</v>
      </c>
      <c r="C22" s="16">
        <v>2445</v>
      </c>
      <c r="D22" s="19" t="s">
        <v>125</v>
      </c>
      <c r="E22" s="18" t="s">
        <v>223</v>
      </c>
      <c r="F22" s="18" t="s">
        <v>6</v>
      </c>
      <c r="G22" s="32" t="s">
        <v>137</v>
      </c>
      <c r="H22" s="110" t="s">
        <v>253</v>
      </c>
      <c r="I22" s="110"/>
      <c r="J22" s="110"/>
      <c r="K22" s="110"/>
      <c r="L22" s="110"/>
    </row>
    <row r="23" spans="1:12" ht="18" customHeight="1" x14ac:dyDescent="0.2">
      <c r="A23" s="18" t="s">
        <v>254</v>
      </c>
      <c r="B23" s="18" t="s">
        <v>123</v>
      </c>
      <c r="C23" s="16">
        <f>C22*C21</f>
        <v>7335</v>
      </c>
      <c r="D23" s="19" t="s">
        <v>125</v>
      </c>
      <c r="E23" s="18" t="s">
        <v>223</v>
      </c>
      <c r="F23" s="18" t="s">
        <v>6</v>
      </c>
      <c r="G23" s="32" t="s">
        <v>137</v>
      </c>
      <c r="H23" s="110" t="s">
        <v>253</v>
      </c>
      <c r="I23" s="110"/>
      <c r="J23" s="110"/>
      <c r="K23" s="110"/>
      <c r="L23" s="110"/>
    </row>
    <row r="24" spans="1:12" s="10" customFormat="1" ht="40" customHeight="1" x14ac:dyDescent="0.2">
      <c r="A24" s="17" t="s">
        <v>76</v>
      </c>
      <c r="B24" s="17" t="s">
        <v>114</v>
      </c>
      <c r="C24" s="19">
        <f>C4-C4/EXP(('Design Constraints'!B7/C17)/((1.6*C14)/(C13/SQRT(C18/C19))))</f>
        <v>18064.117938321608</v>
      </c>
      <c r="D24" s="19" t="s">
        <v>125</v>
      </c>
      <c r="E24" s="20" t="s">
        <v>17</v>
      </c>
      <c r="F24" s="20" t="s">
        <v>21</v>
      </c>
      <c r="G24" s="28" t="s">
        <v>77</v>
      </c>
      <c r="H24" s="104" t="s">
        <v>75</v>
      </c>
      <c r="I24" s="104"/>
      <c r="J24" s="104"/>
      <c r="K24" s="104"/>
      <c r="L24" s="104"/>
    </row>
    <row r="25" spans="1:12" ht="22" customHeight="1" x14ac:dyDescent="0.25">
      <c r="A25" s="108" t="s">
        <v>78</v>
      </c>
      <c r="B25" s="108"/>
      <c r="C25" s="108"/>
      <c r="D25" s="108"/>
      <c r="E25" s="108"/>
      <c r="F25" s="108"/>
      <c r="G25" s="108"/>
      <c r="H25" s="108"/>
      <c r="I25" s="108"/>
      <c r="J25" s="108"/>
      <c r="K25" s="108"/>
      <c r="L25" s="108"/>
    </row>
    <row r="26" spans="1:12" ht="18" customHeight="1" x14ac:dyDescent="0.2">
      <c r="A26" s="23" t="s">
        <v>5</v>
      </c>
      <c r="B26" s="23" t="s">
        <v>96</v>
      </c>
      <c r="C26" s="24" t="s">
        <v>7</v>
      </c>
      <c r="D26" s="43" t="s">
        <v>125</v>
      </c>
      <c r="E26" s="24" t="s">
        <v>8</v>
      </c>
      <c r="F26" s="24" t="s">
        <v>9</v>
      </c>
      <c r="G26" s="31" t="s">
        <v>10</v>
      </c>
      <c r="H26" s="106" t="s">
        <v>11</v>
      </c>
      <c r="I26" s="106"/>
      <c r="J26" s="106"/>
      <c r="K26" s="106"/>
      <c r="L26" s="106"/>
    </row>
    <row r="27" spans="1:12" ht="18" customHeight="1" x14ac:dyDescent="0.2">
      <c r="A27" s="12" t="s">
        <v>141</v>
      </c>
      <c r="B27" s="12" t="s">
        <v>114</v>
      </c>
      <c r="C27" s="22">
        <f>C24</f>
        <v>18064.117938321608</v>
      </c>
      <c r="D27" s="44" t="s">
        <v>125</v>
      </c>
      <c r="E27" s="12" t="s">
        <v>17</v>
      </c>
      <c r="F27" s="12" t="s">
        <v>80</v>
      </c>
      <c r="G27" s="28" t="s">
        <v>137</v>
      </c>
      <c r="H27" s="105" t="s">
        <v>137</v>
      </c>
      <c r="I27" s="105"/>
      <c r="J27" s="105"/>
      <c r="K27" s="105"/>
      <c r="L27" s="105"/>
    </row>
    <row r="28" spans="1:12" ht="18" customHeight="1" x14ac:dyDescent="0.2">
      <c r="A28" s="39" t="s">
        <v>469</v>
      </c>
      <c r="B28" s="39" t="s">
        <v>470</v>
      </c>
      <c r="C28" s="22">
        <f>C4 - (C4/(EXP(0.75/((1/C13)*4.289))))</f>
        <v>7981.1474633908001</v>
      </c>
      <c r="D28" s="44" t="s">
        <v>125</v>
      </c>
      <c r="E28" s="39" t="s">
        <v>223</v>
      </c>
      <c r="F28" s="39" t="s">
        <v>21</v>
      </c>
      <c r="G28" s="30" t="s">
        <v>471</v>
      </c>
      <c r="H28" s="105" t="s">
        <v>472</v>
      </c>
      <c r="I28" s="105"/>
      <c r="J28" s="105"/>
      <c r="K28" s="105"/>
      <c r="L28" s="105"/>
    </row>
    <row r="29" spans="1:12" ht="18" customHeight="1" x14ac:dyDescent="0.2">
      <c r="A29" s="12" t="s">
        <v>81</v>
      </c>
      <c r="B29" s="12" t="s">
        <v>116</v>
      </c>
      <c r="C29" s="22">
        <v>49.942999999999998</v>
      </c>
      <c r="D29" s="44" t="s">
        <v>125</v>
      </c>
      <c r="E29" s="12" t="s">
        <v>142</v>
      </c>
      <c r="F29" s="12" t="s">
        <v>82</v>
      </c>
      <c r="G29" s="28" t="s">
        <v>137</v>
      </c>
      <c r="H29" s="105" t="s">
        <v>82</v>
      </c>
      <c r="I29" s="105"/>
      <c r="J29" s="105"/>
      <c r="K29" s="105"/>
      <c r="L29" s="105"/>
    </row>
    <row r="30" spans="1:12" ht="18" customHeight="1" x14ac:dyDescent="0.2">
      <c r="A30" s="12" t="s">
        <v>84</v>
      </c>
      <c r="B30" s="12" t="s">
        <v>117</v>
      </c>
      <c r="C30" s="22">
        <f>C27/C29</f>
        <v>361.69469071384594</v>
      </c>
      <c r="D30" s="44" t="s">
        <v>125</v>
      </c>
      <c r="E30" s="12" t="s">
        <v>143</v>
      </c>
      <c r="F30" s="12" t="s">
        <v>144</v>
      </c>
      <c r="G30" s="29" t="s">
        <v>137</v>
      </c>
      <c r="H30" s="105" t="s">
        <v>137</v>
      </c>
      <c r="I30" s="105"/>
      <c r="J30" s="105"/>
      <c r="K30" s="105"/>
      <c r="L30" s="105"/>
    </row>
    <row r="31" spans="1:12" ht="22" customHeight="1" x14ac:dyDescent="0.25">
      <c r="A31" s="108" t="s">
        <v>85</v>
      </c>
      <c r="B31" s="108"/>
      <c r="C31" s="108"/>
      <c r="D31" s="108"/>
      <c r="E31" s="108"/>
      <c r="F31" s="108"/>
      <c r="G31" s="108"/>
      <c r="H31" s="108"/>
      <c r="I31" s="108"/>
      <c r="J31" s="108"/>
      <c r="K31" s="108"/>
      <c r="L31" s="108"/>
    </row>
    <row r="32" spans="1:12" ht="18" customHeight="1" x14ac:dyDescent="0.2">
      <c r="A32" s="23" t="s">
        <v>5</v>
      </c>
      <c r="B32" s="23" t="s">
        <v>96</v>
      </c>
      <c r="C32" s="24" t="s">
        <v>7</v>
      </c>
      <c r="D32" s="43" t="s">
        <v>125</v>
      </c>
      <c r="E32" s="24" t="s">
        <v>8</v>
      </c>
      <c r="F32" s="24" t="s">
        <v>9</v>
      </c>
      <c r="G32" s="31" t="s">
        <v>10</v>
      </c>
      <c r="H32" s="106" t="s">
        <v>11</v>
      </c>
      <c r="I32" s="106"/>
      <c r="J32" s="106"/>
      <c r="K32" s="106"/>
      <c r="L32" s="106"/>
    </row>
    <row r="33" spans="1:12" ht="18" customHeight="1" x14ac:dyDescent="0.2">
      <c r="A33" s="12" t="s">
        <v>86</v>
      </c>
      <c r="B33" s="12" t="s">
        <v>118</v>
      </c>
      <c r="C33" s="13">
        <f>0.134*C4</f>
        <v>9707.630000000001</v>
      </c>
      <c r="D33" s="41" t="s">
        <v>125</v>
      </c>
      <c r="E33" s="12" t="s">
        <v>17</v>
      </c>
      <c r="F33" s="17" t="s">
        <v>6</v>
      </c>
      <c r="G33" s="28" t="s">
        <v>139</v>
      </c>
      <c r="H33" s="105" t="s">
        <v>136</v>
      </c>
      <c r="I33" s="105"/>
      <c r="J33" s="105"/>
      <c r="K33" s="105"/>
      <c r="L33" s="105"/>
    </row>
    <row r="34" spans="1:12" ht="18" customHeight="1" x14ac:dyDescent="0.2">
      <c r="A34" s="12" t="s">
        <v>87</v>
      </c>
      <c r="B34" s="12" t="s">
        <v>119</v>
      </c>
      <c r="C34" s="13">
        <f>0.0177*C4</f>
        <v>1282.2764999999999</v>
      </c>
      <c r="D34" s="41" t="s">
        <v>125</v>
      </c>
      <c r="E34" s="12" t="s">
        <v>17</v>
      </c>
      <c r="F34" s="17" t="s">
        <v>6</v>
      </c>
      <c r="G34" s="29" t="s">
        <v>135</v>
      </c>
      <c r="H34" s="105" t="s">
        <v>136</v>
      </c>
      <c r="I34" s="105"/>
      <c r="J34" s="105"/>
      <c r="K34" s="105"/>
      <c r="L34" s="105"/>
    </row>
    <row r="35" spans="1:12" ht="18" customHeight="1" x14ac:dyDescent="0.2">
      <c r="A35" s="12" t="s">
        <v>88</v>
      </c>
      <c r="B35" s="12" t="s">
        <v>120</v>
      </c>
      <c r="C35" s="13">
        <f>0.105*C4</f>
        <v>7606.7249999999995</v>
      </c>
      <c r="D35" s="41" t="s">
        <v>125</v>
      </c>
      <c r="E35" s="12" t="s">
        <v>17</v>
      </c>
      <c r="F35" s="17" t="s">
        <v>6</v>
      </c>
      <c r="G35" s="29" t="s">
        <v>135</v>
      </c>
      <c r="H35" s="105" t="s">
        <v>136</v>
      </c>
      <c r="I35" s="105"/>
      <c r="J35" s="105"/>
      <c r="K35" s="105"/>
      <c r="L35" s="105"/>
    </row>
    <row r="36" spans="1:12" ht="18" customHeight="1" x14ac:dyDescent="0.2">
      <c r="A36" s="12" t="s">
        <v>89</v>
      </c>
      <c r="B36" s="12" t="s">
        <v>121</v>
      </c>
      <c r="C36" s="13">
        <f>0.0463*C4</f>
        <v>3354.2035000000001</v>
      </c>
      <c r="D36" s="41" t="s">
        <v>125</v>
      </c>
      <c r="E36" s="12" t="s">
        <v>17</v>
      </c>
      <c r="F36" s="17" t="s">
        <v>6</v>
      </c>
      <c r="G36" s="29" t="s">
        <v>135</v>
      </c>
      <c r="H36" s="105" t="s">
        <v>136</v>
      </c>
      <c r="I36" s="105"/>
      <c r="J36" s="105"/>
      <c r="K36" s="105"/>
      <c r="L36" s="105"/>
    </row>
    <row r="37" spans="1:12" ht="18" customHeight="1" x14ac:dyDescent="0.2">
      <c r="A37" s="12" t="s">
        <v>90</v>
      </c>
      <c r="B37" s="12" t="s">
        <v>229</v>
      </c>
      <c r="C37" s="13">
        <f>0.0187*C4</f>
        <v>1354.7215000000001</v>
      </c>
      <c r="D37" s="41" t="s">
        <v>125</v>
      </c>
      <c r="E37" s="12" t="s">
        <v>17</v>
      </c>
      <c r="F37" s="17" t="s">
        <v>6</v>
      </c>
      <c r="G37" s="29" t="s">
        <v>135</v>
      </c>
      <c r="H37" s="105" t="s">
        <v>136</v>
      </c>
      <c r="I37" s="105"/>
      <c r="J37" s="105"/>
      <c r="K37" s="105"/>
      <c r="L37" s="105"/>
    </row>
    <row r="38" spans="1:12" ht="18" customHeight="1" x14ac:dyDescent="0.2">
      <c r="A38" s="12" t="s">
        <v>91</v>
      </c>
      <c r="B38" s="12" t="s">
        <v>122</v>
      </c>
      <c r="C38" s="13">
        <f>0.0143*C4</f>
        <v>1035.9635000000001</v>
      </c>
      <c r="D38" s="41" t="s">
        <v>125</v>
      </c>
      <c r="E38" s="12" t="s">
        <v>17</v>
      </c>
      <c r="F38" s="17" t="s">
        <v>6</v>
      </c>
      <c r="G38" s="29" t="s">
        <v>135</v>
      </c>
      <c r="H38" s="105" t="s">
        <v>136</v>
      </c>
      <c r="I38" s="105"/>
      <c r="J38" s="105"/>
      <c r="K38" s="105"/>
      <c r="L38" s="105"/>
    </row>
    <row r="39" spans="1:12" ht="18" customHeight="1" x14ac:dyDescent="0.2">
      <c r="A39" s="21" t="s">
        <v>192</v>
      </c>
      <c r="B39" s="21" t="s">
        <v>123</v>
      </c>
      <c r="C39" s="13">
        <v>2445</v>
      </c>
      <c r="D39" s="51" t="s">
        <v>125</v>
      </c>
      <c r="E39" s="49" t="s">
        <v>17</v>
      </c>
      <c r="F39" s="17" t="s">
        <v>6</v>
      </c>
      <c r="G39" s="28" t="s">
        <v>139</v>
      </c>
      <c r="H39" s="112" t="s">
        <v>138</v>
      </c>
      <c r="I39" s="112"/>
      <c r="J39" s="112"/>
      <c r="K39" s="112"/>
      <c r="L39" s="112"/>
    </row>
    <row r="40" spans="1:12" ht="18" customHeight="1" x14ac:dyDescent="0.2">
      <c r="A40" s="21" t="s">
        <v>196</v>
      </c>
      <c r="B40" s="21" t="s">
        <v>200</v>
      </c>
      <c r="C40" s="13">
        <v>45</v>
      </c>
      <c r="D40" s="41" t="s">
        <v>125</v>
      </c>
      <c r="E40" s="12" t="s">
        <v>17</v>
      </c>
      <c r="F40" s="17" t="s">
        <v>6</v>
      </c>
      <c r="G40" s="28" t="s">
        <v>139</v>
      </c>
      <c r="H40" s="105" t="s">
        <v>136</v>
      </c>
      <c r="I40" s="105"/>
      <c r="J40" s="105"/>
      <c r="K40" s="105"/>
      <c r="L40" s="105"/>
    </row>
    <row r="41" spans="1:12" ht="18" customHeight="1" x14ac:dyDescent="0.2">
      <c r="A41" s="21" t="s">
        <v>197</v>
      </c>
      <c r="B41" s="21" t="s">
        <v>201</v>
      </c>
      <c r="C41" s="13">
        <v>30</v>
      </c>
      <c r="D41" s="41" t="s">
        <v>125</v>
      </c>
      <c r="E41" s="12" t="s">
        <v>17</v>
      </c>
      <c r="F41" s="17" t="s">
        <v>6</v>
      </c>
      <c r="G41" s="28" t="s">
        <v>139</v>
      </c>
      <c r="H41" s="105" t="s">
        <v>136</v>
      </c>
      <c r="I41" s="105"/>
      <c r="J41" s="105"/>
      <c r="K41" s="105"/>
      <c r="L41" s="105"/>
    </row>
    <row r="42" spans="1:12" ht="18" customHeight="1" x14ac:dyDescent="0.2">
      <c r="A42" s="21" t="s">
        <v>198</v>
      </c>
      <c r="B42" s="21" t="s">
        <v>202</v>
      </c>
      <c r="C42" s="13">
        <v>40</v>
      </c>
      <c r="D42" s="41" t="s">
        <v>125</v>
      </c>
      <c r="E42" s="12" t="s">
        <v>17</v>
      </c>
      <c r="F42" s="17" t="s">
        <v>6</v>
      </c>
      <c r="G42" s="28" t="s">
        <v>139</v>
      </c>
      <c r="H42" s="105" t="s">
        <v>136</v>
      </c>
      <c r="I42" s="105"/>
      <c r="J42" s="105"/>
      <c r="K42" s="105"/>
      <c r="L42" s="105"/>
    </row>
    <row r="43" spans="1:12" ht="18" customHeight="1" x14ac:dyDescent="0.2">
      <c r="A43" s="21" t="s">
        <v>199</v>
      </c>
      <c r="B43" s="21" t="s">
        <v>203</v>
      </c>
      <c r="C43" s="13">
        <v>200</v>
      </c>
      <c r="D43" s="41" t="s">
        <v>125</v>
      </c>
      <c r="E43" s="12" t="s">
        <v>17</v>
      </c>
      <c r="F43" s="17" t="s">
        <v>6</v>
      </c>
      <c r="G43" s="28" t="s">
        <v>139</v>
      </c>
      <c r="H43" s="105" t="s">
        <v>136</v>
      </c>
      <c r="I43" s="105"/>
      <c r="J43" s="105"/>
      <c r="K43" s="105"/>
      <c r="L43" s="105"/>
    </row>
    <row r="44" spans="1:12" ht="18" customHeight="1" x14ac:dyDescent="0.2">
      <c r="A44" s="21" t="s">
        <v>303</v>
      </c>
      <c r="B44" s="21" t="s">
        <v>306</v>
      </c>
      <c r="C44" s="13">
        <v>4</v>
      </c>
      <c r="D44" s="41" t="s">
        <v>125</v>
      </c>
      <c r="E44" s="12" t="s">
        <v>104</v>
      </c>
      <c r="F44" s="17" t="s">
        <v>6</v>
      </c>
      <c r="G44" s="28" t="s">
        <v>139</v>
      </c>
      <c r="H44" s="105" t="s">
        <v>309</v>
      </c>
      <c r="I44" s="105"/>
      <c r="J44" s="105"/>
      <c r="K44" s="105"/>
      <c r="L44" s="105"/>
    </row>
    <row r="45" spans="1:12" ht="18" customHeight="1" x14ac:dyDescent="0.2">
      <c r="A45" s="21" t="s">
        <v>304</v>
      </c>
      <c r="B45" s="21" t="s">
        <v>307</v>
      </c>
      <c r="C45" s="13">
        <v>4</v>
      </c>
      <c r="D45" s="41" t="s">
        <v>125</v>
      </c>
      <c r="E45" s="12" t="s">
        <v>104</v>
      </c>
      <c r="F45" s="17" t="s">
        <v>6</v>
      </c>
      <c r="G45" s="28" t="s">
        <v>139</v>
      </c>
      <c r="H45" s="105" t="s">
        <v>309</v>
      </c>
      <c r="I45" s="105"/>
      <c r="J45" s="105"/>
      <c r="K45" s="105"/>
      <c r="L45" s="105"/>
    </row>
    <row r="46" spans="1:12" ht="18" customHeight="1" x14ac:dyDescent="0.2">
      <c r="A46" s="21" t="s">
        <v>305</v>
      </c>
      <c r="B46" s="21" t="s">
        <v>308</v>
      </c>
      <c r="C46" s="13">
        <v>4</v>
      </c>
      <c r="D46" s="41" t="s">
        <v>125</v>
      </c>
      <c r="E46" s="12" t="s">
        <v>104</v>
      </c>
      <c r="F46" s="17" t="s">
        <v>6</v>
      </c>
      <c r="G46" s="28" t="s">
        <v>139</v>
      </c>
      <c r="H46" s="105" t="s">
        <v>309</v>
      </c>
      <c r="I46" s="105"/>
      <c r="J46" s="105"/>
      <c r="K46" s="105"/>
      <c r="L46" s="105"/>
    </row>
    <row r="47" spans="1:12" ht="22" customHeight="1" x14ac:dyDescent="0.25">
      <c r="A47" s="108" t="s">
        <v>92</v>
      </c>
      <c r="B47" s="108"/>
      <c r="C47" s="108"/>
      <c r="D47" s="108"/>
      <c r="E47" s="108"/>
      <c r="F47" s="108"/>
      <c r="G47" s="108"/>
      <c r="H47" s="109"/>
      <c r="I47" s="109"/>
      <c r="J47" s="109"/>
      <c r="K47" s="109"/>
      <c r="L47" s="109"/>
    </row>
    <row r="48" spans="1:12" ht="18" customHeight="1" x14ac:dyDescent="0.2">
      <c r="A48" s="23" t="s">
        <v>5</v>
      </c>
      <c r="B48" s="23" t="s">
        <v>96</v>
      </c>
      <c r="C48" s="24" t="s">
        <v>7</v>
      </c>
      <c r="D48" s="43" t="s">
        <v>125</v>
      </c>
      <c r="E48" s="24" t="s">
        <v>8</v>
      </c>
      <c r="F48" s="24" t="s">
        <v>9</v>
      </c>
      <c r="G48" s="31" t="s">
        <v>10</v>
      </c>
      <c r="H48" s="106" t="s">
        <v>11</v>
      </c>
      <c r="I48" s="106"/>
      <c r="J48" s="106"/>
      <c r="K48" s="106"/>
      <c r="L48" s="106"/>
    </row>
    <row r="49" spans="1:12" ht="18" customHeight="1" x14ac:dyDescent="0.2">
      <c r="A49" s="12" t="s">
        <v>28</v>
      </c>
      <c r="B49" s="12" t="s">
        <v>124</v>
      </c>
      <c r="C49" s="13">
        <v>100</v>
      </c>
      <c r="D49" s="41" t="s">
        <v>125</v>
      </c>
      <c r="E49" s="12" t="s">
        <v>29</v>
      </c>
      <c r="F49" s="17" t="s">
        <v>30</v>
      </c>
      <c r="G49" s="29" t="s">
        <v>140</v>
      </c>
      <c r="H49" s="105" t="s">
        <v>140</v>
      </c>
      <c r="I49" s="105"/>
      <c r="J49" s="105"/>
      <c r="K49" s="105"/>
      <c r="L49" s="105"/>
    </row>
    <row r="50" spans="1:12" ht="18" customHeight="1" x14ac:dyDescent="0.2">
      <c r="A50" s="12" t="s">
        <v>34</v>
      </c>
      <c r="B50" s="12" t="s">
        <v>126</v>
      </c>
      <c r="C50" s="13">
        <v>42.17</v>
      </c>
      <c r="D50" s="41" t="s">
        <v>125</v>
      </c>
      <c r="E50" s="12" t="s">
        <v>29</v>
      </c>
      <c r="F50" s="17" t="s">
        <v>30</v>
      </c>
      <c r="G50" s="29" t="s">
        <v>140</v>
      </c>
      <c r="H50" s="105" t="s">
        <v>140</v>
      </c>
      <c r="I50" s="105"/>
      <c r="J50" s="105"/>
      <c r="K50" s="105"/>
      <c r="L50" s="105"/>
    </row>
    <row r="51" spans="1:12" ht="18" customHeight="1" x14ac:dyDescent="0.2">
      <c r="A51" s="12" t="s">
        <v>37</v>
      </c>
      <c r="B51" s="12" t="s">
        <v>127</v>
      </c>
      <c r="C51" s="13">
        <v>29.9</v>
      </c>
      <c r="D51" s="41" t="s">
        <v>125</v>
      </c>
      <c r="E51" s="12" t="s">
        <v>29</v>
      </c>
      <c r="F51" s="17" t="s">
        <v>30</v>
      </c>
      <c r="G51" s="29" t="s">
        <v>140</v>
      </c>
      <c r="H51" s="105" t="s">
        <v>140</v>
      </c>
      <c r="I51" s="105"/>
      <c r="J51" s="105"/>
      <c r="K51" s="105"/>
      <c r="L51" s="105"/>
    </row>
    <row r="52" spans="1:12" ht="18" customHeight="1" x14ac:dyDescent="0.2">
      <c r="A52" s="12" t="s">
        <v>153</v>
      </c>
      <c r="B52" s="12" t="s">
        <v>154</v>
      </c>
      <c r="C52" s="13">
        <v>13</v>
      </c>
      <c r="D52" s="41" t="s">
        <v>125</v>
      </c>
      <c r="E52" s="12" t="s">
        <v>29</v>
      </c>
      <c r="F52" s="17" t="s">
        <v>30</v>
      </c>
      <c r="G52" s="29" t="s">
        <v>140</v>
      </c>
      <c r="H52" s="105" t="s">
        <v>140</v>
      </c>
      <c r="I52" s="105"/>
      <c r="J52" s="105"/>
      <c r="K52" s="105"/>
      <c r="L52" s="105"/>
    </row>
    <row r="53" spans="1:12" ht="18" customHeight="1" x14ac:dyDescent="0.2">
      <c r="A53" s="12" t="s">
        <v>155</v>
      </c>
      <c r="B53" s="12" t="s">
        <v>156</v>
      </c>
      <c r="C53" s="13">
        <v>10</v>
      </c>
      <c r="D53" s="41" t="s">
        <v>125</v>
      </c>
      <c r="E53" s="12" t="s">
        <v>29</v>
      </c>
      <c r="F53" s="17" t="s">
        <v>30</v>
      </c>
      <c r="G53" s="29" t="s">
        <v>140</v>
      </c>
      <c r="H53" s="105" t="s">
        <v>140</v>
      </c>
      <c r="I53" s="105"/>
      <c r="J53" s="105"/>
      <c r="K53" s="105"/>
      <c r="L53" s="105"/>
    </row>
    <row r="54" spans="1:12" ht="18" customHeight="1" x14ac:dyDescent="0.2">
      <c r="A54" s="12" t="s">
        <v>157</v>
      </c>
      <c r="B54" s="12" t="s">
        <v>159</v>
      </c>
      <c r="C54" s="13">
        <v>10</v>
      </c>
      <c r="D54" s="41" t="s">
        <v>125</v>
      </c>
      <c r="E54" s="12" t="s">
        <v>29</v>
      </c>
      <c r="F54" s="17" t="s">
        <v>30</v>
      </c>
      <c r="G54" s="29" t="s">
        <v>140</v>
      </c>
      <c r="H54" s="105" t="s">
        <v>140</v>
      </c>
      <c r="I54" s="105"/>
      <c r="J54" s="105"/>
      <c r="K54" s="105"/>
      <c r="L54" s="105"/>
    </row>
    <row r="55" spans="1:12" ht="18" customHeight="1" x14ac:dyDescent="0.2">
      <c r="A55" s="12" t="s">
        <v>158</v>
      </c>
      <c r="B55" s="12" t="s">
        <v>160</v>
      </c>
      <c r="C55" s="13">
        <v>10</v>
      </c>
      <c r="D55" s="41" t="s">
        <v>125</v>
      </c>
      <c r="E55" s="12" t="s">
        <v>29</v>
      </c>
      <c r="F55" s="17" t="s">
        <v>30</v>
      </c>
      <c r="G55" s="29" t="s">
        <v>140</v>
      </c>
      <c r="H55" s="105" t="s">
        <v>140</v>
      </c>
      <c r="I55" s="105"/>
      <c r="J55" s="105"/>
      <c r="K55" s="105"/>
      <c r="L55" s="105"/>
    </row>
    <row r="56" spans="1:12" ht="18" customHeight="1" x14ac:dyDescent="0.2">
      <c r="A56" s="12" t="s">
        <v>161</v>
      </c>
      <c r="B56" s="12" t="s">
        <v>259</v>
      </c>
      <c r="C56" s="13">
        <v>14</v>
      </c>
      <c r="D56" s="41" t="s">
        <v>125</v>
      </c>
      <c r="E56" s="12" t="s">
        <v>29</v>
      </c>
      <c r="F56" s="17" t="s">
        <v>30</v>
      </c>
      <c r="G56" s="29" t="s">
        <v>140</v>
      </c>
      <c r="H56" s="105" t="s">
        <v>140</v>
      </c>
      <c r="I56" s="105"/>
      <c r="J56" s="105"/>
      <c r="K56" s="105"/>
      <c r="L56" s="105"/>
    </row>
    <row r="57" spans="1:12" ht="18" customHeight="1" x14ac:dyDescent="0.2">
      <c r="A57" s="12" t="s">
        <v>39</v>
      </c>
      <c r="B57" s="12" t="s">
        <v>128</v>
      </c>
      <c r="C57" s="13">
        <v>27.82</v>
      </c>
      <c r="D57" s="41" t="s">
        <v>125</v>
      </c>
      <c r="E57" s="12" t="s">
        <v>29</v>
      </c>
      <c r="F57" s="17" t="s">
        <v>30</v>
      </c>
      <c r="G57" s="29" t="s">
        <v>140</v>
      </c>
      <c r="H57" s="105" t="s">
        <v>140</v>
      </c>
      <c r="I57" s="105"/>
      <c r="J57" s="105"/>
      <c r="K57" s="105"/>
      <c r="L57" s="105"/>
    </row>
    <row r="58" spans="1:12" ht="18" customHeight="1" x14ac:dyDescent="0.2">
      <c r="A58" s="12" t="s">
        <v>41</v>
      </c>
      <c r="B58" s="12" t="s">
        <v>129</v>
      </c>
      <c r="C58" s="13">
        <v>8.5</v>
      </c>
      <c r="D58" s="41" t="s">
        <v>125</v>
      </c>
      <c r="E58" s="12" t="s">
        <v>29</v>
      </c>
      <c r="F58" s="17" t="s">
        <v>30</v>
      </c>
      <c r="G58" s="29" t="s">
        <v>140</v>
      </c>
      <c r="H58" s="105" t="s">
        <v>140</v>
      </c>
      <c r="I58" s="105"/>
      <c r="J58" s="105"/>
      <c r="K58" s="105"/>
      <c r="L58" s="105"/>
    </row>
    <row r="59" spans="1:12" ht="18" customHeight="1" x14ac:dyDescent="0.2">
      <c r="A59" s="12" t="s">
        <v>93</v>
      </c>
      <c r="B59" s="12" t="s">
        <v>130</v>
      </c>
      <c r="C59" s="13">
        <v>25</v>
      </c>
      <c r="D59" s="41" t="s">
        <v>125</v>
      </c>
      <c r="E59" s="12" t="s">
        <v>29</v>
      </c>
      <c r="F59" s="17" t="s">
        <v>30</v>
      </c>
      <c r="G59" s="29" t="s">
        <v>140</v>
      </c>
      <c r="H59" s="105" t="s">
        <v>140</v>
      </c>
      <c r="I59" s="105"/>
      <c r="J59" s="105"/>
      <c r="K59" s="105"/>
      <c r="L59" s="105"/>
    </row>
    <row r="60" spans="1:12" ht="18" customHeight="1" x14ac:dyDescent="0.2">
      <c r="A60" s="12" t="s">
        <v>94</v>
      </c>
      <c r="B60" s="12" t="s">
        <v>131</v>
      </c>
      <c r="C60" s="13">
        <f>C58+(2*C7)</f>
        <v>68.644000000000005</v>
      </c>
      <c r="D60" s="41" t="s">
        <v>125</v>
      </c>
      <c r="E60" s="12" t="s">
        <v>29</v>
      </c>
      <c r="F60" s="12" t="s">
        <v>95</v>
      </c>
      <c r="G60" s="29" t="s">
        <v>140</v>
      </c>
      <c r="H60" s="105" t="s">
        <v>140</v>
      </c>
      <c r="I60" s="105"/>
      <c r="J60" s="105"/>
      <c r="K60" s="105"/>
      <c r="L60" s="105"/>
    </row>
    <row r="61" spans="1:12" s="26" customFormat="1" ht="18" customHeight="1" x14ac:dyDescent="0.2">
      <c r="A61" s="12" t="s">
        <v>356</v>
      </c>
      <c r="B61" s="12" t="s">
        <v>357</v>
      </c>
      <c r="C61" s="12">
        <f>(C58/2)^2*PI()*C50</f>
        <v>2392.9373797714861</v>
      </c>
      <c r="D61" s="41" t="s">
        <v>125</v>
      </c>
      <c r="E61" s="12" t="s">
        <v>222</v>
      </c>
      <c r="F61" s="12" t="s">
        <v>48</v>
      </c>
      <c r="G61" s="29" t="s">
        <v>361</v>
      </c>
      <c r="H61" s="105"/>
      <c r="I61" s="105"/>
      <c r="J61" s="105"/>
      <c r="K61" s="105"/>
      <c r="L61" s="105"/>
    </row>
    <row r="62" spans="1:12" s="12" customFormat="1" ht="18" customHeight="1" x14ac:dyDescent="0.2">
      <c r="A62" s="12" t="s">
        <v>359</v>
      </c>
      <c r="B62" s="12" t="s">
        <v>358</v>
      </c>
      <c r="C62" s="12">
        <f>PI()*(C58/2)^2*C51</f>
        <v>1696.6760174334224</v>
      </c>
      <c r="D62" s="41" t="s">
        <v>125</v>
      </c>
      <c r="E62" s="12" t="s">
        <v>360</v>
      </c>
      <c r="G62" s="29" t="s">
        <v>362</v>
      </c>
      <c r="H62" s="105"/>
      <c r="I62" s="105"/>
      <c r="J62" s="105"/>
      <c r="K62" s="105"/>
      <c r="L62" s="105"/>
    </row>
    <row r="63" spans="1:12" ht="22" customHeight="1" x14ac:dyDescent="0.25">
      <c r="A63" s="108" t="s">
        <v>462</v>
      </c>
      <c r="B63" s="108"/>
      <c r="C63" s="108"/>
      <c r="D63" s="108"/>
      <c r="E63" s="108"/>
      <c r="F63" s="108"/>
      <c r="G63" s="108"/>
      <c r="H63" s="109"/>
      <c r="I63" s="109"/>
      <c r="J63" s="109"/>
      <c r="K63" s="109"/>
      <c r="L63" s="109"/>
    </row>
    <row r="64" spans="1:12" s="26" customFormat="1" ht="18" customHeight="1" x14ac:dyDescent="0.2">
      <c r="A64" s="23" t="s">
        <v>5</v>
      </c>
      <c r="B64" s="23" t="s">
        <v>96</v>
      </c>
      <c r="C64" s="40" t="s">
        <v>7</v>
      </c>
      <c r="D64" s="43" t="s">
        <v>125</v>
      </c>
      <c r="E64" s="40" t="s">
        <v>8</v>
      </c>
      <c r="F64" s="40" t="s">
        <v>9</v>
      </c>
      <c r="G64" s="31" t="s">
        <v>10</v>
      </c>
      <c r="H64" s="106" t="s">
        <v>11</v>
      </c>
      <c r="I64" s="106"/>
      <c r="J64" s="106"/>
      <c r="K64" s="106"/>
      <c r="L64" s="106"/>
    </row>
    <row r="65" spans="1:12" s="39" customFormat="1" ht="18" customHeight="1" x14ac:dyDescent="0.2">
      <c r="A65" s="39" t="s">
        <v>463</v>
      </c>
      <c r="B65" s="39" t="s">
        <v>467</v>
      </c>
      <c r="C65" s="13">
        <f xml:space="preserve"> C4</f>
        <v>72445</v>
      </c>
      <c r="D65" s="41" t="s">
        <v>125</v>
      </c>
      <c r="E65" s="39" t="s">
        <v>223</v>
      </c>
      <c r="F65" s="39" t="s">
        <v>6</v>
      </c>
      <c r="G65" s="29" t="s">
        <v>474</v>
      </c>
      <c r="H65" s="105" t="s">
        <v>309</v>
      </c>
      <c r="I65" s="105"/>
      <c r="J65" s="105"/>
      <c r="K65" s="105"/>
      <c r="L65" s="105"/>
    </row>
    <row r="66" spans="1:12" s="39" customFormat="1" ht="18" customHeight="1" x14ac:dyDescent="0.2">
      <c r="A66" s="39" t="s">
        <v>464</v>
      </c>
      <c r="B66" s="39" t="s">
        <v>468</v>
      </c>
      <c r="C66" s="45">
        <f>C65-C27+C28</f>
        <v>62362.029525069192</v>
      </c>
      <c r="D66" s="41" t="s">
        <v>125</v>
      </c>
      <c r="E66" s="39" t="s">
        <v>223</v>
      </c>
      <c r="F66" s="39" t="s">
        <v>6</v>
      </c>
      <c r="G66" s="29" t="s">
        <v>475</v>
      </c>
      <c r="H66" s="105" t="s">
        <v>309</v>
      </c>
      <c r="I66" s="105"/>
      <c r="J66" s="105"/>
      <c r="K66" s="105"/>
      <c r="L66" s="105"/>
    </row>
    <row r="67" spans="1:12" s="39" customFormat="1" ht="18" customHeight="1" x14ac:dyDescent="0.2">
      <c r="A67" s="39" t="s">
        <v>465</v>
      </c>
      <c r="B67" s="39" t="s">
        <v>473</v>
      </c>
      <c r="C67" s="39">
        <f>C65-13*C43</f>
        <v>69845</v>
      </c>
      <c r="D67" s="41" t="s">
        <v>125</v>
      </c>
      <c r="E67" s="39" t="s">
        <v>223</v>
      </c>
      <c r="F67" s="39" t="s">
        <v>6</v>
      </c>
      <c r="G67" s="29" t="s">
        <v>476</v>
      </c>
      <c r="H67" s="105" t="s">
        <v>309</v>
      </c>
      <c r="I67" s="105"/>
      <c r="J67" s="105"/>
      <c r="K67" s="105"/>
      <c r="L67" s="105"/>
    </row>
    <row r="68" spans="1:12" s="39" customFormat="1" ht="18" customHeight="1" x14ac:dyDescent="0.2">
      <c r="A68" s="39" t="s">
        <v>466</v>
      </c>
      <c r="B68" s="39" t="s">
        <v>473</v>
      </c>
      <c r="C68" s="39">
        <f>C66-13*C43</f>
        <v>59762.029525069192</v>
      </c>
      <c r="D68" s="41" t="s">
        <v>125</v>
      </c>
      <c r="E68" s="39" t="s">
        <v>223</v>
      </c>
      <c r="F68" s="39" t="s">
        <v>6</v>
      </c>
      <c r="G68" s="29" t="s">
        <v>477</v>
      </c>
      <c r="H68" s="105" t="s">
        <v>309</v>
      </c>
      <c r="I68" s="105"/>
      <c r="J68" s="105"/>
      <c r="K68" s="105"/>
      <c r="L68" s="105"/>
    </row>
  </sheetData>
  <mergeCells count="68">
    <mergeCell ref="H58:L58"/>
    <mergeCell ref="H59:L59"/>
    <mergeCell ref="H60:L60"/>
    <mergeCell ref="H41:L41"/>
    <mergeCell ref="H42:L42"/>
    <mergeCell ref="H43:L43"/>
    <mergeCell ref="H57:L57"/>
    <mergeCell ref="H50:L50"/>
    <mergeCell ref="H51:L51"/>
    <mergeCell ref="H52:L52"/>
    <mergeCell ref="H53:L53"/>
    <mergeCell ref="H54:L54"/>
    <mergeCell ref="H55:L55"/>
    <mergeCell ref="H56:L56"/>
    <mergeCell ref="H68:L68"/>
    <mergeCell ref="H61:L61"/>
    <mergeCell ref="H62:L62"/>
    <mergeCell ref="A63:L63"/>
    <mergeCell ref="H64:L64"/>
    <mergeCell ref="H65:L65"/>
    <mergeCell ref="H66:L66"/>
    <mergeCell ref="H67:L67"/>
    <mergeCell ref="H18:L18"/>
    <mergeCell ref="H19:L19"/>
    <mergeCell ref="H21:L21"/>
    <mergeCell ref="H40:L40"/>
    <mergeCell ref="H32:L32"/>
    <mergeCell ref="H33:L33"/>
    <mergeCell ref="H34:L34"/>
    <mergeCell ref="H22:L22"/>
    <mergeCell ref="H23:L23"/>
    <mergeCell ref="H24:L24"/>
    <mergeCell ref="H36:L36"/>
    <mergeCell ref="H37:L37"/>
    <mergeCell ref="H26:L26"/>
    <mergeCell ref="H39:L39"/>
    <mergeCell ref="H9:L9"/>
    <mergeCell ref="H49:L49"/>
    <mergeCell ref="H46:L46"/>
    <mergeCell ref="A25:L25"/>
    <mergeCell ref="A31:L31"/>
    <mergeCell ref="A47:L47"/>
    <mergeCell ref="H38:L38"/>
    <mergeCell ref="H27:L27"/>
    <mergeCell ref="H29:L29"/>
    <mergeCell ref="H30:L30"/>
    <mergeCell ref="H48:L48"/>
    <mergeCell ref="H35:L35"/>
    <mergeCell ref="H44:L44"/>
    <mergeCell ref="H45:L45"/>
    <mergeCell ref="H28:L28"/>
    <mergeCell ref="H17:L17"/>
    <mergeCell ref="A1:L1"/>
    <mergeCell ref="H20:L20"/>
    <mergeCell ref="H6:L6"/>
    <mergeCell ref="H7:L7"/>
    <mergeCell ref="H8:L8"/>
    <mergeCell ref="H3:L3"/>
    <mergeCell ref="H4:L4"/>
    <mergeCell ref="H5:L5"/>
    <mergeCell ref="H14:L14"/>
    <mergeCell ref="H10:L10"/>
    <mergeCell ref="H11:L11"/>
    <mergeCell ref="H12:L12"/>
    <mergeCell ref="H13:L13"/>
    <mergeCell ref="H2:L2"/>
    <mergeCell ref="H15:L15"/>
    <mergeCell ref="H16:L16"/>
  </mergeCells>
  <hyperlinks>
    <hyperlink ref="H15" r:id="rId1" display="http://www.fighter-planes.com/jetmach1.htm"/>
    <hyperlink ref="H17" r:id="rId2"/>
    <hyperlink ref="H18" r:id="rId3"/>
    <hyperlink ref="H19" r:id="rId4"/>
  </hyperlinks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R109"/>
  <sheetViews>
    <sheetView zoomScale="90" zoomScaleNormal="90" zoomScalePageLayoutView="90" workbookViewId="0">
      <selection activeCell="A42" sqref="A42"/>
    </sheetView>
  </sheetViews>
  <sheetFormatPr baseColWidth="10" defaultColWidth="15.1640625" defaultRowHeight="18" customHeight="1" x14ac:dyDescent="0.2"/>
  <cols>
    <col min="1" max="1" width="51" style="12" customWidth="1"/>
    <col min="2" max="2" width="19.33203125" style="12" customWidth="1"/>
    <col min="3" max="3" width="15.1640625" style="12"/>
    <col min="4" max="4" width="5.83203125" style="57" customWidth="1"/>
    <col min="5" max="5" width="2" style="12" customWidth="1"/>
    <col min="6" max="6" width="15.1640625" style="12"/>
    <col min="7" max="7" width="40" style="12" customWidth="1"/>
    <col min="8" max="8" width="38.6640625" style="29" customWidth="1"/>
    <col min="9" max="13" width="15.1640625" style="12"/>
    <col min="14" max="14" width="3.5" style="12" customWidth="1"/>
    <col min="15" max="15" width="20.33203125" style="12" customWidth="1"/>
    <col min="16" max="16" width="22.6640625" style="12" customWidth="1"/>
    <col min="17" max="17" width="23.33203125" style="12" customWidth="1"/>
    <col min="18" max="18" width="22.33203125" style="12" customWidth="1"/>
    <col min="19" max="16384" width="15.1640625" style="12"/>
  </cols>
  <sheetData>
    <row r="1" spans="1:18" ht="22" customHeight="1" x14ac:dyDescent="0.2">
      <c r="A1" s="113" t="s">
        <v>162</v>
      </c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5"/>
      <c r="O1" s="53" t="s">
        <v>497</v>
      </c>
      <c r="P1" s="53" t="s">
        <v>498</v>
      </c>
      <c r="Q1" s="53" t="s">
        <v>499</v>
      </c>
      <c r="R1" s="53" t="s">
        <v>498</v>
      </c>
    </row>
    <row r="2" spans="1:18" ht="18" customHeight="1" x14ac:dyDescent="0.2">
      <c r="A2" s="23" t="s">
        <v>5</v>
      </c>
      <c r="B2" s="23" t="s">
        <v>96</v>
      </c>
      <c r="C2" s="54" t="s">
        <v>7</v>
      </c>
      <c r="D2" s="58"/>
      <c r="E2" s="24" t="s">
        <v>125</v>
      </c>
      <c r="F2" s="24" t="s">
        <v>8</v>
      </c>
      <c r="G2" s="24" t="s">
        <v>9</v>
      </c>
      <c r="H2" s="31" t="s">
        <v>10</v>
      </c>
      <c r="I2" s="106" t="s">
        <v>11</v>
      </c>
      <c r="J2" s="106"/>
      <c r="K2" s="106"/>
      <c r="L2" s="106"/>
      <c r="M2" s="106"/>
      <c r="O2" s="13">
        <f>0.5*'Initial Estimates'!$C$49</f>
        <v>50</v>
      </c>
      <c r="P2" s="13">
        <f>0.5*'Initial Estimates'!$C$49</f>
        <v>50</v>
      </c>
      <c r="Q2" s="13"/>
      <c r="R2" s="13">
        <f>0.6*'Initial Estimates'!$C$49</f>
        <v>60</v>
      </c>
    </row>
    <row r="3" spans="1:18" ht="18" customHeight="1" x14ac:dyDescent="0.2">
      <c r="A3" s="12" t="s">
        <v>163</v>
      </c>
      <c r="B3" s="12" t="s">
        <v>166</v>
      </c>
      <c r="C3" s="55">
        <v>68</v>
      </c>
      <c r="D3" s="55" t="s">
        <v>515</v>
      </c>
      <c r="E3" s="13" t="s">
        <v>125</v>
      </c>
      <c r="F3" s="12" t="s">
        <v>29</v>
      </c>
      <c r="G3" s="12" t="s">
        <v>461</v>
      </c>
      <c r="H3" s="29" t="s">
        <v>167</v>
      </c>
      <c r="I3" s="105" t="s">
        <v>15</v>
      </c>
      <c r="J3" s="105"/>
      <c r="K3" s="105"/>
      <c r="L3" s="105"/>
      <c r="M3" s="105"/>
      <c r="O3" s="13">
        <f>0.9*'Initial Estimates'!$C$49</f>
        <v>90</v>
      </c>
      <c r="P3" s="13">
        <f>0.6*'Initial Estimates'!$C$49</f>
        <v>60</v>
      </c>
      <c r="Q3" s="13"/>
      <c r="R3" s="13">
        <f>0.6*'Initial Estimates'!$C$49</f>
        <v>60</v>
      </c>
    </row>
    <row r="4" spans="1:18" ht="18" customHeight="1" x14ac:dyDescent="0.2">
      <c r="A4" s="15" t="s">
        <v>164</v>
      </c>
      <c r="B4" s="15" t="s">
        <v>165</v>
      </c>
      <c r="C4" s="55">
        <v>40</v>
      </c>
      <c r="D4" s="55"/>
      <c r="E4" s="13" t="s">
        <v>125</v>
      </c>
      <c r="F4" s="12" t="s">
        <v>29</v>
      </c>
      <c r="G4" s="12" t="s">
        <v>14</v>
      </c>
      <c r="H4" s="29" t="s">
        <v>167</v>
      </c>
      <c r="I4" s="105" t="s">
        <v>15</v>
      </c>
      <c r="J4" s="105"/>
      <c r="K4" s="105"/>
      <c r="L4" s="105"/>
      <c r="M4" s="105"/>
      <c r="O4" s="13">
        <f>O3</f>
        <v>90</v>
      </c>
      <c r="P4" s="13">
        <f>P3</f>
        <v>60</v>
      </c>
      <c r="Q4" s="13"/>
      <c r="R4" s="13">
        <f>R3</f>
        <v>60</v>
      </c>
    </row>
    <row r="5" spans="1:18" ht="18" customHeight="1" x14ac:dyDescent="0.2">
      <c r="A5" s="18" t="s">
        <v>168</v>
      </c>
      <c r="B5" s="12" t="s">
        <v>169</v>
      </c>
      <c r="C5" s="55">
        <f>C4</f>
        <v>40</v>
      </c>
      <c r="D5" s="55"/>
      <c r="E5" s="13" t="s">
        <v>125</v>
      </c>
      <c r="F5" s="12" t="s">
        <v>29</v>
      </c>
      <c r="G5" s="12" t="s">
        <v>14</v>
      </c>
      <c r="H5" s="29" t="s">
        <v>167</v>
      </c>
      <c r="I5" s="105" t="s">
        <v>15</v>
      </c>
      <c r="J5" s="105"/>
      <c r="K5" s="105"/>
      <c r="L5" s="105"/>
      <c r="M5" s="105"/>
      <c r="O5" s="13">
        <f>0.04*'Initial Estimates'!$C$49</f>
        <v>4</v>
      </c>
      <c r="P5" s="13">
        <f>0.04*'Initial Estimates'!$C$49</f>
        <v>4</v>
      </c>
      <c r="Q5" s="13"/>
      <c r="R5" s="13">
        <f>0.04*'Initial Estimates'!$C$49</f>
        <v>4</v>
      </c>
    </row>
    <row r="6" spans="1:18" ht="18" customHeight="1" x14ac:dyDescent="0.2">
      <c r="A6" s="12" t="s">
        <v>170</v>
      </c>
      <c r="B6" s="12" t="s">
        <v>171</v>
      </c>
      <c r="C6" s="55">
        <v>3.6</v>
      </c>
      <c r="D6" s="55"/>
      <c r="E6" s="13" t="s">
        <v>125</v>
      </c>
      <c r="F6" s="12" t="s">
        <v>29</v>
      </c>
      <c r="G6" s="12" t="s">
        <v>14</v>
      </c>
      <c r="H6" s="29" t="s">
        <v>167</v>
      </c>
      <c r="I6" s="105" t="s">
        <v>15</v>
      </c>
      <c r="J6" s="105"/>
      <c r="K6" s="105"/>
      <c r="L6" s="105"/>
      <c r="M6" s="105"/>
      <c r="O6" s="13">
        <f>0.8*'Initial Estimates'!$C$49</f>
        <v>80</v>
      </c>
      <c r="P6" s="13">
        <f>0.45*'Initial Estimates'!$C$49</f>
        <v>45</v>
      </c>
      <c r="Q6" s="13"/>
      <c r="R6" s="13">
        <f>0.45*'Initial Estimates'!$C$49</f>
        <v>45</v>
      </c>
    </row>
    <row r="7" spans="1:18" ht="18" customHeight="1" x14ac:dyDescent="0.2">
      <c r="A7" s="12" t="s">
        <v>172</v>
      </c>
      <c r="B7" s="12" t="s">
        <v>173</v>
      </c>
      <c r="C7" s="55">
        <v>40.5</v>
      </c>
      <c r="D7" s="55"/>
      <c r="E7" s="13" t="s">
        <v>125</v>
      </c>
      <c r="F7" s="12" t="s">
        <v>29</v>
      </c>
      <c r="G7" s="12" t="s">
        <v>14</v>
      </c>
      <c r="H7" s="29" t="s">
        <v>167</v>
      </c>
      <c r="I7" s="105" t="s">
        <v>15</v>
      </c>
      <c r="J7" s="105"/>
      <c r="K7" s="105"/>
      <c r="L7" s="105"/>
      <c r="M7" s="105"/>
      <c r="O7" s="13">
        <f>0.15*'Initial Estimates'!$C$49</f>
        <v>15</v>
      </c>
      <c r="P7" s="13">
        <f>0.15*'Initial Estimates'!$C$49</f>
        <v>15</v>
      </c>
      <c r="Q7" s="13"/>
      <c r="R7" s="13">
        <f>0.15*'Initial Estimates'!$C$49</f>
        <v>15</v>
      </c>
    </row>
    <row r="8" spans="1:18" ht="18" customHeight="1" x14ac:dyDescent="0.2">
      <c r="A8" s="12" t="s">
        <v>174</v>
      </c>
      <c r="B8" s="12" t="s">
        <v>175</v>
      </c>
      <c r="C8" s="55">
        <f>'Initial Estimates'!C57</f>
        <v>27.82</v>
      </c>
      <c r="D8" s="55"/>
      <c r="E8" s="13" t="s">
        <v>125</v>
      </c>
      <c r="F8" s="12" t="s">
        <v>29</v>
      </c>
      <c r="G8" s="12" t="s">
        <v>14</v>
      </c>
      <c r="H8" s="29" t="s">
        <v>167</v>
      </c>
      <c r="I8" s="105" t="s">
        <v>15</v>
      </c>
      <c r="J8" s="105"/>
      <c r="K8" s="105"/>
      <c r="L8" s="105"/>
      <c r="M8" s="105"/>
      <c r="O8" s="49">
        <f xml:space="preserve"> 'Initial Estimates'!$C$57+'Initial Estimates'!$C$50</f>
        <v>69.990000000000009</v>
      </c>
      <c r="P8" s="49">
        <f xml:space="preserve"> 'Initial Estimates'!$C$57+'Initial Estimates'!$C$50</f>
        <v>69.990000000000009</v>
      </c>
      <c r="Q8" s="49"/>
      <c r="R8" s="49">
        <f xml:space="preserve"> 'Initial Estimates'!$C$57+'Initial Estimates'!$C$50</f>
        <v>69.990000000000009</v>
      </c>
    </row>
    <row r="9" spans="1:18" ht="18" customHeight="1" x14ac:dyDescent="0.2">
      <c r="A9" s="12" t="s">
        <v>176</v>
      </c>
      <c r="B9" s="12" t="s">
        <v>177</v>
      </c>
      <c r="C9" s="55">
        <f>C8+'Initial Estimates'!C50</f>
        <v>69.990000000000009</v>
      </c>
      <c r="D9" s="55"/>
      <c r="E9" s="13" t="s">
        <v>125</v>
      </c>
      <c r="F9" s="12" t="s">
        <v>29</v>
      </c>
      <c r="G9" s="12" t="s">
        <v>14</v>
      </c>
      <c r="H9" s="29" t="s">
        <v>167</v>
      </c>
      <c r="I9" s="105" t="s">
        <v>15</v>
      </c>
      <c r="J9" s="105"/>
      <c r="K9" s="105"/>
      <c r="L9" s="105"/>
      <c r="M9" s="105"/>
      <c r="O9" s="13">
        <f>0.9*'Initial Estimates'!$C$49</f>
        <v>90</v>
      </c>
      <c r="P9" s="13">
        <f>0.9*'Initial Estimates'!$C$49</f>
        <v>90</v>
      </c>
      <c r="Q9" s="13"/>
      <c r="R9" s="13">
        <f>0.9*'Initial Estimates'!$C$49</f>
        <v>90</v>
      </c>
    </row>
    <row r="10" spans="1:18" ht="18" customHeight="1" x14ac:dyDescent="0.2">
      <c r="A10" s="12" t="s">
        <v>178</v>
      </c>
      <c r="B10" s="12" t="s">
        <v>179</v>
      </c>
      <c r="C10" s="55">
        <v>81</v>
      </c>
      <c r="D10" s="55"/>
      <c r="E10" s="13" t="s">
        <v>125</v>
      </c>
      <c r="F10" s="12" t="s">
        <v>29</v>
      </c>
      <c r="G10" s="12" t="s">
        <v>14</v>
      </c>
      <c r="H10" s="29" t="s">
        <v>167</v>
      </c>
      <c r="I10" s="105" t="s">
        <v>15</v>
      </c>
      <c r="J10" s="105"/>
      <c r="K10" s="105"/>
      <c r="L10" s="105"/>
      <c r="M10" s="105"/>
      <c r="O10" s="13">
        <f>0.9*'Initial Estimates'!$C$49</f>
        <v>90</v>
      </c>
      <c r="P10" s="13">
        <f>0.9*'Initial Estimates'!$C$49</f>
        <v>90</v>
      </c>
      <c r="Q10" s="13"/>
      <c r="R10" s="13">
        <f>0.9*'Initial Estimates'!$C$49</f>
        <v>90</v>
      </c>
    </row>
    <row r="11" spans="1:18" ht="18" customHeight="1" x14ac:dyDescent="0.2">
      <c r="A11" s="12" t="s">
        <v>180</v>
      </c>
      <c r="B11" s="12" t="s">
        <v>181</v>
      </c>
      <c r="C11" s="55">
        <v>81</v>
      </c>
      <c r="D11" s="55"/>
      <c r="E11" s="13" t="s">
        <v>125</v>
      </c>
      <c r="F11" s="12" t="s">
        <v>29</v>
      </c>
      <c r="G11" s="12" t="s">
        <v>14</v>
      </c>
      <c r="H11" s="29" t="s">
        <v>167</v>
      </c>
      <c r="I11" s="105" t="s">
        <v>15</v>
      </c>
      <c r="J11" s="105"/>
      <c r="K11" s="105"/>
      <c r="L11" s="105"/>
      <c r="M11" s="105"/>
      <c r="O11" s="13">
        <f>0.05*'Initial Estimates'!$C$49</f>
        <v>5</v>
      </c>
      <c r="P11" s="13">
        <f>0.05*'Initial Estimates'!$C$49</f>
        <v>5</v>
      </c>
      <c r="Q11" s="13"/>
      <c r="R11" s="13">
        <f>0.05*'Initial Estimates'!$C$49</f>
        <v>5</v>
      </c>
    </row>
    <row r="12" spans="1:18" ht="18" customHeight="1" x14ac:dyDescent="0.2">
      <c r="A12" s="12" t="s">
        <v>182</v>
      </c>
      <c r="B12" s="12" t="s">
        <v>183</v>
      </c>
      <c r="C12" s="13">
        <f>0.05*'Initial Estimates'!$C$49</f>
        <v>5</v>
      </c>
      <c r="D12" s="13"/>
      <c r="E12" s="13" t="s">
        <v>125</v>
      </c>
      <c r="F12" s="12" t="s">
        <v>29</v>
      </c>
      <c r="G12" s="12" t="s">
        <v>14</v>
      </c>
      <c r="H12" s="29" t="s">
        <v>167</v>
      </c>
      <c r="I12" s="105" t="s">
        <v>15</v>
      </c>
      <c r="J12" s="105"/>
      <c r="K12" s="105"/>
      <c r="L12" s="105"/>
      <c r="M12" s="105"/>
      <c r="O12" s="13">
        <f>0.15*'Initial Estimates'!$C$49</f>
        <v>15</v>
      </c>
      <c r="P12" s="13">
        <f>0.15*'Initial Estimates'!$C$49</f>
        <v>15</v>
      </c>
      <c r="Q12" s="13"/>
      <c r="R12" s="13">
        <f>0.15*'Initial Estimates'!$C$49</f>
        <v>15</v>
      </c>
    </row>
    <row r="13" spans="1:18" ht="18" customHeight="1" x14ac:dyDescent="0.2">
      <c r="A13" s="12" t="s">
        <v>184</v>
      </c>
      <c r="B13" s="12" t="s">
        <v>185</v>
      </c>
      <c r="C13" s="13">
        <f>0.15*'Initial Estimates'!$C$49</f>
        <v>15</v>
      </c>
      <c r="D13" s="13"/>
      <c r="E13" s="13" t="s">
        <v>125</v>
      </c>
      <c r="F13" s="12" t="s">
        <v>29</v>
      </c>
      <c r="G13" s="12" t="s">
        <v>14</v>
      </c>
      <c r="H13" s="29" t="s">
        <v>167</v>
      </c>
      <c r="I13" s="105" t="s">
        <v>15</v>
      </c>
      <c r="J13" s="105"/>
      <c r="K13" s="105"/>
      <c r="L13" s="105"/>
      <c r="M13" s="105"/>
      <c r="O13" s="13">
        <f>0.3*'Initial Estimates'!$C$49</f>
        <v>30</v>
      </c>
      <c r="P13" s="13">
        <f>0.3*'Initial Estimates'!$C$49</f>
        <v>30</v>
      </c>
      <c r="Q13" s="13"/>
      <c r="R13" s="13">
        <f>0.3*'Initial Estimates'!$C$49</f>
        <v>30</v>
      </c>
    </row>
    <row r="14" spans="1:18" ht="18" customHeight="1" x14ac:dyDescent="0.2">
      <c r="A14" s="12" t="s">
        <v>186</v>
      </c>
      <c r="B14" s="12" t="s">
        <v>189</v>
      </c>
      <c r="C14" s="13">
        <f>0.24*'Initial Estimates'!$C$49</f>
        <v>24</v>
      </c>
      <c r="D14" s="13"/>
      <c r="E14" s="13" t="s">
        <v>125</v>
      </c>
      <c r="F14" s="12" t="s">
        <v>29</v>
      </c>
      <c r="G14" s="12" t="s">
        <v>14</v>
      </c>
      <c r="H14" s="29" t="s">
        <v>167</v>
      </c>
      <c r="I14" s="105" t="s">
        <v>15</v>
      </c>
      <c r="J14" s="105"/>
      <c r="K14" s="105"/>
      <c r="L14" s="105"/>
      <c r="M14" s="105"/>
      <c r="O14" s="13">
        <f>0.413*'Initial Estimates'!$C$49</f>
        <v>41.3</v>
      </c>
      <c r="P14" s="13">
        <f>0.413*'Initial Estimates'!$C$49</f>
        <v>41.3</v>
      </c>
      <c r="Q14" s="13"/>
      <c r="R14" s="13">
        <f>0.413*'Initial Estimates'!$C$49</f>
        <v>41.3</v>
      </c>
    </row>
    <row r="15" spans="1:18" ht="18" customHeight="1" x14ac:dyDescent="0.2">
      <c r="A15" s="12" t="s">
        <v>187</v>
      </c>
      <c r="B15" s="12" t="s">
        <v>190</v>
      </c>
      <c r="C15" s="13">
        <f>0.36*'Initial Estimates'!$C$49</f>
        <v>36</v>
      </c>
      <c r="D15" s="13"/>
      <c r="E15" s="13" t="s">
        <v>125</v>
      </c>
      <c r="F15" s="12" t="s">
        <v>29</v>
      </c>
      <c r="G15" s="12" t="s">
        <v>14</v>
      </c>
      <c r="H15" s="29" t="s">
        <v>167</v>
      </c>
      <c r="I15" s="105" t="s">
        <v>15</v>
      </c>
      <c r="J15" s="105"/>
      <c r="K15" s="105"/>
      <c r="L15" s="105"/>
      <c r="M15" s="105"/>
      <c r="O15" s="13">
        <f>0.526*'Initial Estimates'!$C$49</f>
        <v>52.6</v>
      </c>
      <c r="P15" s="13">
        <f>0.526*'Initial Estimates'!$C$49</f>
        <v>52.6</v>
      </c>
      <c r="Q15" s="13"/>
      <c r="R15" s="13">
        <f>0.526*'Initial Estimates'!$C$49</f>
        <v>52.6</v>
      </c>
    </row>
    <row r="16" spans="1:18" ht="18" customHeight="1" x14ac:dyDescent="0.2">
      <c r="A16" s="12" t="s">
        <v>188</v>
      </c>
      <c r="B16" s="12" t="s">
        <v>191</v>
      </c>
      <c r="C16" s="13">
        <f>0.475*'Initial Estimates'!$C$49</f>
        <v>47.5</v>
      </c>
      <c r="D16" s="13"/>
      <c r="E16" s="13" t="s">
        <v>125</v>
      </c>
      <c r="F16" s="12" t="s">
        <v>29</v>
      </c>
      <c r="G16" s="12" t="s">
        <v>14</v>
      </c>
      <c r="H16" s="29" t="s">
        <v>167</v>
      </c>
      <c r="I16" s="105" t="s">
        <v>15</v>
      </c>
      <c r="J16" s="105"/>
      <c r="K16" s="105"/>
      <c r="L16" s="105"/>
      <c r="M16" s="105"/>
    </row>
    <row r="17" spans="1:16" ht="22" customHeight="1" x14ac:dyDescent="0.2">
      <c r="A17" s="113" t="s">
        <v>217</v>
      </c>
      <c r="B17" s="114"/>
      <c r="C17" s="114"/>
      <c r="D17" s="114"/>
      <c r="E17" s="114"/>
      <c r="F17" s="114"/>
      <c r="G17" s="114"/>
      <c r="H17" s="114"/>
      <c r="I17" s="114"/>
      <c r="J17" s="114"/>
      <c r="K17" s="114"/>
      <c r="L17" s="114"/>
      <c r="M17" s="115"/>
    </row>
    <row r="18" spans="1:16" ht="18" customHeight="1" x14ac:dyDescent="0.2">
      <c r="A18" s="23" t="s">
        <v>5</v>
      </c>
      <c r="B18" s="23" t="s">
        <v>96</v>
      </c>
      <c r="C18" s="24" t="s">
        <v>7</v>
      </c>
      <c r="D18" s="58"/>
      <c r="E18" s="24" t="s">
        <v>125</v>
      </c>
      <c r="F18" s="24" t="s">
        <v>8</v>
      </c>
      <c r="G18" s="24" t="s">
        <v>9</v>
      </c>
      <c r="H18" s="31" t="s">
        <v>10</v>
      </c>
      <c r="I18" s="106" t="s">
        <v>11</v>
      </c>
      <c r="J18" s="106"/>
      <c r="K18" s="106"/>
      <c r="L18" s="106"/>
      <c r="M18" s="106"/>
    </row>
    <row r="19" spans="1:16" ht="18" customHeight="1" x14ac:dyDescent="0.2">
      <c r="A19" s="12" t="s">
        <v>204</v>
      </c>
      <c r="B19" s="12" t="s">
        <v>205</v>
      </c>
      <c r="C19" s="13">
        <f>C3 + ((1 - 0.8037)*'Initial Estimates'!C8)</f>
        <v>73.903133600000004</v>
      </c>
      <c r="D19" s="13"/>
      <c r="E19" s="13" t="s">
        <v>125</v>
      </c>
      <c r="F19" s="12" t="s">
        <v>29</v>
      </c>
      <c r="G19" s="12" t="s">
        <v>14</v>
      </c>
      <c r="H19" s="30" t="s">
        <v>206</v>
      </c>
      <c r="I19" s="105" t="s">
        <v>207</v>
      </c>
      <c r="J19" s="105"/>
      <c r="K19" s="105"/>
      <c r="L19" s="105"/>
      <c r="M19" s="105"/>
    </row>
    <row r="20" spans="1:16" ht="18" customHeight="1" x14ac:dyDescent="0.2">
      <c r="A20" s="12" t="s">
        <v>208</v>
      </c>
      <c r="B20" s="12" t="s">
        <v>209</v>
      </c>
      <c r="C20" s="12">
        <f>C3+0.7*'Initial Estimates'!C8</f>
        <v>89.050399999999996</v>
      </c>
      <c r="E20" s="13" t="s">
        <v>125</v>
      </c>
      <c r="F20" s="12" t="s">
        <v>29</v>
      </c>
      <c r="G20" s="12" t="s">
        <v>14</v>
      </c>
      <c r="H20" s="30" t="s">
        <v>225</v>
      </c>
      <c r="I20" s="105" t="s">
        <v>207</v>
      </c>
      <c r="J20" s="105"/>
      <c r="K20" s="105"/>
      <c r="L20" s="105"/>
      <c r="M20" s="105"/>
    </row>
    <row r="21" spans="1:16" ht="18" customHeight="1" x14ac:dyDescent="0.2">
      <c r="A21" s="12" t="s">
        <v>210</v>
      </c>
      <c r="B21" s="12" t="s">
        <v>211</v>
      </c>
      <c r="C21" s="13">
        <f>C19+'Initial Estimates'!C10</f>
        <v>94.322021599999999</v>
      </c>
      <c r="D21" s="13"/>
      <c r="E21" s="13" t="s">
        <v>125</v>
      </c>
      <c r="F21" s="12" t="s">
        <v>29</v>
      </c>
      <c r="G21" s="12" t="s">
        <v>14</v>
      </c>
      <c r="H21" s="30" t="s">
        <v>226</v>
      </c>
      <c r="I21" s="105" t="s">
        <v>207</v>
      </c>
      <c r="J21" s="105"/>
      <c r="K21" s="105"/>
      <c r="L21" s="105"/>
      <c r="M21" s="105"/>
    </row>
    <row r="22" spans="1:16" ht="18" customHeight="1" x14ac:dyDescent="0.2">
      <c r="A22" s="12" t="s">
        <v>212</v>
      </c>
      <c r="B22" s="12" t="s">
        <v>213</v>
      </c>
      <c r="C22" s="12">
        <f xml:space="preserve"> C20*'Initial Estimates'!C33</f>
        <v>864468.33455200004</v>
      </c>
      <c r="E22" s="13" t="s">
        <v>125</v>
      </c>
      <c r="F22" s="12" t="s">
        <v>224</v>
      </c>
      <c r="G22" s="12" t="s">
        <v>14</v>
      </c>
      <c r="H22" s="30" t="s">
        <v>227</v>
      </c>
      <c r="I22" s="105" t="s">
        <v>207</v>
      </c>
      <c r="J22" s="105"/>
      <c r="K22" s="105"/>
      <c r="L22" s="105"/>
      <c r="M22" s="105"/>
    </row>
    <row r="23" spans="1:16" ht="18" customHeight="1" x14ac:dyDescent="0.2">
      <c r="A23" s="12" t="s">
        <v>214</v>
      </c>
      <c r="B23" s="12" t="s">
        <v>215</v>
      </c>
      <c r="C23" s="12">
        <f>C21*'Initial Estimates'!C37</f>
        <v>127780.07058498441</v>
      </c>
      <c r="E23" s="13" t="s">
        <v>125</v>
      </c>
      <c r="F23" s="12" t="s">
        <v>224</v>
      </c>
      <c r="G23" s="12" t="s">
        <v>14</v>
      </c>
      <c r="H23" s="30" t="s">
        <v>228</v>
      </c>
      <c r="I23" s="105" t="s">
        <v>207</v>
      </c>
      <c r="J23" s="105"/>
      <c r="K23" s="105"/>
      <c r="L23" s="105"/>
      <c r="M23" s="105"/>
    </row>
    <row r="24" spans="1:16" ht="22" customHeight="1" x14ac:dyDescent="0.2">
      <c r="A24" s="113" t="s">
        <v>216</v>
      </c>
      <c r="B24" s="114"/>
      <c r="C24" s="114"/>
      <c r="D24" s="114"/>
      <c r="E24" s="114"/>
      <c r="F24" s="114"/>
      <c r="G24" s="114"/>
      <c r="H24" s="114"/>
      <c r="I24" s="114"/>
      <c r="J24" s="114"/>
      <c r="K24" s="114"/>
      <c r="L24" s="114"/>
      <c r="M24" s="115"/>
    </row>
    <row r="25" spans="1:16" ht="18" customHeight="1" x14ac:dyDescent="0.2">
      <c r="A25" s="23" t="s">
        <v>5</v>
      </c>
      <c r="B25" s="23" t="s">
        <v>96</v>
      </c>
      <c r="C25" s="24" t="s">
        <v>7</v>
      </c>
      <c r="D25" s="58"/>
      <c r="E25" s="24" t="s">
        <v>125</v>
      </c>
      <c r="F25" s="24" t="s">
        <v>8</v>
      </c>
      <c r="G25" s="24" t="s">
        <v>9</v>
      </c>
      <c r="H25" s="31" t="s">
        <v>10</v>
      </c>
      <c r="I25" s="106" t="s">
        <v>11</v>
      </c>
      <c r="J25" s="106"/>
      <c r="K25" s="106"/>
      <c r="L25" s="106"/>
      <c r="M25" s="106"/>
    </row>
    <row r="26" spans="1:16" ht="18" customHeight="1" x14ac:dyDescent="0.2">
      <c r="A26" s="12" t="s">
        <v>220</v>
      </c>
      <c r="B26" s="12" t="s">
        <v>221</v>
      </c>
      <c r="C26" s="13">
        <v>10.18</v>
      </c>
      <c r="D26" s="13"/>
      <c r="E26" s="13" t="s">
        <v>125</v>
      </c>
      <c r="F26" s="12" t="s">
        <v>222</v>
      </c>
      <c r="G26" s="12" t="s">
        <v>14</v>
      </c>
      <c r="H26" s="30" t="s">
        <v>230</v>
      </c>
      <c r="I26" s="105" t="s">
        <v>207</v>
      </c>
      <c r="J26" s="105"/>
      <c r="K26" s="105"/>
      <c r="L26" s="105"/>
      <c r="M26" s="105"/>
      <c r="O26" s="49"/>
      <c r="P26" s="49"/>
    </row>
    <row r="27" spans="1:16" ht="18" customHeight="1" x14ac:dyDescent="0.2">
      <c r="A27" s="12" t="s">
        <v>218</v>
      </c>
      <c r="B27" s="12" t="s">
        <v>219</v>
      </c>
      <c r="C27" s="13">
        <f>C26*0.7*'Initial Estimates'!C8*'Initial Estimates'!C29</f>
        <v>10702.438894895999</v>
      </c>
      <c r="D27" s="13"/>
      <c r="E27" s="13" t="s">
        <v>125</v>
      </c>
      <c r="F27" s="12" t="s">
        <v>223</v>
      </c>
      <c r="G27" s="12" t="s">
        <v>14</v>
      </c>
      <c r="H27" s="30" t="s">
        <v>230</v>
      </c>
      <c r="I27" s="105" t="s">
        <v>207</v>
      </c>
      <c r="J27" s="105"/>
      <c r="K27" s="105"/>
      <c r="L27" s="105"/>
      <c r="M27" s="105"/>
    </row>
    <row r="28" spans="1:16" ht="18" customHeight="1" x14ac:dyDescent="0.2">
      <c r="A28" s="12" t="s">
        <v>232</v>
      </c>
      <c r="B28" s="12" t="s">
        <v>231</v>
      </c>
      <c r="C28" s="13">
        <f>'Initial Estimates'!C27-'Cg Calcs'!C27</f>
        <v>7361.6790434256091</v>
      </c>
      <c r="D28" s="13"/>
      <c r="E28" s="13" t="s">
        <v>125</v>
      </c>
      <c r="F28" s="12" t="s">
        <v>223</v>
      </c>
      <c r="G28" s="12" t="s">
        <v>21</v>
      </c>
      <c r="H28" s="30" t="s">
        <v>235</v>
      </c>
      <c r="I28" s="105" t="s">
        <v>207</v>
      </c>
      <c r="J28" s="105"/>
      <c r="K28" s="105"/>
      <c r="L28" s="105"/>
      <c r="M28" s="105"/>
    </row>
    <row r="29" spans="1:16" s="49" customFormat="1" ht="18" customHeight="1" x14ac:dyDescent="0.2">
      <c r="A29" s="49" t="s">
        <v>489</v>
      </c>
      <c r="B29" s="49" t="s">
        <v>492</v>
      </c>
      <c r="C29" s="13">
        <v>0</v>
      </c>
      <c r="D29" s="13"/>
      <c r="E29" s="13" t="s">
        <v>125</v>
      </c>
      <c r="F29" s="49" t="s">
        <v>223</v>
      </c>
      <c r="G29" s="49" t="s">
        <v>21</v>
      </c>
      <c r="H29" s="30" t="s">
        <v>235</v>
      </c>
      <c r="I29" s="105" t="s">
        <v>207</v>
      </c>
      <c r="J29" s="105"/>
      <c r="K29" s="105"/>
      <c r="L29" s="105"/>
      <c r="M29" s="105"/>
      <c r="O29" s="12"/>
      <c r="P29" s="12"/>
    </row>
    <row r="30" spans="1:16" ht="18" customHeight="1" x14ac:dyDescent="0.2">
      <c r="A30" s="12" t="s">
        <v>233</v>
      </c>
      <c r="B30" s="12" t="s">
        <v>234</v>
      </c>
      <c r="C30" s="12">
        <v>50</v>
      </c>
      <c r="E30" s="13" t="s">
        <v>125</v>
      </c>
      <c r="F30" s="12" t="s">
        <v>29</v>
      </c>
      <c r="G30" s="12" t="s">
        <v>21</v>
      </c>
      <c r="H30" s="30" t="s">
        <v>236</v>
      </c>
      <c r="I30" s="105" t="s">
        <v>207</v>
      </c>
      <c r="J30" s="105"/>
      <c r="K30" s="105"/>
      <c r="L30" s="105"/>
      <c r="M30" s="105"/>
    </row>
    <row r="31" spans="1:16" ht="18" customHeight="1" x14ac:dyDescent="0.2">
      <c r="A31" s="12" t="s">
        <v>237</v>
      </c>
      <c r="B31" s="12" t="s">
        <v>238</v>
      </c>
      <c r="C31" s="12">
        <f>C3+0.5+0.7*0.4*'Initial Estimates'!C8</f>
        <v>76.920159999999996</v>
      </c>
      <c r="E31" s="13" t="s">
        <v>125</v>
      </c>
      <c r="F31" s="12" t="s">
        <v>29</v>
      </c>
      <c r="G31" s="12" t="s">
        <v>21</v>
      </c>
      <c r="H31" s="30" t="s">
        <v>239</v>
      </c>
      <c r="I31" s="105" t="s">
        <v>207</v>
      </c>
      <c r="J31" s="105"/>
      <c r="K31" s="105"/>
      <c r="L31" s="105"/>
      <c r="M31" s="105"/>
      <c r="O31" s="49"/>
      <c r="P31" s="49"/>
    </row>
    <row r="32" spans="1:16" ht="18" customHeight="1" x14ac:dyDescent="0.2">
      <c r="A32" s="12" t="s">
        <v>240</v>
      </c>
      <c r="B32" s="12" t="s">
        <v>241</v>
      </c>
      <c r="C32" s="12">
        <f>C30*C27</f>
        <v>535121.94474479998</v>
      </c>
      <c r="E32" s="13" t="s">
        <v>125</v>
      </c>
      <c r="F32" s="12" t="s">
        <v>224</v>
      </c>
      <c r="G32" s="12" t="s">
        <v>21</v>
      </c>
      <c r="H32" s="29" t="s">
        <v>242</v>
      </c>
      <c r="I32" s="105" t="s">
        <v>207</v>
      </c>
      <c r="J32" s="105"/>
      <c r="K32" s="105"/>
      <c r="L32" s="105"/>
      <c r="M32" s="105"/>
    </row>
    <row r="33" spans="1:16" ht="18" customHeight="1" x14ac:dyDescent="0.2">
      <c r="A33" s="12" t="s">
        <v>243</v>
      </c>
      <c r="B33" s="12" t="s">
        <v>244</v>
      </c>
      <c r="C33" s="12">
        <f xml:space="preserve"> C31*C28</f>
        <v>566261.52988894482</v>
      </c>
      <c r="E33" s="12" t="s">
        <v>125</v>
      </c>
      <c r="F33" s="12" t="s">
        <v>224</v>
      </c>
      <c r="G33" s="12" t="s">
        <v>21</v>
      </c>
      <c r="H33" s="29" t="s">
        <v>245</v>
      </c>
      <c r="I33" s="105" t="s">
        <v>207</v>
      </c>
      <c r="J33" s="105"/>
      <c r="K33" s="105"/>
      <c r="L33" s="105"/>
      <c r="M33" s="105"/>
    </row>
    <row r="34" spans="1:16" s="49" customFormat="1" ht="18" customHeight="1" x14ac:dyDescent="0.2">
      <c r="A34" s="49" t="s">
        <v>493</v>
      </c>
      <c r="B34" s="49" t="s">
        <v>244</v>
      </c>
      <c r="C34" s="49">
        <f xml:space="preserve"> C31*C29</f>
        <v>0</v>
      </c>
      <c r="D34" s="57"/>
      <c r="E34" s="49" t="s">
        <v>125</v>
      </c>
      <c r="F34" s="49" t="s">
        <v>224</v>
      </c>
      <c r="G34" s="49" t="s">
        <v>21</v>
      </c>
      <c r="H34" s="29" t="s">
        <v>245</v>
      </c>
      <c r="I34" s="105" t="s">
        <v>207</v>
      </c>
      <c r="J34" s="105"/>
      <c r="K34" s="105"/>
      <c r="L34" s="105"/>
      <c r="M34" s="105"/>
      <c r="O34" s="12"/>
      <c r="P34" s="12"/>
    </row>
    <row r="35" spans="1:16" ht="22" customHeight="1" x14ac:dyDescent="0.2">
      <c r="A35" s="113" t="s">
        <v>246</v>
      </c>
      <c r="B35" s="114"/>
      <c r="C35" s="114"/>
      <c r="D35" s="114"/>
      <c r="E35" s="114"/>
      <c r="F35" s="114"/>
      <c r="G35" s="114"/>
      <c r="H35" s="114"/>
      <c r="I35" s="114"/>
      <c r="J35" s="114"/>
      <c r="K35" s="114"/>
      <c r="L35" s="114"/>
      <c r="M35" s="115"/>
    </row>
    <row r="36" spans="1:16" ht="18" customHeight="1" x14ac:dyDescent="0.2">
      <c r="A36" s="23" t="s">
        <v>5</v>
      </c>
      <c r="B36" s="23" t="s">
        <v>96</v>
      </c>
      <c r="C36" s="24" t="s">
        <v>7</v>
      </c>
      <c r="D36" s="58"/>
      <c r="E36" s="24" t="s">
        <v>125</v>
      </c>
      <c r="F36" s="24" t="s">
        <v>8</v>
      </c>
      <c r="G36" s="24" t="s">
        <v>9</v>
      </c>
      <c r="H36" s="31" t="s">
        <v>10</v>
      </c>
      <c r="I36" s="106" t="s">
        <v>11</v>
      </c>
      <c r="J36" s="106"/>
      <c r="K36" s="106"/>
      <c r="L36" s="106"/>
      <c r="M36" s="106"/>
    </row>
    <row r="37" spans="1:16" ht="18" customHeight="1" x14ac:dyDescent="0.2">
      <c r="A37" s="12" t="s">
        <v>273</v>
      </c>
      <c r="B37" s="12" t="s">
        <v>247</v>
      </c>
      <c r="C37" s="13">
        <f>C4+'Initial Estimates'!C52/2</f>
        <v>46.5</v>
      </c>
      <c r="D37" s="13"/>
      <c r="E37" s="13" t="s">
        <v>125</v>
      </c>
      <c r="F37" s="12" t="s">
        <v>29</v>
      </c>
      <c r="G37" s="12" t="s">
        <v>21</v>
      </c>
      <c r="H37" s="30" t="s">
        <v>248</v>
      </c>
      <c r="I37" s="105" t="s">
        <v>207</v>
      </c>
      <c r="J37" s="105"/>
      <c r="K37" s="105"/>
      <c r="L37" s="105"/>
      <c r="M37" s="105"/>
    </row>
    <row r="38" spans="1:16" ht="18" customHeight="1" x14ac:dyDescent="0.2">
      <c r="A38" s="12" t="s">
        <v>249</v>
      </c>
      <c r="B38" s="12" t="s">
        <v>250</v>
      </c>
      <c r="C38" s="13">
        <f>C37*'Initial Estimates'!C23</f>
        <v>341077.5</v>
      </c>
      <c r="D38" s="13"/>
      <c r="E38" s="13" t="s">
        <v>125</v>
      </c>
      <c r="F38" s="12" t="s">
        <v>224</v>
      </c>
      <c r="G38" s="12" t="s">
        <v>21</v>
      </c>
      <c r="H38" s="30" t="s">
        <v>255</v>
      </c>
      <c r="I38" s="105" t="s">
        <v>207</v>
      </c>
      <c r="J38" s="105"/>
      <c r="K38" s="105"/>
      <c r="L38" s="105"/>
      <c r="M38" s="105"/>
    </row>
    <row r="39" spans="1:16" ht="22" customHeight="1" x14ac:dyDescent="0.2">
      <c r="A39" s="113" t="s">
        <v>256</v>
      </c>
      <c r="B39" s="114"/>
      <c r="C39" s="114"/>
      <c r="D39" s="114"/>
      <c r="E39" s="114"/>
      <c r="F39" s="114"/>
      <c r="G39" s="114"/>
      <c r="H39" s="114"/>
      <c r="I39" s="114"/>
      <c r="J39" s="114"/>
      <c r="K39" s="114"/>
      <c r="L39" s="114"/>
      <c r="M39" s="115"/>
    </row>
    <row r="40" spans="1:16" ht="18" customHeight="1" x14ac:dyDescent="0.2">
      <c r="A40" s="23" t="s">
        <v>5</v>
      </c>
      <c r="B40" s="23" t="s">
        <v>96</v>
      </c>
      <c r="C40" s="24" t="s">
        <v>7</v>
      </c>
      <c r="D40" s="58"/>
      <c r="E40" s="24" t="s">
        <v>125</v>
      </c>
      <c r="F40" s="24" t="s">
        <v>8</v>
      </c>
      <c r="G40" s="24" t="s">
        <v>9</v>
      </c>
      <c r="H40" s="31" t="s">
        <v>10</v>
      </c>
      <c r="I40" s="106" t="s">
        <v>11</v>
      </c>
      <c r="J40" s="106"/>
      <c r="K40" s="106"/>
      <c r="L40" s="106"/>
      <c r="M40" s="106"/>
    </row>
    <row r="41" spans="1:16" ht="18" customHeight="1" x14ac:dyDescent="0.2">
      <c r="A41" s="12" t="s">
        <v>274</v>
      </c>
      <c r="B41" s="12" t="s">
        <v>258</v>
      </c>
      <c r="C41" s="13">
        <f>C5+0.4*'Initial Estimates'!C56</f>
        <v>45.6</v>
      </c>
      <c r="D41" s="13"/>
      <c r="E41" s="13" t="s">
        <v>125</v>
      </c>
      <c r="F41" s="12" t="s">
        <v>29</v>
      </c>
      <c r="G41" s="12" t="s">
        <v>21</v>
      </c>
      <c r="H41" s="30" t="s">
        <v>260</v>
      </c>
      <c r="I41" s="105" t="s">
        <v>207</v>
      </c>
      <c r="J41" s="105"/>
      <c r="K41" s="105"/>
      <c r="L41" s="105"/>
      <c r="M41" s="105"/>
    </row>
    <row r="42" spans="1:16" ht="18" customHeight="1" x14ac:dyDescent="0.2">
      <c r="A42" s="12" t="s">
        <v>257</v>
      </c>
      <c r="B42" s="12" t="s">
        <v>261</v>
      </c>
      <c r="C42" s="13">
        <f>C41*'Initial Estimates'!C38</f>
        <v>47239.935600000004</v>
      </c>
      <c r="D42" s="13"/>
      <c r="E42" s="13" t="s">
        <v>125</v>
      </c>
      <c r="F42" s="12" t="s">
        <v>224</v>
      </c>
      <c r="G42" s="12" t="s">
        <v>21</v>
      </c>
      <c r="H42" s="30" t="s">
        <v>262</v>
      </c>
      <c r="I42" s="105" t="s">
        <v>207</v>
      </c>
      <c r="J42" s="105"/>
      <c r="K42" s="105"/>
      <c r="L42" s="105"/>
      <c r="M42" s="105"/>
    </row>
    <row r="43" spans="1:16" ht="22" customHeight="1" x14ac:dyDescent="0.2">
      <c r="A43" s="113" t="s">
        <v>263</v>
      </c>
      <c r="B43" s="114"/>
      <c r="C43" s="114"/>
      <c r="D43" s="114"/>
      <c r="E43" s="114"/>
      <c r="F43" s="114"/>
      <c r="G43" s="114"/>
      <c r="H43" s="114"/>
      <c r="I43" s="114"/>
      <c r="J43" s="114"/>
      <c r="K43" s="114"/>
      <c r="L43" s="114"/>
      <c r="M43" s="115"/>
    </row>
    <row r="44" spans="1:16" ht="18" customHeight="1" x14ac:dyDescent="0.2">
      <c r="A44" s="23" t="s">
        <v>5</v>
      </c>
      <c r="B44" s="23" t="s">
        <v>96</v>
      </c>
      <c r="C44" s="24" t="s">
        <v>7</v>
      </c>
      <c r="D44" s="58"/>
      <c r="E44" s="24" t="s">
        <v>125</v>
      </c>
      <c r="F44" s="24" t="s">
        <v>8</v>
      </c>
      <c r="G44" s="24" t="s">
        <v>9</v>
      </c>
      <c r="H44" s="31" t="s">
        <v>10</v>
      </c>
      <c r="I44" s="106" t="s">
        <v>11</v>
      </c>
      <c r="J44" s="106"/>
      <c r="K44" s="106"/>
      <c r="L44" s="106"/>
      <c r="M44" s="106"/>
    </row>
    <row r="45" spans="1:16" ht="18" customHeight="1" x14ac:dyDescent="0.2">
      <c r="A45" s="12" t="s">
        <v>268</v>
      </c>
      <c r="B45" s="12" t="s">
        <v>270</v>
      </c>
      <c r="C45" s="13">
        <f>C10+0.42</f>
        <v>81.42</v>
      </c>
      <c r="D45" s="13"/>
      <c r="E45" s="13" t="s">
        <v>125</v>
      </c>
      <c r="F45" s="12" t="s">
        <v>29</v>
      </c>
      <c r="G45" s="12" t="s">
        <v>21</v>
      </c>
      <c r="H45" s="30" t="s">
        <v>276</v>
      </c>
      <c r="I45" s="105" t="s">
        <v>207</v>
      </c>
      <c r="J45" s="105"/>
      <c r="K45" s="105"/>
      <c r="L45" s="105"/>
      <c r="M45" s="105"/>
    </row>
    <row r="46" spans="1:16" ht="18" customHeight="1" x14ac:dyDescent="0.2">
      <c r="A46" s="12" t="s">
        <v>269</v>
      </c>
      <c r="B46" s="12" t="s">
        <v>271</v>
      </c>
      <c r="C46" s="13">
        <f>C11+0.42</f>
        <v>81.42</v>
      </c>
      <c r="D46" s="13"/>
      <c r="E46" s="13" t="s">
        <v>125</v>
      </c>
      <c r="F46" s="12" t="s">
        <v>29</v>
      </c>
      <c r="G46" s="12" t="s">
        <v>21</v>
      </c>
      <c r="H46" s="30" t="s">
        <v>276</v>
      </c>
      <c r="I46" s="105" t="s">
        <v>207</v>
      </c>
      <c r="J46" s="105"/>
      <c r="K46" s="105"/>
      <c r="L46" s="105"/>
      <c r="M46" s="105"/>
    </row>
    <row r="47" spans="1:16" ht="18" customHeight="1" x14ac:dyDescent="0.2">
      <c r="A47" s="12" t="s">
        <v>266</v>
      </c>
      <c r="B47" s="12" t="s">
        <v>267</v>
      </c>
      <c r="C47" s="13">
        <f>C46*'Initial Estimates'!C34</f>
        <v>104402.95263</v>
      </c>
      <c r="D47" s="13"/>
      <c r="E47" s="13" t="s">
        <v>125</v>
      </c>
      <c r="F47" s="12" t="s">
        <v>224</v>
      </c>
      <c r="G47" s="12" t="s">
        <v>21</v>
      </c>
      <c r="H47" s="30" t="s">
        <v>277</v>
      </c>
      <c r="I47" s="105" t="s">
        <v>207</v>
      </c>
      <c r="J47" s="105"/>
      <c r="K47" s="105"/>
      <c r="L47" s="105"/>
      <c r="M47" s="105"/>
    </row>
    <row r="48" spans="1:16" ht="22" customHeight="1" x14ac:dyDescent="0.2">
      <c r="A48" s="113" t="s">
        <v>264</v>
      </c>
      <c r="B48" s="114"/>
      <c r="C48" s="114"/>
      <c r="D48" s="114"/>
      <c r="E48" s="114"/>
      <c r="F48" s="114"/>
      <c r="G48" s="114"/>
      <c r="H48" s="114"/>
      <c r="I48" s="114"/>
      <c r="J48" s="114"/>
      <c r="K48" s="114"/>
      <c r="L48" s="114"/>
      <c r="M48" s="115"/>
    </row>
    <row r="49" spans="1:13" ht="18" customHeight="1" x14ac:dyDescent="0.2">
      <c r="A49" s="23" t="s">
        <v>5</v>
      </c>
      <c r="B49" s="23" t="s">
        <v>96</v>
      </c>
      <c r="C49" s="24" t="s">
        <v>7</v>
      </c>
      <c r="D49" s="58"/>
      <c r="E49" s="24" t="s">
        <v>125</v>
      </c>
      <c r="F49" s="24" t="s">
        <v>8</v>
      </c>
      <c r="G49" s="24" t="s">
        <v>9</v>
      </c>
      <c r="H49" s="31" t="s">
        <v>10</v>
      </c>
      <c r="I49" s="106" t="s">
        <v>11</v>
      </c>
      <c r="J49" s="106"/>
      <c r="K49" s="106"/>
      <c r="L49" s="106"/>
      <c r="M49" s="106"/>
    </row>
    <row r="50" spans="1:13" ht="18" customHeight="1" x14ac:dyDescent="0.2">
      <c r="A50" s="12" t="s">
        <v>272</v>
      </c>
      <c r="B50" s="12" t="s">
        <v>275</v>
      </c>
      <c r="C50" s="12">
        <f>C8+0.47*'Initial Estimates'!C50</f>
        <v>47.639899999999997</v>
      </c>
      <c r="E50" s="13" t="s">
        <v>125</v>
      </c>
      <c r="F50" s="12" t="s">
        <v>29</v>
      </c>
      <c r="G50" s="12" t="s">
        <v>21</v>
      </c>
      <c r="H50" s="30" t="s">
        <v>278</v>
      </c>
      <c r="I50" s="105" t="s">
        <v>207</v>
      </c>
      <c r="J50" s="105"/>
      <c r="K50" s="105"/>
      <c r="L50" s="105"/>
      <c r="M50" s="105"/>
    </row>
    <row r="51" spans="1:13" ht="18" customHeight="1" x14ac:dyDescent="0.2">
      <c r="A51" s="12" t="s">
        <v>279</v>
      </c>
      <c r="B51" s="12" t="s">
        <v>280</v>
      </c>
      <c r="C51" s="12">
        <f>C50*'Initial Estimates'!C35</f>
        <v>362383.61832749995</v>
      </c>
      <c r="E51" s="13" t="s">
        <v>125</v>
      </c>
      <c r="F51" s="12" t="s">
        <v>224</v>
      </c>
      <c r="G51" s="12" t="s">
        <v>21</v>
      </c>
      <c r="H51" s="30" t="s">
        <v>281</v>
      </c>
      <c r="I51" s="105" t="s">
        <v>207</v>
      </c>
      <c r="J51" s="105"/>
      <c r="K51" s="105"/>
      <c r="L51" s="105"/>
      <c r="M51" s="105"/>
    </row>
    <row r="52" spans="1:13" ht="22" customHeight="1" x14ac:dyDescent="0.2">
      <c r="A52" s="113" t="s">
        <v>265</v>
      </c>
      <c r="B52" s="114"/>
      <c r="C52" s="114"/>
      <c r="D52" s="114"/>
      <c r="E52" s="114"/>
      <c r="F52" s="114"/>
      <c r="G52" s="114"/>
      <c r="H52" s="114"/>
      <c r="I52" s="114"/>
      <c r="J52" s="114"/>
      <c r="K52" s="114"/>
      <c r="L52" s="114"/>
      <c r="M52" s="115"/>
    </row>
    <row r="53" spans="1:13" ht="18" customHeight="1" x14ac:dyDescent="0.2">
      <c r="A53" s="23" t="s">
        <v>5</v>
      </c>
      <c r="B53" s="23" t="s">
        <v>96</v>
      </c>
      <c r="C53" s="24" t="s">
        <v>7</v>
      </c>
      <c r="D53" s="58"/>
      <c r="E53" s="24" t="s">
        <v>125</v>
      </c>
      <c r="F53" s="24" t="s">
        <v>8</v>
      </c>
      <c r="G53" s="24" t="s">
        <v>9</v>
      </c>
      <c r="H53" s="31" t="s">
        <v>10</v>
      </c>
      <c r="I53" s="106" t="s">
        <v>11</v>
      </c>
      <c r="J53" s="106"/>
      <c r="K53" s="106"/>
      <c r="L53" s="106"/>
      <c r="M53" s="106"/>
    </row>
    <row r="54" spans="1:13" ht="18" customHeight="1" x14ac:dyDescent="0.2">
      <c r="A54" s="12" t="s">
        <v>282</v>
      </c>
      <c r="B54" s="12" t="s">
        <v>283</v>
      </c>
      <c r="C54" s="12">
        <f>C6+2/3*C7</f>
        <v>30.6</v>
      </c>
      <c r="E54" s="12" t="s">
        <v>125</v>
      </c>
      <c r="F54" s="12" t="s">
        <v>29</v>
      </c>
      <c r="G54" s="12" t="s">
        <v>21</v>
      </c>
      <c r="H54" s="30" t="s">
        <v>294</v>
      </c>
      <c r="I54" s="105" t="s">
        <v>207</v>
      </c>
      <c r="J54" s="105"/>
      <c r="K54" s="105"/>
      <c r="L54" s="105"/>
      <c r="M54" s="105"/>
    </row>
    <row r="55" spans="1:13" ht="18" customHeight="1" x14ac:dyDescent="0.2">
      <c r="A55" s="12" t="s">
        <v>284</v>
      </c>
      <c r="B55" s="12" t="s">
        <v>285</v>
      </c>
      <c r="C55" s="12">
        <f>C54*'Initial Estimates'!C36</f>
        <v>102638.62710000001</v>
      </c>
      <c r="E55" s="12" t="s">
        <v>125</v>
      </c>
      <c r="F55" s="12" t="s">
        <v>224</v>
      </c>
      <c r="G55" s="12" t="s">
        <v>21</v>
      </c>
      <c r="H55" s="29" t="s">
        <v>286</v>
      </c>
      <c r="I55" s="105" t="s">
        <v>207</v>
      </c>
      <c r="J55" s="105"/>
      <c r="K55" s="105"/>
      <c r="L55" s="105"/>
      <c r="M55" s="105"/>
    </row>
    <row r="56" spans="1:13" ht="22" customHeight="1" x14ac:dyDescent="0.2">
      <c r="A56" s="113" t="s">
        <v>490</v>
      </c>
      <c r="B56" s="114"/>
      <c r="C56" s="114"/>
      <c r="D56" s="114"/>
      <c r="E56" s="114"/>
      <c r="F56" s="114"/>
      <c r="G56" s="114"/>
      <c r="H56" s="114"/>
      <c r="I56" s="114"/>
      <c r="J56" s="114"/>
      <c r="K56" s="114"/>
      <c r="L56" s="114"/>
      <c r="M56" s="115"/>
    </row>
    <row r="57" spans="1:13" ht="18" customHeight="1" x14ac:dyDescent="0.2">
      <c r="A57" s="23" t="s">
        <v>5</v>
      </c>
      <c r="B57" s="23" t="s">
        <v>96</v>
      </c>
      <c r="C57" s="24" t="s">
        <v>7</v>
      </c>
      <c r="D57" s="58"/>
      <c r="E57" s="24" t="s">
        <v>125</v>
      </c>
      <c r="F57" s="24" t="s">
        <v>8</v>
      </c>
      <c r="G57" s="24" t="s">
        <v>9</v>
      </c>
      <c r="H57" s="31" t="s">
        <v>10</v>
      </c>
      <c r="I57" s="106" t="s">
        <v>11</v>
      </c>
      <c r="J57" s="106"/>
      <c r="K57" s="106"/>
      <c r="L57" s="106"/>
      <c r="M57" s="106"/>
    </row>
    <row r="58" spans="1:13" ht="18" customHeight="1" x14ac:dyDescent="0.2">
      <c r="A58" s="12" t="s">
        <v>287</v>
      </c>
      <c r="B58" s="12" t="s">
        <v>291</v>
      </c>
      <c r="C58" s="12">
        <f xml:space="preserve"> $C$14+'Initial Estimates'!$C$53/2</f>
        <v>29</v>
      </c>
      <c r="E58" s="12" t="s">
        <v>125</v>
      </c>
      <c r="F58" s="12" t="s">
        <v>29</v>
      </c>
      <c r="G58" s="12" t="s">
        <v>21</v>
      </c>
      <c r="H58" s="30" t="s">
        <v>295</v>
      </c>
      <c r="I58" s="105" t="s">
        <v>207</v>
      </c>
      <c r="J58" s="105"/>
      <c r="K58" s="105"/>
      <c r="L58" s="105"/>
      <c r="M58" s="105"/>
    </row>
    <row r="59" spans="1:13" ht="18" customHeight="1" x14ac:dyDescent="0.2">
      <c r="A59" s="12" t="s">
        <v>288</v>
      </c>
      <c r="B59" s="12" t="s">
        <v>292</v>
      </c>
      <c r="C59" s="12">
        <f xml:space="preserve"> $C$15+'Initial Estimates'!$C$53/2</f>
        <v>41</v>
      </c>
      <c r="E59" s="12" t="s">
        <v>125</v>
      </c>
      <c r="F59" s="12" t="s">
        <v>29</v>
      </c>
      <c r="G59" s="12" t="s">
        <v>21</v>
      </c>
      <c r="H59" s="30" t="s">
        <v>296</v>
      </c>
      <c r="I59" s="105" t="s">
        <v>207</v>
      </c>
      <c r="J59" s="105"/>
      <c r="K59" s="105"/>
      <c r="L59" s="105"/>
      <c r="M59" s="105"/>
    </row>
    <row r="60" spans="1:13" ht="18" customHeight="1" x14ac:dyDescent="0.2">
      <c r="A60" s="12" t="s">
        <v>290</v>
      </c>
      <c r="B60" s="12" t="s">
        <v>293</v>
      </c>
      <c r="C60" s="12">
        <f xml:space="preserve"> $C$16+'Initial Estimates'!$C$53/2</f>
        <v>52.5</v>
      </c>
      <c r="E60" s="12" t="s">
        <v>125</v>
      </c>
      <c r="F60" s="12" t="s">
        <v>29</v>
      </c>
      <c r="G60" s="12" t="s">
        <v>21</v>
      </c>
      <c r="H60" s="30" t="s">
        <v>296</v>
      </c>
      <c r="I60" s="105" t="s">
        <v>207</v>
      </c>
      <c r="J60" s="105"/>
      <c r="K60" s="105"/>
      <c r="L60" s="105"/>
      <c r="M60" s="105"/>
    </row>
    <row r="61" spans="1:13" ht="18" customHeight="1" x14ac:dyDescent="0.2">
      <c r="A61" s="12" t="s">
        <v>297</v>
      </c>
      <c r="B61" s="12" t="s">
        <v>300</v>
      </c>
      <c r="C61" s="12">
        <f>'Initial Estimates'!$C$44*('Initial Estimates'!$C$40+'Initial Estimates'!$C$43)</f>
        <v>980</v>
      </c>
      <c r="E61" s="12" t="s">
        <v>125</v>
      </c>
      <c r="F61" s="12" t="s">
        <v>223</v>
      </c>
      <c r="G61" s="12" t="s">
        <v>21</v>
      </c>
      <c r="H61" s="29" t="s">
        <v>310</v>
      </c>
      <c r="I61" s="105" t="s">
        <v>207</v>
      </c>
      <c r="J61" s="105"/>
      <c r="K61" s="105"/>
      <c r="L61" s="105"/>
      <c r="M61" s="105"/>
    </row>
    <row r="62" spans="1:13" ht="18" customHeight="1" x14ac:dyDescent="0.2">
      <c r="A62" s="12" t="s">
        <v>298</v>
      </c>
      <c r="B62" s="12" t="s">
        <v>301</v>
      </c>
      <c r="C62" s="49">
        <f>'Initial Estimates'!$C$45*('Initial Estimates'!$C$40+'Initial Estimates'!$C$43)</f>
        <v>980</v>
      </c>
      <c r="E62" s="12" t="s">
        <v>125</v>
      </c>
      <c r="F62" s="12" t="s">
        <v>223</v>
      </c>
      <c r="G62" s="12" t="s">
        <v>21</v>
      </c>
      <c r="H62" s="29" t="s">
        <v>310</v>
      </c>
      <c r="I62" s="105" t="s">
        <v>207</v>
      </c>
      <c r="J62" s="105"/>
      <c r="K62" s="105"/>
      <c r="L62" s="105"/>
      <c r="M62" s="105"/>
    </row>
    <row r="63" spans="1:13" ht="18" customHeight="1" x14ac:dyDescent="0.2">
      <c r="A63" s="12" t="s">
        <v>299</v>
      </c>
      <c r="B63" s="12" t="s">
        <v>302</v>
      </c>
      <c r="C63" s="49">
        <f>'Initial Estimates'!$C$46*('Initial Estimates'!$C$40+'Initial Estimates'!$C$43)</f>
        <v>980</v>
      </c>
      <c r="E63" s="12" t="s">
        <v>125</v>
      </c>
      <c r="F63" s="12" t="s">
        <v>223</v>
      </c>
      <c r="G63" s="12" t="s">
        <v>21</v>
      </c>
      <c r="H63" s="29" t="s">
        <v>310</v>
      </c>
      <c r="I63" s="105" t="s">
        <v>207</v>
      </c>
      <c r="J63" s="105"/>
      <c r="K63" s="105"/>
      <c r="L63" s="105"/>
      <c r="M63" s="105"/>
    </row>
    <row r="64" spans="1:13" ht="18" customHeight="1" x14ac:dyDescent="0.2">
      <c r="A64" s="12" t="s">
        <v>311</v>
      </c>
      <c r="B64" s="12" t="s">
        <v>312</v>
      </c>
      <c r="C64" s="12">
        <f xml:space="preserve"> 2*'Initial Estimates'!$C$42+2*'Initial Estimates'!$C$43</f>
        <v>480</v>
      </c>
      <c r="E64" s="12" t="s">
        <v>125</v>
      </c>
      <c r="F64" s="12" t="s">
        <v>223</v>
      </c>
      <c r="G64" s="12" t="s">
        <v>21</v>
      </c>
      <c r="H64" s="29" t="s">
        <v>313</v>
      </c>
      <c r="I64" s="105" t="s">
        <v>207</v>
      </c>
      <c r="J64" s="105"/>
      <c r="K64" s="105"/>
      <c r="L64" s="105"/>
      <c r="M64" s="105"/>
    </row>
    <row r="65" spans="1:16" ht="18" customHeight="1" x14ac:dyDescent="0.2">
      <c r="A65" s="12" t="s">
        <v>314</v>
      </c>
      <c r="B65" s="12" t="s">
        <v>201</v>
      </c>
      <c r="C65" s="12">
        <f xml:space="preserve"> 'Initial Estimates'!$C$41+'Initial Estimates'!$C$43</f>
        <v>230</v>
      </c>
      <c r="E65" s="12" t="s">
        <v>125</v>
      </c>
      <c r="F65" s="12" t="s">
        <v>223</v>
      </c>
      <c r="G65" s="12" t="s">
        <v>21</v>
      </c>
      <c r="H65" s="29" t="s">
        <v>313</v>
      </c>
      <c r="I65" s="105" t="s">
        <v>207</v>
      </c>
      <c r="J65" s="105"/>
      <c r="K65" s="105"/>
      <c r="L65" s="105"/>
      <c r="M65" s="105"/>
    </row>
    <row r="66" spans="1:16" ht="18" customHeight="1" x14ac:dyDescent="0.2">
      <c r="A66" s="12" t="s">
        <v>315</v>
      </c>
      <c r="B66" s="12" t="s">
        <v>316</v>
      </c>
      <c r="C66" s="12">
        <f xml:space="preserve"> C61*C58</f>
        <v>28420</v>
      </c>
      <c r="E66" s="12" t="s">
        <v>125</v>
      </c>
      <c r="F66" s="12" t="s">
        <v>224</v>
      </c>
      <c r="G66" s="12" t="s">
        <v>21</v>
      </c>
      <c r="H66" s="29" t="s">
        <v>321</v>
      </c>
      <c r="I66" s="105" t="s">
        <v>207</v>
      </c>
      <c r="J66" s="105"/>
      <c r="K66" s="105"/>
      <c r="L66" s="105"/>
      <c r="M66" s="105"/>
    </row>
    <row r="67" spans="1:16" ht="18" customHeight="1" x14ac:dyDescent="0.2">
      <c r="A67" s="12" t="s">
        <v>317</v>
      </c>
      <c r="B67" s="12" t="s">
        <v>319</v>
      </c>
      <c r="C67" s="12">
        <f xml:space="preserve"> C62*C59</f>
        <v>40180</v>
      </c>
      <c r="E67" s="12" t="s">
        <v>125</v>
      </c>
      <c r="F67" s="12" t="s">
        <v>224</v>
      </c>
      <c r="G67" s="12" t="s">
        <v>21</v>
      </c>
      <c r="H67" s="29" t="s">
        <v>321</v>
      </c>
      <c r="I67" s="105" t="s">
        <v>207</v>
      </c>
      <c r="J67" s="105"/>
      <c r="K67" s="105"/>
      <c r="L67" s="105"/>
      <c r="M67" s="105"/>
    </row>
    <row r="68" spans="1:16" ht="18" customHeight="1" x14ac:dyDescent="0.2">
      <c r="A68" s="12" t="s">
        <v>318</v>
      </c>
      <c r="B68" s="12" t="s">
        <v>320</v>
      </c>
      <c r="C68" s="12">
        <f xml:space="preserve"> C63*C60</f>
        <v>51450</v>
      </c>
      <c r="E68" s="12" t="s">
        <v>125</v>
      </c>
      <c r="F68" s="12" t="s">
        <v>224</v>
      </c>
      <c r="G68" s="12" t="s">
        <v>21</v>
      </c>
      <c r="H68" s="29" t="s">
        <v>321</v>
      </c>
      <c r="I68" s="105" t="s">
        <v>207</v>
      </c>
      <c r="J68" s="105"/>
      <c r="K68" s="105"/>
      <c r="L68" s="105"/>
      <c r="M68" s="105"/>
      <c r="O68" s="49"/>
      <c r="P68" s="49"/>
    </row>
    <row r="69" spans="1:16" ht="18" customHeight="1" x14ac:dyDescent="0.2">
      <c r="A69" s="12" t="s">
        <v>322</v>
      </c>
      <c r="B69" s="12" t="s">
        <v>323</v>
      </c>
      <c r="C69" s="12">
        <f>$C$12*C64</f>
        <v>2400</v>
      </c>
      <c r="E69" s="12" t="s">
        <v>125</v>
      </c>
      <c r="F69" s="12" t="s">
        <v>224</v>
      </c>
      <c r="G69" s="12" t="s">
        <v>21</v>
      </c>
      <c r="H69" s="29" t="s">
        <v>326</v>
      </c>
      <c r="I69" s="105" t="s">
        <v>207</v>
      </c>
      <c r="J69" s="105"/>
      <c r="K69" s="105"/>
      <c r="L69" s="105"/>
      <c r="M69" s="105"/>
      <c r="O69" s="49"/>
      <c r="P69" s="49"/>
    </row>
    <row r="70" spans="1:16" ht="18" customHeight="1" x14ac:dyDescent="0.2">
      <c r="A70" s="12" t="s">
        <v>324</v>
      </c>
      <c r="B70" s="12" t="s">
        <v>325</v>
      </c>
      <c r="C70" s="12">
        <f>C65*$C$13</f>
        <v>3450</v>
      </c>
      <c r="E70" s="12" t="s">
        <v>125</v>
      </c>
      <c r="F70" s="12" t="s">
        <v>224</v>
      </c>
      <c r="G70" s="12" t="s">
        <v>21</v>
      </c>
      <c r="H70" s="29" t="s">
        <v>326</v>
      </c>
      <c r="I70" s="105" t="s">
        <v>207</v>
      </c>
      <c r="J70" s="105"/>
      <c r="K70" s="105"/>
      <c r="L70" s="105"/>
      <c r="M70" s="105"/>
      <c r="O70" s="49"/>
      <c r="P70" s="49"/>
    </row>
    <row r="71" spans="1:16" s="49" customFormat="1" ht="22" customHeight="1" x14ac:dyDescent="0.2">
      <c r="A71" s="113" t="s">
        <v>491</v>
      </c>
      <c r="B71" s="114"/>
      <c r="C71" s="114"/>
      <c r="D71" s="114"/>
      <c r="E71" s="114"/>
      <c r="F71" s="114"/>
      <c r="G71" s="114"/>
      <c r="H71" s="114"/>
      <c r="I71" s="114"/>
      <c r="J71" s="114"/>
      <c r="K71" s="114"/>
      <c r="L71" s="114"/>
      <c r="M71" s="115"/>
    </row>
    <row r="72" spans="1:16" s="49" customFormat="1" ht="18" customHeight="1" x14ac:dyDescent="0.2">
      <c r="A72" s="23" t="s">
        <v>5</v>
      </c>
      <c r="B72" s="23" t="s">
        <v>96</v>
      </c>
      <c r="C72" s="50" t="s">
        <v>7</v>
      </c>
      <c r="D72" s="58"/>
      <c r="E72" s="50" t="s">
        <v>125</v>
      </c>
      <c r="F72" s="50" t="s">
        <v>8</v>
      </c>
      <c r="G72" s="50" t="s">
        <v>9</v>
      </c>
      <c r="H72" s="31" t="s">
        <v>10</v>
      </c>
      <c r="I72" s="106" t="s">
        <v>11</v>
      </c>
      <c r="J72" s="106"/>
      <c r="K72" s="106"/>
      <c r="L72" s="106"/>
      <c r="M72" s="106"/>
    </row>
    <row r="73" spans="1:16" s="49" customFormat="1" ht="18" customHeight="1" x14ac:dyDescent="0.2">
      <c r="A73" s="49" t="s">
        <v>287</v>
      </c>
      <c r="B73" s="49" t="s">
        <v>291</v>
      </c>
      <c r="C73" s="49">
        <f xml:space="preserve"> $C$14+'Initial Estimates'!$C$53/2</f>
        <v>29</v>
      </c>
      <c r="D73" s="57"/>
      <c r="E73" s="49" t="s">
        <v>125</v>
      </c>
      <c r="F73" s="49" t="s">
        <v>29</v>
      </c>
      <c r="G73" s="49" t="s">
        <v>21</v>
      </c>
      <c r="H73" s="30" t="s">
        <v>295</v>
      </c>
      <c r="I73" s="105" t="s">
        <v>207</v>
      </c>
      <c r="J73" s="105"/>
      <c r="K73" s="105"/>
      <c r="L73" s="105"/>
      <c r="M73" s="105"/>
    </row>
    <row r="74" spans="1:16" s="49" customFormat="1" ht="18" customHeight="1" x14ac:dyDescent="0.2">
      <c r="A74" s="49" t="s">
        <v>288</v>
      </c>
      <c r="B74" s="49" t="s">
        <v>292</v>
      </c>
      <c r="C74" s="49">
        <f xml:space="preserve"> $C$15+'Initial Estimates'!$C$53/2</f>
        <v>41</v>
      </c>
      <c r="D74" s="57"/>
      <c r="E74" s="49" t="s">
        <v>125</v>
      </c>
      <c r="F74" s="49" t="s">
        <v>29</v>
      </c>
      <c r="G74" s="49" t="s">
        <v>21</v>
      </c>
      <c r="H74" s="30" t="s">
        <v>296</v>
      </c>
      <c r="I74" s="105" t="s">
        <v>207</v>
      </c>
      <c r="J74" s="105"/>
      <c r="K74" s="105"/>
      <c r="L74" s="105"/>
      <c r="M74" s="105"/>
    </row>
    <row r="75" spans="1:16" s="49" customFormat="1" ht="18" customHeight="1" x14ac:dyDescent="0.2">
      <c r="A75" s="49" t="s">
        <v>290</v>
      </c>
      <c r="B75" s="49" t="s">
        <v>293</v>
      </c>
      <c r="C75" s="49">
        <f xml:space="preserve"> $C$16+'Initial Estimates'!$C$53/2</f>
        <v>52.5</v>
      </c>
      <c r="D75" s="57"/>
      <c r="E75" s="49" t="s">
        <v>125</v>
      </c>
      <c r="F75" s="49" t="s">
        <v>29</v>
      </c>
      <c r="G75" s="49" t="s">
        <v>21</v>
      </c>
      <c r="H75" s="30" t="s">
        <v>296</v>
      </c>
      <c r="I75" s="105" t="s">
        <v>207</v>
      </c>
      <c r="J75" s="105"/>
      <c r="K75" s="105"/>
      <c r="L75" s="105"/>
      <c r="M75" s="105"/>
    </row>
    <row r="76" spans="1:16" s="49" customFormat="1" ht="18" customHeight="1" x14ac:dyDescent="0.2">
      <c r="A76" s="49" t="s">
        <v>297</v>
      </c>
      <c r="B76" s="49" t="s">
        <v>300</v>
      </c>
      <c r="C76" s="49">
        <f>'Initial Estimates'!$C$44*('Initial Estimates'!$C$40)</f>
        <v>180</v>
      </c>
      <c r="D76" s="57"/>
      <c r="E76" s="49" t="s">
        <v>125</v>
      </c>
      <c r="F76" s="49" t="s">
        <v>223</v>
      </c>
      <c r="G76" s="49" t="s">
        <v>21</v>
      </c>
      <c r="H76" s="29" t="s">
        <v>310</v>
      </c>
      <c r="I76" s="105" t="s">
        <v>207</v>
      </c>
      <c r="J76" s="105"/>
      <c r="K76" s="105"/>
      <c r="L76" s="105"/>
      <c r="M76" s="105"/>
    </row>
    <row r="77" spans="1:16" s="49" customFormat="1" ht="18" customHeight="1" x14ac:dyDescent="0.2">
      <c r="A77" s="49" t="s">
        <v>298</v>
      </c>
      <c r="B77" s="49" t="s">
        <v>301</v>
      </c>
      <c r="C77" s="49">
        <f>'Initial Estimates'!$C$45*('Initial Estimates'!$C$40)</f>
        <v>180</v>
      </c>
      <c r="D77" s="57"/>
      <c r="E77" s="49" t="s">
        <v>125</v>
      </c>
      <c r="F77" s="49" t="s">
        <v>223</v>
      </c>
      <c r="G77" s="49" t="s">
        <v>21</v>
      </c>
      <c r="H77" s="29" t="s">
        <v>310</v>
      </c>
      <c r="I77" s="105" t="s">
        <v>207</v>
      </c>
      <c r="J77" s="105"/>
      <c r="K77" s="105"/>
      <c r="L77" s="105"/>
      <c r="M77" s="105"/>
    </row>
    <row r="78" spans="1:16" s="49" customFormat="1" ht="18" customHeight="1" x14ac:dyDescent="0.2">
      <c r="A78" s="49" t="s">
        <v>299</v>
      </c>
      <c r="B78" s="49" t="s">
        <v>302</v>
      </c>
      <c r="C78" s="49">
        <f>'Initial Estimates'!$C$46*('Initial Estimates'!$C$40)</f>
        <v>180</v>
      </c>
      <c r="D78" s="57"/>
      <c r="E78" s="49" t="s">
        <v>125</v>
      </c>
      <c r="F78" s="49" t="s">
        <v>223</v>
      </c>
      <c r="G78" s="49" t="s">
        <v>21</v>
      </c>
      <c r="H78" s="29" t="s">
        <v>310</v>
      </c>
      <c r="I78" s="105" t="s">
        <v>207</v>
      </c>
      <c r="J78" s="105"/>
      <c r="K78" s="105"/>
      <c r="L78" s="105"/>
      <c r="M78" s="105"/>
    </row>
    <row r="79" spans="1:16" s="49" customFormat="1" ht="18" customHeight="1" x14ac:dyDescent="0.2">
      <c r="A79" s="49" t="s">
        <v>311</v>
      </c>
      <c r="B79" s="49" t="s">
        <v>312</v>
      </c>
      <c r="C79" s="49">
        <f xml:space="preserve"> 2*'Initial Estimates'!$C$42+2*'Initial Estimates'!$C$43</f>
        <v>480</v>
      </c>
      <c r="D79" s="57"/>
      <c r="E79" s="49" t="s">
        <v>125</v>
      </c>
      <c r="F79" s="49" t="s">
        <v>223</v>
      </c>
      <c r="G79" s="49" t="s">
        <v>21</v>
      </c>
      <c r="H79" s="29" t="s">
        <v>313</v>
      </c>
      <c r="I79" s="105" t="s">
        <v>207</v>
      </c>
      <c r="J79" s="105"/>
      <c r="K79" s="105"/>
      <c r="L79" s="105"/>
      <c r="M79" s="105"/>
    </row>
    <row r="80" spans="1:16" s="49" customFormat="1" ht="18" customHeight="1" x14ac:dyDescent="0.2">
      <c r="A80" s="49" t="s">
        <v>314</v>
      </c>
      <c r="B80" s="49" t="s">
        <v>201</v>
      </c>
      <c r="C80" s="49">
        <f xml:space="preserve"> 'Initial Estimates'!$C$41</f>
        <v>30</v>
      </c>
      <c r="D80" s="57"/>
      <c r="E80" s="49" t="s">
        <v>125</v>
      </c>
      <c r="F80" s="49" t="s">
        <v>223</v>
      </c>
      <c r="G80" s="49" t="s">
        <v>21</v>
      </c>
      <c r="H80" s="29" t="s">
        <v>313</v>
      </c>
      <c r="I80" s="105" t="s">
        <v>207</v>
      </c>
      <c r="J80" s="105"/>
      <c r="K80" s="105"/>
      <c r="L80" s="105"/>
      <c r="M80" s="105"/>
    </row>
    <row r="81" spans="1:16" s="49" customFormat="1" ht="18" customHeight="1" x14ac:dyDescent="0.2">
      <c r="A81" s="49" t="s">
        <v>315</v>
      </c>
      <c r="B81" s="49" t="s">
        <v>316</v>
      </c>
      <c r="C81" s="49">
        <f xml:space="preserve"> C76*C73</f>
        <v>5220</v>
      </c>
      <c r="D81" s="57"/>
      <c r="E81" s="49" t="s">
        <v>125</v>
      </c>
      <c r="F81" s="49" t="s">
        <v>224</v>
      </c>
      <c r="G81" s="49" t="s">
        <v>21</v>
      </c>
      <c r="H81" s="29" t="s">
        <v>321</v>
      </c>
      <c r="I81" s="105" t="s">
        <v>207</v>
      </c>
      <c r="J81" s="105"/>
      <c r="K81" s="105"/>
      <c r="L81" s="105"/>
      <c r="M81" s="105"/>
    </row>
    <row r="82" spans="1:16" s="49" customFormat="1" ht="18" customHeight="1" x14ac:dyDescent="0.2">
      <c r="A82" s="49" t="s">
        <v>317</v>
      </c>
      <c r="B82" s="49" t="s">
        <v>319</v>
      </c>
      <c r="C82" s="49">
        <f xml:space="preserve"> C77*C74</f>
        <v>7380</v>
      </c>
      <c r="D82" s="57"/>
      <c r="E82" s="49" t="s">
        <v>125</v>
      </c>
      <c r="F82" s="49" t="s">
        <v>224</v>
      </c>
      <c r="G82" s="49" t="s">
        <v>21</v>
      </c>
      <c r="H82" s="29" t="s">
        <v>321</v>
      </c>
      <c r="I82" s="105" t="s">
        <v>207</v>
      </c>
      <c r="J82" s="105"/>
      <c r="K82" s="105"/>
      <c r="L82" s="105"/>
      <c r="M82" s="105"/>
    </row>
    <row r="83" spans="1:16" s="49" customFormat="1" ht="18" customHeight="1" x14ac:dyDescent="0.2">
      <c r="A83" s="49" t="s">
        <v>318</v>
      </c>
      <c r="B83" s="49" t="s">
        <v>320</v>
      </c>
      <c r="C83" s="49">
        <f xml:space="preserve"> C78*C75</f>
        <v>9450</v>
      </c>
      <c r="D83" s="57"/>
      <c r="E83" s="49" t="s">
        <v>125</v>
      </c>
      <c r="F83" s="49" t="s">
        <v>224</v>
      </c>
      <c r="G83" s="49" t="s">
        <v>21</v>
      </c>
      <c r="H83" s="29" t="s">
        <v>321</v>
      </c>
      <c r="I83" s="105" t="s">
        <v>207</v>
      </c>
      <c r="J83" s="105"/>
      <c r="K83" s="105"/>
      <c r="L83" s="105"/>
      <c r="M83" s="105"/>
      <c r="O83" s="12"/>
      <c r="P83" s="12"/>
    </row>
    <row r="84" spans="1:16" s="49" customFormat="1" ht="18" customHeight="1" x14ac:dyDescent="0.2">
      <c r="A84" s="49" t="s">
        <v>322</v>
      </c>
      <c r="B84" s="49" t="s">
        <v>323</v>
      </c>
      <c r="C84" s="49">
        <f>$C$12*C79</f>
        <v>2400</v>
      </c>
      <c r="D84" s="57"/>
      <c r="E84" s="49" t="s">
        <v>125</v>
      </c>
      <c r="F84" s="49" t="s">
        <v>224</v>
      </c>
      <c r="G84" s="49" t="s">
        <v>21</v>
      </c>
      <c r="H84" s="29" t="s">
        <v>326</v>
      </c>
      <c r="I84" s="105" t="s">
        <v>207</v>
      </c>
      <c r="J84" s="105"/>
      <c r="K84" s="105"/>
      <c r="L84" s="105"/>
      <c r="M84" s="105"/>
      <c r="O84" s="12"/>
      <c r="P84" s="12"/>
    </row>
    <row r="85" spans="1:16" s="49" customFormat="1" ht="18" customHeight="1" x14ac:dyDescent="0.2">
      <c r="A85" s="49" t="s">
        <v>324</v>
      </c>
      <c r="B85" s="49" t="s">
        <v>325</v>
      </c>
      <c r="C85" s="49">
        <f>C80*$C$13</f>
        <v>450</v>
      </c>
      <c r="D85" s="57"/>
      <c r="E85" s="49" t="s">
        <v>125</v>
      </c>
      <c r="F85" s="49" t="s">
        <v>224</v>
      </c>
      <c r="G85" s="49" t="s">
        <v>21</v>
      </c>
      <c r="H85" s="29" t="s">
        <v>326</v>
      </c>
      <c r="I85" s="105" t="s">
        <v>207</v>
      </c>
      <c r="J85" s="105"/>
      <c r="K85" s="105"/>
      <c r="L85" s="105"/>
      <c r="M85" s="105"/>
      <c r="O85" s="12"/>
      <c r="P85" s="12"/>
    </row>
    <row r="86" spans="1:16" ht="22" customHeight="1" x14ac:dyDescent="0.2">
      <c r="A86" s="113" t="s">
        <v>487</v>
      </c>
      <c r="B86" s="114"/>
      <c r="C86" s="114"/>
      <c r="D86" s="114"/>
      <c r="E86" s="114"/>
      <c r="F86" s="114"/>
      <c r="G86" s="114"/>
      <c r="H86" s="114"/>
      <c r="I86" s="114"/>
      <c r="J86" s="114"/>
      <c r="K86" s="114"/>
      <c r="L86" s="114"/>
      <c r="M86" s="115"/>
    </row>
    <row r="87" spans="1:16" ht="18" customHeight="1" x14ac:dyDescent="0.2">
      <c r="A87" s="23" t="s">
        <v>5</v>
      </c>
      <c r="B87" s="23" t="s">
        <v>96</v>
      </c>
      <c r="C87" s="24" t="s">
        <v>7</v>
      </c>
      <c r="D87" s="58"/>
      <c r="E87" s="24" t="s">
        <v>125</v>
      </c>
      <c r="F87" s="24" t="s">
        <v>8</v>
      </c>
      <c r="G87" s="24" t="s">
        <v>9</v>
      </c>
      <c r="H87" s="31" t="s">
        <v>10</v>
      </c>
      <c r="I87" s="106" t="s">
        <v>11</v>
      </c>
      <c r="J87" s="106"/>
      <c r="K87" s="106"/>
      <c r="L87" s="106"/>
      <c r="M87" s="106"/>
    </row>
    <row r="88" spans="1:16" ht="18" customHeight="1" x14ac:dyDescent="0.2">
      <c r="A88" s="12" t="s">
        <v>327</v>
      </c>
      <c r="B88" s="12" t="s">
        <v>328</v>
      </c>
      <c r="C88" s="13">
        <f>SUM($C$66:$C$70,$C$55,$C$51,$C$47,$C$42,$C$38,$C$32:$C$33:$C$22:$C$23)</f>
        <v>3195475.7315265508</v>
      </c>
      <c r="D88" s="13"/>
      <c r="E88" s="12" t="s">
        <v>125</v>
      </c>
      <c r="F88" s="12" t="s">
        <v>224</v>
      </c>
      <c r="G88" s="12" t="s">
        <v>21</v>
      </c>
      <c r="H88" s="29" t="s">
        <v>329</v>
      </c>
      <c r="I88" s="105"/>
      <c r="J88" s="105"/>
      <c r="K88" s="105"/>
      <c r="L88" s="105"/>
      <c r="M88" s="105"/>
    </row>
    <row r="89" spans="1:16" ht="18" customHeight="1" x14ac:dyDescent="0.2">
      <c r="A89" s="12" t="s">
        <v>330</v>
      </c>
      <c r="B89" s="12" t="s">
        <v>331</v>
      </c>
      <c r="C89" s="12">
        <f>SUM($C$61:$C$65)+'Initial Estimates'!$C$39+'Initial Estimates'!$C$38+'Initial Estimates'!$C$37+'Initial Estimates'!$C$36+'Initial Estimates'!$C$35+'Initial Estimates'!$C$34+'Initial Estimates'!$C$33+'Initial Estimates'!$C$27</f>
        <v>48500.637938321612</v>
      </c>
      <c r="E89" s="12" t="s">
        <v>125</v>
      </c>
      <c r="F89" s="12" t="s">
        <v>223</v>
      </c>
      <c r="G89" s="12" t="s">
        <v>21</v>
      </c>
      <c r="H89" s="29" t="s">
        <v>332</v>
      </c>
      <c r="I89" s="105"/>
      <c r="J89" s="105"/>
      <c r="K89" s="105"/>
      <c r="L89" s="105"/>
      <c r="M89" s="105"/>
    </row>
    <row r="90" spans="1:16" ht="18" customHeight="1" x14ac:dyDescent="0.2">
      <c r="A90" s="12" t="s">
        <v>289</v>
      </c>
      <c r="B90" s="47" t="s">
        <v>333</v>
      </c>
      <c r="C90" s="47">
        <f>C88/C89</f>
        <v>65.885230944595932</v>
      </c>
      <c r="D90" s="67"/>
      <c r="E90" s="12" t="s">
        <v>125</v>
      </c>
      <c r="F90" s="12" t="s">
        <v>29</v>
      </c>
      <c r="G90" s="12" t="s">
        <v>21</v>
      </c>
      <c r="H90" s="29" t="s">
        <v>334</v>
      </c>
      <c r="I90" s="105"/>
      <c r="J90" s="105"/>
      <c r="K90" s="105"/>
      <c r="L90" s="105"/>
      <c r="M90" s="105"/>
    </row>
    <row r="91" spans="1:16" ht="18" customHeight="1" x14ac:dyDescent="0.2">
      <c r="A91" s="12" t="s">
        <v>335</v>
      </c>
      <c r="B91" s="47" t="s">
        <v>336</v>
      </c>
      <c r="C91" s="47">
        <f>(C90-$C$19)/'Initial Estimates'!$C$10*100</f>
        <v>-39.267087685696062</v>
      </c>
      <c r="D91" s="67"/>
      <c r="E91" s="12" t="s">
        <v>125</v>
      </c>
      <c r="F91" s="12" t="s">
        <v>337</v>
      </c>
      <c r="G91" s="12" t="s">
        <v>21</v>
      </c>
      <c r="H91" s="29" t="s">
        <v>338</v>
      </c>
      <c r="I91" s="105"/>
      <c r="J91" s="105"/>
      <c r="K91" s="105"/>
      <c r="L91" s="105"/>
      <c r="M91" s="105"/>
      <c r="O91" s="49"/>
      <c r="P91" s="49"/>
    </row>
    <row r="92" spans="1:16" ht="18" customHeight="1" x14ac:dyDescent="0.2">
      <c r="A92" s="113" t="s">
        <v>488</v>
      </c>
      <c r="B92" s="116"/>
      <c r="C92" s="116"/>
      <c r="D92" s="116"/>
      <c r="E92" s="114"/>
      <c r="F92" s="114"/>
      <c r="G92" s="114"/>
      <c r="H92" s="114"/>
      <c r="I92" s="114"/>
      <c r="J92" s="114"/>
      <c r="K92" s="114"/>
      <c r="L92" s="114"/>
      <c r="M92" s="115"/>
      <c r="O92" s="49"/>
      <c r="P92" s="49"/>
    </row>
    <row r="93" spans="1:16" ht="18" customHeight="1" x14ac:dyDescent="0.2">
      <c r="A93" s="23" t="s">
        <v>5</v>
      </c>
      <c r="B93" s="23" t="s">
        <v>96</v>
      </c>
      <c r="C93" s="50" t="s">
        <v>7</v>
      </c>
      <c r="D93" s="58"/>
      <c r="E93" s="50" t="s">
        <v>125</v>
      </c>
      <c r="F93" s="50" t="s">
        <v>8</v>
      </c>
      <c r="G93" s="50" t="s">
        <v>9</v>
      </c>
      <c r="H93" s="31" t="s">
        <v>10</v>
      </c>
      <c r="I93" s="106" t="s">
        <v>11</v>
      </c>
      <c r="J93" s="106"/>
      <c r="K93" s="106"/>
      <c r="L93" s="106"/>
      <c r="M93" s="106"/>
      <c r="O93" s="49"/>
      <c r="P93" s="49"/>
    </row>
    <row r="94" spans="1:16" s="49" customFormat="1" ht="18" customHeight="1" x14ac:dyDescent="0.2">
      <c r="A94" s="49" t="s">
        <v>327</v>
      </c>
      <c r="B94" s="49" t="s">
        <v>328</v>
      </c>
      <c r="C94" s="13">
        <f>SUM($C$66:$C$70,$C$55,$C$51,$C$47,$C$42,$C$38,$C$32,$C$34,$C$22:$C$23)</f>
        <v>2611012.9835392842</v>
      </c>
      <c r="D94" s="13"/>
      <c r="E94" s="49" t="s">
        <v>125</v>
      </c>
      <c r="F94" s="49" t="s">
        <v>224</v>
      </c>
      <c r="G94" s="49" t="s">
        <v>21</v>
      </c>
      <c r="H94" s="29" t="s">
        <v>329</v>
      </c>
      <c r="I94" s="105"/>
      <c r="J94" s="105"/>
      <c r="K94" s="105"/>
      <c r="L94" s="105"/>
      <c r="M94" s="105"/>
    </row>
    <row r="95" spans="1:16" s="49" customFormat="1" ht="18" customHeight="1" x14ac:dyDescent="0.2">
      <c r="A95" s="49" t="s">
        <v>330</v>
      </c>
      <c r="B95" s="49" t="s">
        <v>331</v>
      </c>
      <c r="C95" s="49">
        <f>SUM($C$61:$C$65)+'Initial Estimates'!$C$39+'Initial Estimates'!$C$38+'Initial Estimates'!$C$37+'Initial Estimates'!$C$36+'Initial Estimates'!$C$35+'Initial Estimates'!$C$34+'Initial Estimates'!$C$33+'Initial Estimates'!$C$28</f>
        <v>38417.667463390797</v>
      </c>
      <c r="D95" s="57"/>
      <c r="E95" s="49" t="s">
        <v>125</v>
      </c>
      <c r="F95" s="49" t="s">
        <v>223</v>
      </c>
      <c r="G95" s="49" t="s">
        <v>21</v>
      </c>
      <c r="H95" s="29" t="s">
        <v>332</v>
      </c>
      <c r="I95" s="105"/>
      <c r="J95" s="105"/>
      <c r="K95" s="105"/>
      <c r="L95" s="105"/>
      <c r="M95" s="105"/>
    </row>
    <row r="96" spans="1:16" s="49" customFormat="1" ht="18" customHeight="1" x14ac:dyDescent="0.2">
      <c r="A96" s="49" t="s">
        <v>289</v>
      </c>
      <c r="B96" s="47" t="s">
        <v>333</v>
      </c>
      <c r="C96" s="47">
        <f>C94/C95</f>
        <v>67.963860274114424</v>
      </c>
      <c r="D96" s="67"/>
      <c r="E96" s="49" t="s">
        <v>125</v>
      </c>
      <c r="F96" s="49" t="s">
        <v>29</v>
      </c>
      <c r="G96" s="49" t="s">
        <v>21</v>
      </c>
      <c r="H96" s="29" t="s">
        <v>334</v>
      </c>
      <c r="I96" s="105"/>
      <c r="J96" s="105"/>
      <c r="K96" s="105"/>
      <c r="L96" s="105"/>
      <c r="M96" s="105"/>
    </row>
    <row r="97" spans="1:16" s="49" customFormat="1" ht="18" customHeight="1" x14ac:dyDescent="0.2">
      <c r="A97" s="49" t="s">
        <v>335</v>
      </c>
      <c r="B97" s="47" t="s">
        <v>336</v>
      </c>
      <c r="C97" s="47">
        <f>(C96-$C$19)/'Initial Estimates'!$C$10*100</f>
        <v>-29.08715364855118</v>
      </c>
      <c r="D97" s="67"/>
      <c r="E97" s="49" t="s">
        <v>125</v>
      </c>
      <c r="F97" s="49" t="s">
        <v>337</v>
      </c>
      <c r="G97" s="49" t="s">
        <v>21</v>
      </c>
      <c r="H97" s="29" t="s">
        <v>338</v>
      </c>
      <c r="I97" s="105"/>
      <c r="J97" s="105"/>
      <c r="K97" s="105"/>
      <c r="L97" s="105"/>
      <c r="M97" s="105"/>
    </row>
    <row r="98" spans="1:16" s="49" customFormat="1" ht="18" customHeight="1" x14ac:dyDescent="0.2">
      <c r="A98" s="113" t="s">
        <v>494</v>
      </c>
      <c r="B98" s="116"/>
      <c r="C98" s="116"/>
      <c r="D98" s="116"/>
      <c r="E98" s="114"/>
      <c r="F98" s="114"/>
      <c r="G98" s="114"/>
      <c r="H98" s="114"/>
      <c r="I98" s="114"/>
      <c r="J98" s="114"/>
      <c r="K98" s="114"/>
      <c r="L98" s="114"/>
      <c r="M98" s="115"/>
    </row>
    <row r="99" spans="1:16" s="49" customFormat="1" ht="18" customHeight="1" x14ac:dyDescent="0.2">
      <c r="A99" s="23" t="s">
        <v>5</v>
      </c>
      <c r="B99" s="23" t="s">
        <v>96</v>
      </c>
      <c r="C99" s="50" t="s">
        <v>7</v>
      </c>
      <c r="D99" s="58"/>
      <c r="E99" s="50" t="s">
        <v>125</v>
      </c>
      <c r="F99" s="50" t="s">
        <v>8</v>
      </c>
      <c r="G99" s="50" t="s">
        <v>9</v>
      </c>
      <c r="H99" s="31" t="s">
        <v>10</v>
      </c>
      <c r="I99" s="106" t="s">
        <v>11</v>
      </c>
      <c r="J99" s="106"/>
      <c r="K99" s="106"/>
      <c r="L99" s="106"/>
      <c r="M99" s="106"/>
    </row>
    <row r="100" spans="1:16" s="49" customFormat="1" ht="18" customHeight="1" x14ac:dyDescent="0.2">
      <c r="A100" s="49" t="s">
        <v>327</v>
      </c>
      <c r="B100" s="49" t="s">
        <v>328</v>
      </c>
      <c r="C100" s="13">
        <f>SUM($C$81:$C$85,$C$55,$C$51,$C$47,$C$42,$C$38,$C$32:$C$33:$C$22:$C$23)</f>
        <v>3094475.7315265508</v>
      </c>
      <c r="D100" s="13"/>
      <c r="E100" s="49" t="s">
        <v>125</v>
      </c>
      <c r="F100" s="49" t="s">
        <v>224</v>
      </c>
      <c r="G100" s="49" t="s">
        <v>21</v>
      </c>
      <c r="H100" s="29" t="s">
        <v>329</v>
      </c>
      <c r="I100" s="105"/>
      <c r="J100" s="105"/>
      <c r="K100" s="105"/>
      <c r="L100" s="105"/>
      <c r="M100" s="105"/>
    </row>
    <row r="101" spans="1:16" s="49" customFormat="1" ht="18" customHeight="1" x14ac:dyDescent="0.2">
      <c r="A101" s="49" t="s">
        <v>330</v>
      </c>
      <c r="B101" s="49" t="s">
        <v>331</v>
      </c>
      <c r="C101" s="49">
        <f>SUM($C$76:$C$80)+'Initial Estimates'!$C$39+'Initial Estimates'!$C$38+'Initial Estimates'!$C$37+'Initial Estimates'!$C$36+'Initial Estimates'!$C$35+'Initial Estimates'!$C$34+'Initial Estimates'!$C$33+'Initial Estimates'!$C$27</f>
        <v>45900.637938321612</v>
      </c>
      <c r="D101" s="57"/>
      <c r="E101" s="49" t="s">
        <v>125</v>
      </c>
      <c r="F101" s="49" t="s">
        <v>223</v>
      </c>
      <c r="G101" s="49" t="s">
        <v>21</v>
      </c>
      <c r="H101" s="29" t="s">
        <v>332</v>
      </c>
      <c r="I101" s="105"/>
      <c r="J101" s="105"/>
      <c r="K101" s="105"/>
      <c r="L101" s="105"/>
      <c r="M101" s="105"/>
    </row>
    <row r="102" spans="1:16" s="49" customFormat="1" ht="18" customHeight="1" x14ac:dyDescent="0.2">
      <c r="A102" s="49" t="s">
        <v>289</v>
      </c>
      <c r="B102" s="47" t="s">
        <v>333</v>
      </c>
      <c r="C102" s="47">
        <f>C100/C101</f>
        <v>67.416834939956885</v>
      </c>
      <c r="D102" s="67"/>
      <c r="E102" s="49" t="s">
        <v>125</v>
      </c>
      <c r="F102" s="49" t="s">
        <v>29</v>
      </c>
      <c r="G102" s="49" t="s">
        <v>21</v>
      </c>
      <c r="H102" s="29" t="s">
        <v>334</v>
      </c>
      <c r="I102" s="105"/>
      <c r="J102" s="105"/>
      <c r="K102" s="105"/>
      <c r="L102" s="105"/>
      <c r="M102" s="105"/>
    </row>
    <row r="103" spans="1:16" s="49" customFormat="1" ht="18" customHeight="1" x14ac:dyDescent="0.2">
      <c r="A103" s="49" t="s">
        <v>335</v>
      </c>
      <c r="B103" s="47" t="s">
        <v>336</v>
      </c>
      <c r="C103" s="47">
        <f>(C102-$C$19)/'Initial Estimates'!$C$10*100</f>
        <v>-31.766169930718647</v>
      </c>
      <c r="D103" s="67"/>
      <c r="E103" s="49" t="s">
        <v>125</v>
      </c>
      <c r="F103" s="49" t="s">
        <v>337</v>
      </c>
      <c r="G103" s="49" t="s">
        <v>21</v>
      </c>
      <c r="H103" s="29" t="s">
        <v>338</v>
      </c>
      <c r="I103" s="105"/>
      <c r="J103" s="105"/>
      <c r="K103" s="105"/>
      <c r="L103" s="105"/>
      <c r="M103" s="105"/>
    </row>
    <row r="104" spans="1:16" s="49" customFormat="1" ht="18" customHeight="1" x14ac:dyDescent="0.2">
      <c r="A104" s="113" t="s">
        <v>466</v>
      </c>
      <c r="B104" s="116"/>
      <c r="C104" s="116"/>
      <c r="D104" s="116"/>
      <c r="E104" s="114"/>
      <c r="F104" s="114"/>
      <c r="G104" s="114"/>
      <c r="H104" s="114"/>
      <c r="I104" s="114"/>
      <c r="J104" s="114"/>
      <c r="K104" s="114"/>
      <c r="L104" s="114"/>
      <c r="M104" s="115"/>
    </row>
    <row r="105" spans="1:16" s="49" customFormat="1" ht="18" customHeight="1" x14ac:dyDescent="0.2">
      <c r="A105" s="23" t="s">
        <v>5</v>
      </c>
      <c r="B105" s="23" t="s">
        <v>96</v>
      </c>
      <c r="C105" s="50" t="s">
        <v>7</v>
      </c>
      <c r="D105" s="58"/>
      <c r="E105" s="50" t="s">
        <v>125</v>
      </c>
      <c r="F105" s="50" t="s">
        <v>8</v>
      </c>
      <c r="G105" s="50" t="s">
        <v>9</v>
      </c>
      <c r="H105" s="31" t="s">
        <v>10</v>
      </c>
      <c r="I105" s="106" t="s">
        <v>11</v>
      </c>
      <c r="J105" s="106"/>
      <c r="K105" s="106"/>
      <c r="L105" s="106"/>
      <c r="M105" s="106"/>
    </row>
    <row r="106" spans="1:16" s="49" customFormat="1" ht="18" customHeight="1" x14ac:dyDescent="0.2">
      <c r="A106" s="49" t="s">
        <v>327</v>
      </c>
      <c r="B106" s="49" t="s">
        <v>328</v>
      </c>
      <c r="C106" s="13">
        <f>SUM($C$81:$C$85,$C$55,$C$51,$C$47,$C$42,$C$38,$C$32,$C$34,$C$22:$C$23)</f>
        <v>2510012.9835392842</v>
      </c>
      <c r="D106" s="13"/>
      <c r="E106" s="49" t="s">
        <v>125</v>
      </c>
      <c r="F106" s="49" t="s">
        <v>224</v>
      </c>
      <c r="G106" s="49" t="s">
        <v>21</v>
      </c>
      <c r="H106" s="29" t="s">
        <v>329</v>
      </c>
      <c r="I106" s="105"/>
      <c r="J106" s="105"/>
      <c r="K106" s="105"/>
      <c r="L106" s="105"/>
      <c r="M106" s="105"/>
    </row>
    <row r="107" spans="1:16" s="49" customFormat="1" ht="18" customHeight="1" x14ac:dyDescent="0.2">
      <c r="A107" s="49" t="s">
        <v>330</v>
      </c>
      <c r="B107" s="49" t="s">
        <v>331</v>
      </c>
      <c r="C107" s="49">
        <f>SUM($C$76:$C$80)+'Initial Estimates'!$C$39+'Initial Estimates'!$C$38+'Initial Estimates'!$C$37+'Initial Estimates'!$C$36+'Initial Estimates'!$C$35+'Initial Estimates'!$C$34+'Initial Estimates'!$C$33+'Initial Estimates'!$C$28</f>
        <v>35817.667463390797</v>
      </c>
      <c r="D107" s="57"/>
      <c r="E107" s="49" t="s">
        <v>125</v>
      </c>
      <c r="F107" s="49" t="s">
        <v>223</v>
      </c>
      <c r="G107" s="49" t="s">
        <v>21</v>
      </c>
      <c r="H107" s="29" t="s">
        <v>332</v>
      </c>
      <c r="I107" s="105"/>
      <c r="J107" s="105"/>
      <c r="K107" s="105"/>
      <c r="L107" s="105"/>
      <c r="M107" s="105"/>
      <c r="O107" s="12"/>
      <c r="P107" s="12"/>
    </row>
    <row r="108" spans="1:16" s="49" customFormat="1" ht="18" customHeight="1" x14ac:dyDescent="0.2">
      <c r="A108" s="49" t="s">
        <v>289</v>
      </c>
      <c r="B108" s="47" t="s">
        <v>333</v>
      </c>
      <c r="C108" s="47">
        <f>C106/C107</f>
        <v>70.077510940788258</v>
      </c>
      <c r="D108" s="67"/>
      <c r="E108" s="49" t="s">
        <v>125</v>
      </c>
      <c r="F108" s="49" t="s">
        <v>29</v>
      </c>
      <c r="G108" s="49" t="s">
        <v>21</v>
      </c>
      <c r="H108" s="29" t="s">
        <v>334</v>
      </c>
      <c r="I108" s="105"/>
      <c r="J108" s="105"/>
      <c r="K108" s="105"/>
      <c r="L108" s="105"/>
      <c r="M108" s="105"/>
      <c r="O108" s="12"/>
      <c r="P108" s="12"/>
    </row>
    <row r="109" spans="1:16" s="49" customFormat="1" ht="18" customHeight="1" x14ac:dyDescent="0.2">
      <c r="A109" s="49" t="s">
        <v>335</v>
      </c>
      <c r="B109" s="47" t="s">
        <v>336</v>
      </c>
      <c r="C109" s="47">
        <f>(C108-$C$19)/'Initial Estimates'!$C$10*100</f>
        <v>-18.735705192230572</v>
      </c>
      <c r="D109" s="67"/>
      <c r="E109" s="49" t="s">
        <v>125</v>
      </c>
      <c r="F109" s="49" t="s">
        <v>337</v>
      </c>
      <c r="G109" s="49" t="s">
        <v>21</v>
      </c>
      <c r="H109" s="29" t="s">
        <v>338</v>
      </c>
      <c r="I109" s="105"/>
      <c r="J109" s="105"/>
      <c r="K109" s="105"/>
      <c r="L109" s="105"/>
      <c r="M109" s="105"/>
      <c r="O109" s="12"/>
      <c r="P109" s="12"/>
    </row>
  </sheetData>
  <mergeCells count="109">
    <mergeCell ref="I109:M109"/>
    <mergeCell ref="A104:M104"/>
    <mergeCell ref="I105:M105"/>
    <mergeCell ref="I106:M106"/>
    <mergeCell ref="I107:M107"/>
    <mergeCell ref="I108:M108"/>
    <mergeCell ref="I99:M99"/>
    <mergeCell ref="I100:M100"/>
    <mergeCell ref="I101:M101"/>
    <mergeCell ref="I102:M102"/>
    <mergeCell ref="I103:M103"/>
    <mergeCell ref="I83:M83"/>
    <mergeCell ref="I84:M84"/>
    <mergeCell ref="I85:M85"/>
    <mergeCell ref="I34:M34"/>
    <mergeCell ref="A98:M98"/>
    <mergeCell ref="I97:M97"/>
    <mergeCell ref="I29:M29"/>
    <mergeCell ref="I72:M72"/>
    <mergeCell ref="I73:M73"/>
    <mergeCell ref="I74:M74"/>
    <mergeCell ref="I75:M75"/>
    <mergeCell ref="I76:M76"/>
    <mergeCell ref="I77:M77"/>
    <mergeCell ref="I78:M78"/>
    <mergeCell ref="I79:M79"/>
    <mergeCell ref="I80:M80"/>
    <mergeCell ref="A71:M71"/>
    <mergeCell ref="I81:M81"/>
    <mergeCell ref="I82:M82"/>
    <mergeCell ref="A92:M92"/>
    <mergeCell ref="I93:M93"/>
    <mergeCell ref="I94:M94"/>
    <mergeCell ref="I95:M95"/>
    <mergeCell ref="I96:M96"/>
    <mergeCell ref="I87:M87"/>
    <mergeCell ref="I88:M88"/>
    <mergeCell ref="I89:M89"/>
    <mergeCell ref="I90:M90"/>
    <mergeCell ref="I91:M91"/>
    <mergeCell ref="A86:M86"/>
    <mergeCell ref="I18:M18"/>
    <mergeCell ref="I25:M25"/>
    <mergeCell ref="I40:M40"/>
    <mergeCell ref="I44:M44"/>
    <mergeCell ref="I49:M49"/>
    <mergeCell ref="I53:M53"/>
    <mergeCell ref="I57:M57"/>
    <mergeCell ref="I65:M65"/>
    <mergeCell ref="I66:M66"/>
    <mergeCell ref="I67:M67"/>
    <mergeCell ref="I68:M68"/>
    <mergeCell ref="I69:M69"/>
    <mergeCell ref="I70:M70"/>
    <mergeCell ref="I59:M59"/>
    <mergeCell ref="I60:M60"/>
    <mergeCell ref="I61:M61"/>
    <mergeCell ref="I62:M62"/>
    <mergeCell ref="I63:M63"/>
    <mergeCell ref="I64:M64"/>
    <mergeCell ref="A52:M52"/>
    <mergeCell ref="A56:M56"/>
    <mergeCell ref="I54:M54"/>
    <mergeCell ref="I55:M55"/>
    <mergeCell ref="I58:M58"/>
    <mergeCell ref="I51:M51"/>
    <mergeCell ref="I5:M5"/>
    <mergeCell ref="I6:M6"/>
    <mergeCell ref="A17:M17"/>
    <mergeCell ref="I22:M22"/>
    <mergeCell ref="I23:M23"/>
    <mergeCell ref="A24:M24"/>
    <mergeCell ref="I26:M26"/>
    <mergeCell ref="I28:M28"/>
    <mergeCell ref="I45:M45"/>
    <mergeCell ref="I46:M46"/>
    <mergeCell ref="I47:M47"/>
    <mergeCell ref="I50:M50"/>
    <mergeCell ref="A43:M43"/>
    <mergeCell ref="A48:M48"/>
    <mergeCell ref="I37:M37"/>
    <mergeCell ref="I38:M38"/>
    <mergeCell ref="I36:M36"/>
    <mergeCell ref="I42:M42"/>
    <mergeCell ref="A35:M35"/>
    <mergeCell ref="A39:M39"/>
    <mergeCell ref="I41:M41"/>
    <mergeCell ref="I27:M27"/>
    <mergeCell ref="I30:M30"/>
    <mergeCell ref="I31:M31"/>
    <mergeCell ref="I32:M32"/>
    <mergeCell ref="I33:M33"/>
    <mergeCell ref="I20:M20"/>
    <mergeCell ref="I21:M21"/>
    <mergeCell ref="I13:M13"/>
    <mergeCell ref="I14:M14"/>
    <mergeCell ref="I15:M15"/>
    <mergeCell ref="I16:M16"/>
    <mergeCell ref="I19:M19"/>
    <mergeCell ref="I12:M12"/>
    <mergeCell ref="A1:M1"/>
    <mergeCell ref="I2:M2"/>
    <mergeCell ref="I3:M3"/>
    <mergeCell ref="I4:M4"/>
    <mergeCell ref="I7:M7"/>
    <mergeCell ref="I8:M8"/>
    <mergeCell ref="I9:M9"/>
    <mergeCell ref="I10:M10"/>
    <mergeCell ref="I11:M11"/>
  </mergeCells>
  <pageMargins left="0.7" right="0.7" top="0.75" bottom="0.75" header="0.3" footer="0.3"/>
  <pageSetup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L16"/>
  <sheetViews>
    <sheetView zoomScale="130" zoomScaleNormal="130" zoomScalePageLayoutView="130" workbookViewId="0">
      <selection activeCell="C16" sqref="C16"/>
    </sheetView>
  </sheetViews>
  <sheetFormatPr baseColWidth="10" defaultColWidth="15.1640625" defaultRowHeight="18" customHeight="1" x14ac:dyDescent="0.2"/>
  <cols>
    <col min="1" max="1" width="51" style="12" customWidth="1"/>
    <col min="2" max="2" width="19.33203125" style="12" customWidth="1"/>
    <col min="3" max="3" width="15.1640625" style="12"/>
    <col min="4" max="4" width="2" style="12" customWidth="1"/>
    <col min="5" max="5" width="15.1640625" style="12"/>
    <col min="6" max="6" width="30.33203125" style="12" customWidth="1"/>
    <col min="7" max="7" width="38.6640625" style="29" customWidth="1"/>
    <col min="8" max="16384" width="15.1640625" style="12"/>
  </cols>
  <sheetData>
    <row r="1" spans="1:12" ht="22" customHeight="1" x14ac:dyDescent="0.2">
      <c r="A1" s="113" t="s">
        <v>404</v>
      </c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5"/>
    </row>
    <row r="2" spans="1:12" ht="18" customHeight="1" x14ac:dyDescent="0.2">
      <c r="A2" s="23" t="s">
        <v>5</v>
      </c>
      <c r="B2" s="23" t="s">
        <v>96</v>
      </c>
      <c r="C2" s="24" t="s">
        <v>7</v>
      </c>
      <c r="D2" s="24" t="s">
        <v>125</v>
      </c>
      <c r="E2" s="24" t="s">
        <v>8</v>
      </c>
      <c r="F2" s="24" t="s">
        <v>9</v>
      </c>
      <c r="G2" s="31" t="s">
        <v>10</v>
      </c>
      <c r="H2" s="117" t="s">
        <v>11</v>
      </c>
      <c r="I2" s="118"/>
      <c r="J2" s="118"/>
      <c r="K2" s="118"/>
      <c r="L2" s="119"/>
    </row>
    <row r="3" spans="1:12" ht="18" customHeight="1" x14ac:dyDescent="0.2">
      <c r="A3" s="12" t="s">
        <v>342</v>
      </c>
      <c r="B3" s="12" t="s">
        <v>346</v>
      </c>
      <c r="C3" s="13">
        <v>5.91E-2</v>
      </c>
      <c r="D3" s="12" t="s">
        <v>125</v>
      </c>
      <c r="E3" s="12" t="s">
        <v>137</v>
      </c>
      <c r="F3" s="12" t="s">
        <v>21</v>
      </c>
      <c r="G3" s="29" t="s">
        <v>441</v>
      </c>
      <c r="H3" s="105" t="s">
        <v>341</v>
      </c>
      <c r="I3" s="105"/>
      <c r="J3" s="105"/>
      <c r="K3" s="105"/>
      <c r="L3" s="105"/>
    </row>
    <row r="4" spans="1:12" ht="18" customHeight="1" x14ac:dyDescent="0.2">
      <c r="A4" s="12" t="s">
        <v>343</v>
      </c>
      <c r="B4" s="12" t="s">
        <v>347</v>
      </c>
      <c r="C4" s="13">
        <v>0.89429999999999998</v>
      </c>
      <c r="D4" s="12" t="s">
        <v>125</v>
      </c>
      <c r="E4" s="12" t="s">
        <v>137</v>
      </c>
      <c r="F4" s="12" t="s">
        <v>21</v>
      </c>
      <c r="G4" s="29" t="s">
        <v>441</v>
      </c>
      <c r="H4" s="105" t="s">
        <v>341</v>
      </c>
      <c r="I4" s="105"/>
      <c r="J4" s="105"/>
      <c r="K4" s="105"/>
      <c r="L4" s="105"/>
    </row>
    <row r="5" spans="1:12" ht="18" customHeight="1" x14ac:dyDescent="0.2">
      <c r="A5" s="12" t="s">
        <v>344</v>
      </c>
      <c r="B5" s="12" t="s">
        <v>348</v>
      </c>
      <c r="C5" s="13">
        <v>9.8500000000000004E-2</v>
      </c>
      <c r="D5" s="12" t="s">
        <v>125</v>
      </c>
      <c r="E5" s="12" t="s">
        <v>137</v>
      </c>
      <c r="F5" s="12" t="s">
        <v>21</v>
      </c>
      <c r="G5" s="29" t="s">
        <v>393</v>
      </c>
      <c r="H5" s="105" t="s">
        <v>341</v>
      </c>
      <c r="I5" s="105"/>
      <c r="J5" s="105"/>
      <c r="K5" s="105"/>
      <c r="L5" s="105"/>
    </row>
    <row r="6" spans="1:12" ht="18" customHeight="1" x14ac:dyDescent="0.2">
      <c r="A6" s="12" t="s">
        <v>345</v>
      </c>
      <c r="B6" s="12" t="s">
        <v>349</v>
      </c>
      <c r="C6" s="13">
        <v>0.83540000000000003</v>
      </c>
      <c r="D6" s="12" t="s">
        <v>125</v>
      </c>
      <c r="E6" s="12" t="s">
        <v>137</v>
      </c>
      <c r="F6" s="12" t="s">
        <v>21</v>
      </c>
      <c r="G6" s="29" t="s">
        <v>393</v>
      </c>
      <c r="H6" s="105" t="s">
        <v>341</v>
      </c>
      <c r="I6" s="105"/>
      <c r="J6" s="105"/>
      <c r="K6" s="105"/>
      <c r="L6" s="105"/>
    </row>
    <row r="7" spans="1:12" ht="18" customHeight="1" x14ac:dyDescent="0.2">
      <c r="A7" s="12" t="s">
        <v>350</v>
      </c>
      <c r="B7" s="12" t="s">
        <v>351</v>
      </c>
      <c r="C7" s="13">
        <f xml:space="preserve"> 'Cg Calcs'!C90</f>
        <v>65.885230944595932</v>
      </c>
      <c r="D7" s="12" t="s">
        <v>125</v>
      </c>
      <c r="E7" s="12" t="s">
        <v>29</v>
      </c>
      <c r="F7" s="12" t="s">
        <v>21</v>
      </c>
      <c r="G7" s="29" t="s">
        <v>352</v>
      </c>
      <c r="H7" s="105" t="s">
        <v>341</v>
      </c>
      <c r="I7" s="105"/>
      <c r="J7" s="105"/>
      <c r="K7" s="105"/>
      <c r="L7" s="105"/>
    </row>
    <row r="8" spans="1:12" ht="18" customHeight="1" x14ac:dyDescent="0.2">
      <c r="A8" s="12" t="s">
        <v>364</v>
      </c>
      <c r="B8" s="12" t="s">
        <v>363</v>
      </c>
      <c r="C8" s="13">
        <f xml:space="preserve"> 'Cg Calcs'!C90-'Cg Calcs'!C19</f>
        <v>-8.0179026554040718</v>
      </c>
      <c r="D8" s="12" t="s">
        <v>125</v>
      </c>
      <c r="E8" s="12" t="s">
        <v>29</v>
      </c>
      <c r="F8" s="12" t="s">
        <v>21</v>
      </c>
      <c r="G8" s="29" t="s">
        <v>368</v>
      </c>
      <c r="H8" s="105" t="s">
        <v>341</v>
      </c>
      <c r="I8" s="105"/>
      <c r="J8" s="105"/>
      <c r="K8" s="105"/>
      <c r="L8" s="105"/>
    </row>
    <row r="9" spans="1:12" ht="18" customHeight="1" x14ac:dyDescent="0.2">
      <c r="A9" s="12" t="s">
        <v>365</v>
      </c>
      <c r="B9" s="12" t="s">
        <v>366</v>
      </c>
      <c r="C9" s="13">
        <f>'Cg Calcs'!C10+(1-0.8037)*'Initial Estimates'!C8 - 'Cg Calcs'!C90</f>
        <v>21.017902655404072</v>
      </c>
      <c r="D9" s="12" t="s">
        <v>125</v>
      </c>
      <c r="E9" s="12" t="s">
        <v>29</v>
      </c>
      <c r="F9" s="12" t="s">
        <v>21</v>
      </c>
      <c r="G9" s="29" t="s">
        <v>367</v>
      </c>
      <c r="H9" s="105" t="s">
        <v>341</v>
      </c>
      <c r="I9" s="105"/>
      <c r="J9" s="105"/>
      <c r="K9" s="105"/>
      <c r="L9" s="105"/>
    </row>
    <row r="10" spans="1:12" s="14" customFormat="1" ht="18" customHeight="1" x14ac:dyDescent="0.2">
      <c r="A10" s="14" t="s">
        <v>394</v>
      </c>
      <c r="B10" s="14" t="s">
        <v>395</v>
      </c>
      <c r="C10" s="13">
        <f>C9+C8</f>
        <v>13</v>
      </c>
      <c r="D10" s="14" t="s">
        <v>125</v>
      </c>
      <c r="E10" s="14" t="s">
        <v>29</v>
      </c>
      <c r="F10" s="14" t="s">
        <v>21</v>
      </c>
      <c r="G10" s="29" t="s">
        <v>396</v>
      </c>
      <c r="H10" s="105" t="s">
        <v>455</v>
      </c>
      <c r="I10" s="105"/>
      <c r="J10" s="105"/>
      <c r="K10" s="105"/>
      <c r="L10" s="105"/>
    </row>
    <row r="11" spans="1:12" ht="18" customHeight="1" x14ac:dyDescent="0.2">
      <c r="A11" s="12" t="s">
        <v>369</v>
      </c>
      <c r="B11" s="12" t="s">
        <v>370</v>
      </c>
      <c r="C11" s="13">
        <f>'Initial Estimates'!C21</f>
        <v>3</v>
      </c>
      <c r="D11" s="12" t="s">
        <v>125</v>
      </c>
      <c r="E11" s="12" t="s">
        <v>137</v>
      </c>
      <c r="F11" s="12" t="s">
        <v>14</v>
      </c>
      <c r="G11" s="29" t="s">
        <v>137</v>
      </c>
      <c r="H11" s="105" t="s">
        <v>341</v>
      </c>
      <c r="I11" s="105"/>
      <c r="J11" s="105"/>
      <c r="K11" s="105"/>
      <c r="L11" s="105"/>
    </row>
    <row r="12" spans="1:12" ht="18" customHeight="1" x14ac:dyDescent="0.2">
      <c r="A12" s="12" t="s">
        <v>377</v>
      </c>
      <c r="B12" s="12" t="s">
        <v>378</v>
      </c>
      <c r="C12" s="12">
        <f>'Subsonic Stability'!C10*'Initial Estimates'!C15*1.68</f>
        <v>1456.4012440319998</v>
      </c>
      <c r="D12" s="12" t="s">
        <v>125</v>
      </c>
      <c r="E12" s="12" t="s">
        <v>504</v>
      </c>
      <c r="F12" s="12" t="s">
        <v>21</v>
      </c>
      <c r="G12" s="29" t="s">
        <v>383</v>
      </c>
      <c r="H12" s="105" t="s">
        <v>384</v>
      </c>
      <c r="I12" s="105"/>
      <c r="J12" s="105"/>
      <c r="K12" s="105"/>
      <c r="L12" s="105"/>
    </row>
    <row r="13" spans="1:12" ht="18" customHeight="1" x14ac:dyDescent="0.2">
      <c r="A13" s="12" t="s">
        <v>385</v>
      </c>
      <c r="B13" s="12" t="s">
        <v>386</v>
      </c>
      <c r="C13" s="12">
        <f>0.5*'Initial Estimates'!$C$20*'Stability Constants'!C12^2</f>
        <v>489.97515881574805</v>
      </c>
      <c r="D13" s="12" t="s">
        <v>125</v>
      </c>
      <c r="E13" s="12" t="s">
        <v>387</v>
      </c>
      <c r="F13" s="12" t="s">
        <v>21</v>
      </c>
      <c r="G13" s="29" t="s">
        <v>388</v>
      </c>
      <c r="H13" s="105" t="s">
        <v>384</v>
      </c>
      <c r="I13" s="105"/>
      <c r="J13" s="105"/>
      <c r="K13" s="105"/>
      <c r="L13" s="105"/>
    </row>
    <row r="14" spans="1:12" ht="18" customHeight="1" x14ac:dyDescent="0.2">
      <c r="A14" s="12" t="s">
        <v>389</v>
      </c>
      <c r="B14" s="12" t="s">
        <v>117</v>
      </c>
      <c r="C14" s="12">
        <f>PI()*('Initial Estimates'!C58/2)^2*'Initial Estimates'!C50</f>
        <v>2392.9373797714861</v>
      </c>
      <c r="D14" s="12" t="s">
        <v>125</v>
      </c>
      <c r="E14" s="12" t="s">
        <v>360</v>
      </c>
      <c r="F14" s="12" t="s">
        <v>21</v>
      </c>
      <c r="G14" s="29" t="s">
        <v>390</v>
      </c>
      <c r="H14" s="105" t="s">
        <v>384</v>
      </c>
      <c r="I14" s="105"/>
      <c r="J14" s="105"/>
      <c r="K14" s="105"/>
      <c r="L14" s="105"/>
    </row>
    <row r="15" spans="1:12" ht="18" customHeight="1" x14ac:dyDescent="0.2">
      <c r="A15" s="12" t="s">
        <v>391</v>
      </c>
      <c r="B15" s="12" t="s">
        <v>392</v>
      </c>
      <c r="C15" s="14">
        <f>PI()*('Initial Estimates'!C58/2)^2*'Initial Estimates'!C51</f>
        <v>1696.6760174334224</v>
      </c>
      <c r="D15" s="12" t="s">
        <v>125</v>
      </c>
      <c r="E15" s="12" t="s">
        <v>360</v>
      </c>
      <c r="F15" s="12" t="s">
        <v>21</v>
      </c>
      <c r="G15" s="29" t="s">
        <v>393</v>
      </c>
      <c r="H15" s="105" t="s">
        <v>384</v>
      </c>
      <c r="I15" s="105"/>
      <c r="J15" s="105"/>
      <c r="K15" s="105"/>
      <c r="L15" s="105"/>
    </row>
    <row r="16" spans="1:12" ht="18" customHeight="1" x14ac:dyDescent="0.2">
      <c r="A16" s="12" t="s">
        <v>397</v>
      </c>
      <c r="B16" s="12" t="s">
        <v>398</v>
      </c>
      <c r="C16" s="13">
        <v>1</v>
      </c>
      <c r="D16" s="12" t="s">
        <v>125</v>
      </c>
      <c r="E16" s="12" t="s">
        <v>137</v>
      </c>
      <c r="F16" s="12" t="s">
        <v>400</v>
      </c>
      <c r="G16" s="29" t="s">
        <v>401</v>
      </c>
      <c r="H16" s="105" t="s">
        <v>341</v>
      </c>
      <c r="I16" s="105"/>
      <c r="J16" s="105"/>
      <c r="K16" s="105"/>
      <c r="L16" s="105"/>
    </row>
  </sheetData>
  <mergeCells count="16">
    <mergeCell ref="H10:L10"/>
    <mergeCell ref="H8:L8"/>
    <mergeCell ref="H9:L9"/>
    <mergeCell ref="A1:L1"/>
    <mergeCell ref="H2:L2"/>
    <mergeCell ref="H3:L3"/>
    <mergeCell ref="H4:L4"/>
    <mergeCell ref="H5:L5"/>
    <mergeCell ref="H6:L6"/>
    <mergeCell ref="H7:L7"/>
    <mergeCell ref="H16:L16"/>
    <mergeCell ref="H15:L15"/>
    <mergeCell ref="H11:L11"/>
    <mergeCell ref="H12:L12"/>
    <mergeCell ref="H13:L13"/>
    <mergeCell ref="H14:L14"/>
  </mergeCells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M55"/>
  <sheetViews>
    <sheetView zoomScale="70" zoomScaleNormal="70" zoomScalePageLayoutView="70" workbookViewId="0">
      <selection activeCell="G81" sqref="G81"/>
    </sheetView>
  </sheetViews>
  <sheetFormatPr baseColWidth="10" defaultColWidth="15.1640625" defaultRowHeight="18" customHeight="1" x14ac:dyDescent="0.2"/>
  <cols>
    <col min="1" max="1" width="27.6640625" style="14" customWidth="1"/>
    <col min="2" max="2" width="19.33203125" style="14" customWidth="1"/>
    <col min="3" max="3" width="15.1640625" style="14"/>
    <col min="4" max="4" width="2" style="14" customWidth="1"/>
    <col min="5" max="5" width="6.6640625" style="14" customWidth="1"/>
    <col min="6" max="6" width="30.33203125" style="14" customWidth="1"/>
    <col min="7" max="7" width="52.83203125" style="29" customWidth="1"/>
    <col min="8" max="16384" width="15.1640625" style="14"/>
  </cols>
  <sheetData>
    <row r="1" spans="1:12" ht="22" customHeight="1" x14ac:dyDescent="0.2">
      <c r="A1" s="113" t="s">
        <v>402</v>
      </c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5"/>
    </row>
    <row r="2" spans="1:12" ht="18" customHeight="1" x14ac:dyDescent="0.2">
      <c r="A2" s="23" t="s">
        <v>5</v>
      </c>
      <c r="B2" s="23" t="s">
        <v>96</v>
      </c>
      <c r="C2" s="25" t="s">
        <v>7</v>
      </c>
      <c r="D2" s="25" t="s">
        <v>125</v>
      </c>
      <c r="E2" s="25" t="s">
        <v>8</v>
      </c>
      <c r="F2" s="25" t="s">
        <v>9</v>
      </c>
      <c r="G2" s="31" t="s">
        <v>10</v>
      </c>
      <c r="H2" s="117" t="s">
        <v>11</v>
      </c>
      <c r="I2" s="118"/>
      <c r="J2" s="118"/>
      <c r="K2" s="118"/>
      <c r="L2" s="119"/>
    </row>
    <row r="3" spans="1:12" ht="18" customHeight="1" x14ac:dyDescent="0.2">
      <c r="A3" s="34" t="s">
        <v>410</v>
      </c>
      <c r="B3" s="14" t="s">
        <v>411</v>
      </c>
      <c r="C3" s="13">
        <v>0.5</v>
      </c>
      <c r="D3" s="14" t="s">
        <v>125</v>
      </c>
      <c r="E3" s="14" t="s">
        <v>137</v>
      </c>
      <c r="F3" s="14" t="s">
        <v>14</v>
      </c>
      <c r="G3" s="29" t="s">
        <v>137</v>
      </c>
      <c r="H3" s="123" t="s">
        <v>412</v>
      </c>
      <c r="I3" s="123"/>
      <c r="J3" s="123"/>
      <c r="K3" s="123"/>
      <c r="L3" s="123"/>
    </row>
    <row r="4" spans="1:12" ht="18" customHeight="1" x14ac:dyDescent="0.2">
      <c r="A4" s="34" t="s">
        <v>375</v>
      </c>
      <c r="B4" s="14" t="s">
        <v>376</v>
      </c>
      <c r="C4" s="13">
        <f>'Initial Estimates'!C5*'Initial Estimates'!C10/'Stability Constants'!C9</f>
        <v>1010.3597808100012</v>
      </c>
      <c r="D4" s="14" t="s">
        <v>125</v>
      </c>
      <c r="E4" s="14" t="s">
        <v>222</v>
      </c>
      <c r="F4" s="14" t="s">
        <v>21</v>
      </c>
      <c r="G4" s="29" t="s">
        <v>456</v>
      </c>
      <c r="H4" s="123" t="s">
        <v>382</v>
      </c>
      <c r="I4" s="123"/>
      <c r="J4" s="123"/>
      <c r="K4" s="123"/>
      <c r="L4" s="123"/>
    </row>
    <row r="5" spans="1:12" ht="18" customHeight="1" x14ac:dyDescent="0.2">
      <c r="A5" s="34" t="s">
        <v>353</v>
      </c>
      <c r="B5" s="14" t="s">
        <v>354</v>
      </c>
      <c r="C5" s="13">
        <v>0</v>
      </c>
      <c r="D5" s="14" t="s">
        <v>125</v>
      </c>
      <c r="E5" s="14" t="s">
        <v>137</v>
      </c>
      <c r="F5" s="14" t="s">
        <v>14</v>
      </c>
      <c r="G5" s="29" t="s">
        <v>355</v>
      </c>
      <c r="H5" s="105" t="s">
        <v>413</v>
      </c>
      <c r="I5" s="105"/>
      <c r="J5" s="105"/>
      <c r="K5" s="105"/>
      <c r="L5" s="105"/>
    </row>
    <row r="6" spans="1:12" ht="18" customHeight="1" x14ac:dyDescent="0.2">
      <c r="A6" s="34" t="s">
        <v>339</v>
      </c>
      <c r="B6" s="14" t="s">
        <v>340</v>
      </c>
      <c r="C6" s="13">
        <v>0</v>
      </c>
      <c r="D6" s="13" t="s">
        <v>125</v>
      </c>
      <c r="E6" s="14" t="s">
        <v>137</v>
      </c>
      <c r="F6" s="14" t="s">
        <v>14</v>
      </c>
      <c r="G6" s="29" t="s">
        <v>418</v>
      </c>
      <c r="H6" s="122" t="s">
        <v>341</v>
      </c>
      <c r="I6" s="122"/>
      <c r="J6" s="122"/>
      <c r="K6" s="122"/>
      <c r="L6" s="122"/>
    </row>
    <row r="7" spans="1:12" ht="18" customHeight="1" x14ac:dyDescent="0.2">
      <c r="A7" s="34" t="s">
        <v>414</v>
      </c>
      <c r="B7" s="14" t="s">
        <v>415</v>
      </c>
      <c r="C7" s="13">
        <f>2*C11/(PI()*'Initial Estimates'!C6)*(1+C6)</f>
        <v>5.3079502468567366E-2</v>
      </c>
      <c r="D7" s="14" t="s">
        <v>125</v>
      </c>
      <c r="E7" s="14" t="s">
        <v>137</v>
      </c>
      <c r="F7" s="14" t="s">
        <v>14</v>
      </c>
      <c r="G7" s="29" t="s">
        <v>416</v>
      </c>
      <c r="H7" s="105" t="s">
        <v>417</v>
      </c>
      <c r="I7" s="105"/>
      <c r="J7" s="105"/>
      <c r="K7" s="105"/>
      <c r="L7" s="105"/>
    </row>
    <row r="8" spans="1:12" ht="22" customHeight="1" x14ac:dyDescent="0.2">
      <c r="A8" s="113" t="s">
        <v>424</v>
      </c>
      <c r="B8" s="114"/>
      <c r="C8" s="114"/>
      <c r="D8" s="114"/>
      <c r="E8" s="114"/>
      <c r="F8" s="114"/>
      <c r="G8" s="114"/>
      <c r="H8" s="116"/>
      <c r="I8" s="116"/>
      <c r="J8" s="116"/>
      <c r="K8" s="116"/>
      <c r="L8" s="120"/>
    </row>
    <row r="9" spans="1:12" ht="18" customHeight="1" x14ac:dyDescent="0.2">
      <c r="A9" s="23" t="s">
        <v>5</v>
      </c>
      <c r="B9" s="23" t="s">
        <v>96</v>
      </c>
      <c r="C9" s="25" t="s">
        <v>7</v>
      </c>
      <c r="D9" s="25" t="s">
        <v>125</v>
      </c>
      <c r="E9" s="25" t="s">
        <v>8</v>
      </c>
      <c r="F9" s="25" t="s">
        <v>9</v>
      </c>
      <c r="G9" s="31" t="s">
        <v>10</v>
      </c>
      <c r="H9" s="117" t="s">
        <v>11</v>
      </c>
      <c r="I9" s="118"/>
      <c r="J9" s="118"/>
      <c r="K9" s="118"/>
      <c r="L9" s="119"/>
    </row>
    <row r="10" spans="1:12" ht="18" customHeight="1" x14ac:dyDescent="0.2">
      <c r="A10" s="14" t="s">
        <v>379</v>
      </c>
      <c r="B10" s="14" t="s">
        <v>380</v>
      </c>
      <c r="C10" s="36">
        <v>0.9</v>
      </c>
      <c r="D10" s="14" t="s">
        <v>125</v>
      </c>
      <c r="E10" s="14" t="s">
        <v>137</v>
      </c>
      <c r="F10" s="14" t="s">
        <v>381</v>
      </c>
      <c r="G10" s="29" t="s">
        <v>137</v>
      </c>
      <c r="H10" s="121" t="s">
        <v>309</v>
      </c>
      <c r="I10" s="121"/>
      <c r="J10" s="121"/>
      <c r="K10" s="121"/>
      <c r="L10" s="121"/>
    </row>
    <row r="11" spans="1:12" ht="18" customHeight="1" x14ac:dyDescent="0.2">
      <c r="A11" s="14" t="s">
        <v>405</v>
      </c>
      <c r="B11" s="14" t="s">
        <v>406</v>
      </c>
      <c r="C11" s="36">
        <v>0.28999999999999998</v>
      </c>
      <c r="D11" s="14" t="s">
        <v>125</v>
      </c>
      <c r="E11" s="14" t="s">
        <v>137</v>
      </c>
      <c r="F11" s="14" t="s">
        <v>399</v>
      </c>
      <c r="G11" s="29" t="s">
        <v>137</v>
      </c>
      <c r="H11" s="122" t="s">
        <v>408</v>
      </c>
      <c r="I11" s="122"/>
      <c r="J11" s="122"/>
      <c r="K11" s="122"/>
      <c r="L11" s="122"/>
    </row>
    <row r="12" spans="1:12" ht="18" customHeight="1" x14ac:dyDescent="0.2">
      <c r="A12" s="14" t="s">
        <v>447</v>
      </c>
      <c r="B12" s="47" t="s">
        <v>448</v>
      </c>
      <c r="C12" s="48">
        <v>7.0153931870556185E-2</v>
      </c>
      <c r="D12" s="14" t="s">
        <v>125</v>
      </c>
      <c r="E12" s="14" t="s">
        <v>137</v>
      </c>
      <c r="F12" s="14" t="s">
        <v>399</v>
      </c>
      <c r="G12" s="29" t="s">
        <v>137</v>
      </c>
      <c r="H12" s="122" t="s">
        <v>449</v>
      </c>
      <c r="I12" s="122"/>
      <c r="J12" s="122"/>
      <c r="K12" s="122"/>
      <c r="L12" s="122"/>
    </row>
    <row r="13" spans="1:12" ht="18" customHeight="1" x14ac:dyDescent="0.2">
      <c r="A13" s="14" t="s">
        <v>403</v>
      </c>
      <c r="B13" s="14" t="s">
        <v>436</v>
      </c>
      <c r="C13" s="36">
        <f>2.46*PI()/180</f>
        <v>4.2935099599060507E-2</v>
      </c>
      <c r="D13" s="14" t="s">
        <v>125</v>
      </c>
      <c r="E13" s="14" t="s">
        <v>407</v>
      </c>
      <c r="F13" s="14" t="s">
        <v>9</v>
      </c>
      <c r="G13" s="29" t="s">
        <v>137</v>
      </c>
      <c r="H13" s="122" t="s">
        <v>409</v>
      </c>
      <c r="I13" s="122"/>
      <c r="J13" s="122"/>
      <c r="K13" s="122"/>
      <c r="L13" s="122"/>
    </row>
    <row r="14" spans="1:12" s="46" customFormat="1" ht="18" customHeight="1" x14ac:dyDescent="0.2">
      <c r="A14" s="46" t="s">
        <v>480</v>
      </c>
      <c r="B14" s="47" t="s">
        <v>481</v>
      </c>
      <c r="C14" s="48">
        <f>C12/C16</f>
        <v>1.0386434662510467E-2</v>
      </c>
      <c r="D14" s="46" t="s">
        <v>125</v>
      </c>
      <c r="E14" s="46" t="s">
        <v>407</v>
      </c>
      <c r="F14" s="46" t="s">
        <v>21</v>
      </c>
      <c r="G14" s="29" t="s">
        <v>482</v>
      </c>
      <c r="H14" s="122" t="s">
        <v>483</v>
      </c>
      <c r="I14" s="122"/>
      <c r="J14" s="122"/>
      <c r="K14" s="122"/>
      <c r="L14" s="122"/>
    </row>
    <row r="15" spans="1:12" ht="18" customHeight="1" x14ac:dyDescent="0.2">
      <c r="A15" s="14" t="s">
        <v>419</v>
      </c>
      <c r="B15" s="14" t="s">
        <v>420</v>
      </c>
      <c r="C15" s="36">
        <f>C11/C13</f>
        <v>6.7543805117048263</v>
      </c>
      <c r="D15" s="14" t="s">
        <v>125</v>
      </c>
      <c r="E15" s="14" t="s">
        <v>421</v>
      </c>
      <c r="F15" s="14" t="s">
        <v>21</v>
      </c>
      <c r="G15" s="29" t="s">
        <v>422</v>
      </c>
      <c r="H15" s="105" t="s">
        <v>423</v>
      </c>
      <c r="I15" s="105"/>
      <c r="J15" s="105"/>
      <c r="K15" s="105"/>
      <c r="L15" s="105"/>
    </row>
    <row r="16" spans="1:12" ht="18" customHeight="1" x14ac:dyDescent="0.2">
      <c r="A16" s="14" t="s">
        <v>425</v>
      </c>
      <c r="B16" s="14" t="s">
        <v>426</v>
      </c>
      <c r="C16" s="36">
        <f>C15</f>
        <v>6.7543805117048263</v>
      </c>
      <c r="D16" s="14" t="s">
        <v>125</v>
      </c>
      <c r="E16" s="14" t="s">
        <v>421</v>
      </c>
      <c r="F16" s="14" t="s">
        <v>21</v>
      </c>
      <c r="G16" s="29" t="s">
        <v>427</v>
      </c>
      <c r="H16" s="105" t="s">
        <v>428</v>
      </c>
      <c r="I16" s="105"/>
      <c r="J16" s="105"/>
      <c r="K16" s="105"/>
      <c r="L16" s="105"/>
    </row>
    <row r="17" spans="1:13" ht="18" customHeight="1" x14ac:dyDescent="0.2">
      <c r="A17" s="34" t="s">
        <v>429</v>
      </c>
      <c r="B17" s="14" t="s">
        <v>430</v>
      </c>
      <c r="C17" s="36">
        <f>$C$7/C13</f>
        <v>1.2362729553264815</v>
      </c>
      <c r="D17" s="14" t="s">
        <v>125</v>
      </c>
      <c r="E17" s="14" t="s">
        <v>431</v>
      </c>
      <c r="F17" s="14" t="s">
        <v>21</v>
      </c>
      <c r="G17" s="29" t="s">
        <v>432</v>
      </c>
      <c r="H17" s="105" t="s">
        <v>433</v>
      </c>
      <c r="I17" s="105"/>
      <c r="J17" s="105"/>
      <c r="K17" s="105"/>
      <c r="L17" s="105"/>
    </row>
    <row r="18" spans="1:13" ht="18" customHeight="1" x14ac:dyDescent="0.2">
      <c r="A18" s="14" t="s">
        <v>434</v>
      </c>
      <c r="B18" s="14" t="s">
        <v>435</v>
      </c>
      <c r="C18" s="36">
        <f>2*'Stability Constants'!$C$13*('Stability Constants'!$C$4-'Stability Constants'!$C$3)*'Stability Constants'!$C$14*'Subsonic Stability'!C13</f>
        <v>84088.838202792365</v>
      </c>
      <c r="D18" s="14" t="s">
        <v>125</v>
      </c>
      <c r="E18" s="14" t="s">
        <v>224</v>
      </c>
      <c r="F18" s="14" t="s">
        <v>21</v>
      </c>
      <c r="G18" s="29" t="s">
        <v>437</v>
      </c>
      <c r="H18" s="105" t="s">
        <v>438</v>
      </c>
      <c r="I18" s="105"/>
      <c r="J18" s="105"/>
      <c r="K18" s="105"/>
      <c r="L18" s="105"/>
    </row>
    <row r="19" spans="1:13" ht="18" customHeight="1" x14ac:dyDescent="0.2">
      <c r="A19" s="14" t="s">
        <v>439</v>
      </c>
      <c r="B19" s="14" t="s">
        <v>440</v>
      </c>
      <c r="C19" s="36">
        <f>2*'Stability Constants'!$C$13*('Stability Constants'!$C$6-'Stability Constants'!$C$5)*'Stability Constants'!$C$15*'Subsonic Stability'!C13</f>
        <v>52604.634851850758</v>
      </c>
      <c r="D19" s="14" t="s">
        <v>125</v>
      </c>
      <c r="E19" s="14" t="s">
        <v>224</v>
      </c>
      <c r="F19" s="14" t="s">
        <v>21</v>
      </c>
      <c r="G19" s="29" t="s">
        <v>442</v>
      </c>
      <c r="H19" s="105" t="s">
        <v>438</v>
      </c>
      <c r="I19" s="105"/>
      <c r="J19" s="105"/>
      <c r="K19" s="105"/>
      <c r="L19" s="105"/>
    </row>
    <row r="20" spans="1:13" ht="22" customHeight="1" x14ac:dyDescent="0.2">
      <c r="A20" s="113" t="s">
        <v>443</v>
      </c>
      <c r="B20" s="114"/>
      <c r="C20" s="114"/>
      <c r="D20" s="114"/>
      <c r="E20" s="114"/>
      <c r="F20" s="114"/>
      <c r="G20" s="114"/>
      <c r="H20" s="116"/>
      <c r="I20" s="116"/>
      <c r="J20" s="116"/>
      <c r="K20" s="116"/>
      <c r="L20" s="120"/>
    </row>
    <row r="21" spans="1:13" ht="18" customHeight="1" x14ac:dyDescent="0.2">
      <c r="A21" s="23" t="s">
        <v>5</v>
      </c>
      <c r="B21" s="23" t="s">
        <v>96</v>
      </c>
      <c r="C21" s="25" t="s">
        <v>7</v>
      </c>
      <c r="D21" s="25" t="s">
        <v>125</v>
      </c>
      <c r="E21" s="25" t="s">
        <v>8</v>
      </c>
      <c r="F21" s="25" t="s">
        <v>9</v>
      </c>
      <c r="G21" s="31" t="s">
        <v>10</v>
      </c>
      <c r="H21" s="117" t="s">
        <v>11</v>
      </c>
      <c r="I21" s="118"/>
      <c r="J21" s="118"/>
      <c r="K21" s="118"/>
      <c r="L21" s="119"/>
    </row>
    <row r="22" spans="1:13" ht="18" customHeight="1" x14ac:dyDescent="0.2">
      <c r="A22" s="14" t="s">
        <v>379</v>
      </c>
      <c r="B22" s="14" t="s">
        <v>380</v>
      </c>
      <c r="C22" s="36">
        <v>0.9</v>
      </c>
      <c r="D22" s="14" t="s">
        <v>125</v>
      </c>
      <c r="E22" s="14" t="s">
        <v>137</v>
      </c>
      <c r="F22" s="14" t="s">
        <v>381</v>
      </c>
      <c r="G22" s="29" t="s">
        <v>137</v>
      </c>
      <c r="H22" s="121" t="s">
        <v>309</v>
      </c>
      <c r="I22" s="121"/>
      <c r="J22" s="121"/>
      <c r="K22" s="121"/>
      <c r="L22" s="121"/>
    </row>
    <row r="23" spans="1:13" ht="18" customHeight="1" x14ac:dyDescent="0.2">
      <c r="A23" s="14" t="s">
        <v>405</v>
      </c>
      <c r="B23" s="14" t="s">
        <v>406</v>
      </c>
      <c r="C23" s="36">
        <v>0.4</v>
      </c>
      <c r="D23" s="14" t="s">
        <v>125</v>
      </c>
      <c r="E23" s="14" t="s">
        <v>137</v>
      </c>
      <c r="F23" s="14" t="s">
        <v>399</v>
      </c>
      <c r="G23" s="29" t="s">
        <v>137</v>
      </c>
      <c r="H23" s="122" t="s">
        <v>408</v>
      </c>
      <c r="I23" s="122"/>
      <c r="J23" s="122"/>
      <c r="K23" s="122"/>
      <c r="L23" s="122"/>
    </row>
    <row r="24" spans="1:13" ht="18" customHeight="1" x14ac:dyDescent="0.2">
      <c r="A24" s="14" t="s">
        <v>447</v>
      </c>
      <c r="B24" s="47" t="s">
        <v>448</v>
      </c>
      <c r="C24" s="48">
        <v>9.2002110856543584E-2</v>
      </c>
      <c r="D24" s="14" t="s">
        <v>125</v>
      </c>
      <c r="E24" s="14" t="s">
        <v>137</v>
      </c>
      <c r="F24" s="14" t="s">
        <v>399</v>
      </c>
      <c r="G24" s="29" t="s">
        <v>137</v>
      </c>
      <c r="H24" s="122" t="s">
        <v>449</v>
      </c>
      <c r="I24" s="122"/>
      <c r="J24" s="122"/>
      <c r="K24" s="122"/>
      <c r="L24" s="122"/>
    </row>
    <row r="25" spans="1:13" ht="18" customHeight="1" x14ac:dyDescent="0.2">
      <c r="A25" s="14" t="s">
        <v>403</v>
      </c>
      <c r="B25" s="14" t="s">
        <v>436</v>
      </c>
      <c r="C25" s="36">
        <f>3.2*PI()/180</f>
        <v>5.5850536063818547E-2</v>
      </c>
      <c r="D25" s="14" t="s">
        <v>125</v>
      </c>
      <c r="E25" s="14" t="s">
        <v>407</v>
      </c>
      <c r="F25" s="14" t="s">
        <v>9</v>
      </c>
      <c r="G25" s="29" t="s">
        <v>137</v>
      </c>
      <c r="H25" s="122" t="s">
        <v>409</v>
      </c>
      <c r="I25" s="122"/>
      <c r="J25" s="122"/>
      <c r="K25" s="122"/>
      <c r="L25" s="122"/>
      <c r="M25" s="14">
        <f>70000*2/0.0005598/0.5/636</f>
        <v>786444.39501079684</v>
      </c>
    </row>
    <row r="26" spans="1:13" s="46" customFormat="1" ht="18" customHeight="1" x14ac:dyDescent="0.2">
      <c r="A26" s="46" t="s">
        <v>480</v>
      </c>
      <c r="B26" s="47" t="s">
        <v>481</v>
      </c>
      <c r="C26" s="48">
        <f>C24/C28</f>
        <v>1.2845918025852048E-2</v>
      </c>
      <c r="D26" s="46" t="s">
        <v>125</v>
      </c>
      <c r="E26" s="46" t="s">
        <v>407</v>
      </c>
      <c r="F26" s="46" t="s">
        <v>21</v>
      </c>
      <c r="G26" s="29" t="s">
        <v>482</v>
      </c>
      <c r="H26" s="122" t="s">
        <v>483</v>
      </c>
      <c r="I26" s="122"/>
      <c r="J26" s="122"/>
      <c r="K26" s="122"/>
      <c r="L26" s="122"/>
      <c r="M26" s="46">
        <f>SQRT(M25)</f>
        <v>886.81700198563897</v>
      </c>
    </row>
    <row r="27" spans="1:13" ht="18" customHeight="1" x14ac:dyDescent="0.2">
      <c r="A27" s="14" t="s">
        <v>419</v>
      </c>
      <c r="B27" s="14" t="s">
        <v>420</v>
      </c>
      <c r="C27" s="36">
        <f>C23/C25</f>
        <v>7.1619724391352904</v>
      </c>
      <c r="D27" s="14" t="s">
        <v>125</v>
      </c>
      <c r="E27" s="14" t="s">
        <v>421</v>
      </c>
      <c r="F27" s="14" t="s">
        <v>21</v>
      </c>
      <c r="G27" s="29" t="s">
        <v>422</v>
      </c>
      <c r="H27" s="105" t="s">
        <v>423</v>
      </c>
      <c r="I27" s="105"/>
      <c r="J27" s="105"/>
      <c r="K27" s="105"/>
      <c r="L27" s="105"/>
    </row>
    <row r="28" spans="1:13" ht="18" customHeight="1" x14ac:dyDescent="0.2">
      <c r="A28" s="14" t="s">
        <v>425</v>
      </c>
      <c r="B28" s="14" t="s">
        <v>426</v>
      </c>
      <c r="C28" s="36">
        <f>C27</f>
        <v>7.1619724391352904</v>
      </c>
      <c r="D28" s="14" t="s">
        <v>125</v>
      </c>
      <c r="E28" s="14" t="s">
        <v>421</v>
      </c>
      <c r="F28" s="14" t="s">
        <v>21</v>
      </c>
      <c r="G28" s="29" t="s">
        <v>427</v>
      </c>
      <c r="H28" s="105" t="s">
        <v>428</v>
      </c>
      <c r="I28" s="105"/>
      <c r="J28" s="105"/>
      <c r="K28" s="105"/>
      <c r="L28" s="105"/>
    </row>
    <row r="29" spans="1:13" ht="18" customHeight="1" x14ac:dyDescent="0.2">
      <c r="A29" s="34" t="s">
        <v>429</v>
      </c>
      <c r="B29" s="14" t="s">
        <v>430</v>
      </c>
      <c r="C29" s="36">
        <f>$C$7/C25</f>
        <v>0.95038483440723265</v>
      </c>
      <c r="D29" s="14" t="s">
        <v>125</v>
      </c>
      <c r="E29" s="14" t="s">
        <v>431</v>
      </c>
      <c r="F29" s="14" t="s">
        <v>21</v>
      </c>
      <c r="G29" s="29" t="s">
        <v>432</v>
      </c>
      <c r="H29" s="105" t="s">
        <v>433</v>
      </c>
      <c r="I29" s="105"/>
      <c r="J29" s="105"/>
      <c r="K29" s="105"/>
      <c r="L29" s="105"/>
      <c r="M29" s="36"/>
    </row>
    <row r="30" spans="1:13" ht="18" customHeight="1" x14ac:dyDescent="0.2">
      <c r="A30" s="14" t="s">
        <v>434</v>
      </c>
      <c r="B30" s="14" t="s">
        <v>435</v>
      </c>
      <c r="C30" s="36">
        <f>2*'Stability Constants'!$C$13*('Stability Constants'!$C$4-'Stability Constants'!$C$3)*'Stability Constants'!$C$14*'Subsonic Stability'!C25</f>
        <v>109383.85457273804</v>
      </c>
      <c r="D30" s="14" t="s">
        <v>125</v>
      </c>
      <c r="E30" s="14" t="s">
        <v>224</v>
      </c>
      <c r="F30" s="14" t="s">
        <v>21</v>
      </c>
      <c r="G30" s="29" t="s">
        <v>437</v>
      </c>
      <c r="H30" s="105" t="s">
        <v>438</v>
      </c>
      <c r="I30" s="105"/>
      <c r="J30" s="105"/>
      <c r="K30" s="105"/>
      <c r="L30" s="105"/>
    </row>
    <row r="31" spans="1:13" ht="18" customHeight="1" x14ac:dyDescent="0.2">
      <c r="A31" s="14" t="s">
        <v>439</v>
      </c>
      <c r="B31" s="14" t="s">
        <v>440</v>
      </c>
      <c r="C31" s="36">
        <f>2*'Stability Constants'!$C$13*('Stability Constants'!$C$6-'Stability Constants'!$C$5)*'Stability Constants'!$C$15*'Subsonic Stability'!C25</f>
        <v>68428.793303220504</v>
      </c>
      <c r="D31" s="14" t="s">
        <v>125</v>
      </c>
      <c r="E31" s="14" t="s">
        <v>224</v>
      </c>
      <c r="F31" s="14" t="s">
        <v>21</v>
      </c>
      <c r="G31" s="29" t="s">
        <v>442</v>
      </c>
      <c r="H31" s="105" t="s">
        <v>438</v>
      </c>
      <c r="I31" s="105"/>
      <c r="J31" s="105"/>
      <c r="K31" s="105"/>
      <c r="L31" s="105"/>
    </row>
    <row r="32" spans="1:13" ht="22" customHeight="1" x14ac:dyDescent="0.2">
      <c r="A32" s="113" t="s">
        <v>444</v>
      </c>
      <c r="B32" s="114"/>
      <c r="C32" s="114"/>
      <c r="D32" s="114"/>
      <c r="E32" s="114"/>
      <c r="F32" s="114"/>
      <c r="G32" s="114"/>
      <c r="H32" s="116"/>
      <c r="I32" s="116"/>
      <c r="J32" s="116"/>
      <c r="K32" s="116"/>
      <c r="L32" s="120"/>
    </row>
    <row r="33" spans="1:12" ht="18" customHeight="1" x14ac:dyDescent="0.2">
      <c r="A33" s="23" t="s">
        <v>5</v>
      </c>
      <c r="B33" s="23" t="s">
        <v>96</v>
      </c>
      <c r="C33" s="25" t="s">
        <v>7</v>
      </c>
      <c r="D33" s="25" t="s">
        <v>125</v>
      </c>
      <c r="E33" s="25" t="s">
        <v>8</v>
      </c>
      <c r="F33" s="25" t="s">
        <v>9</v>
      </c>
      <c r="G33" s="31" t="s">
        <v>10</v>
      </c>
      <c r="H33" s="117" t="s">
        <v>11</v>
      </c>
      <c r="I33" s="118"/>
      <c r="J33" s="118"/>
      <c r="K33" s="118"/>
      <c r="L33" s="119"/>
    </row>
    <row r="34" spans="1:12" ht="18" customHeight="1" x14ac:dyDescent="0.2">
      <c r="A34" s="14" t="s">
        <v>379</v>
      </c>
      <c r="B34" s="14" t="s">
        <v>380</v>
      </c>
      <c r="C34" s="36">
        <v>0.9</v>
      </c>
      <c r="D34" s="14" t="s">
        <v>125</v>
      </c>
      <c r="E34" s="14" t="s">
        <v>137</v>
      </c>
      <c r="F34" s="14" t="s">
        <v>381</v>
      </c>
      <c r="G34" s="29" t="s">
        <v>137</v>
      </c>
      <c r="H34" s="121" t="s">
        <v>309</v>
      </c>
      <c r="I34" s="121"/>
      <c r="J34" s="121"/>
      <c r="K34" s="121"/>
      <c r="L34" s="121"/>
    </row>
    <row r="35" spans="1:12" ht="18" customHeight="1" x14ac:dyDescent="0.2">
      <c r="A35" s="14" t="s">
        <v>405</v>
      </c>
      <c r="B35" s="14" t="s">
        <v>406</v>
      </c>
      <c r="C35" s="36">
        <v>0.5</v>
      </c>
      <c r="D35" s="14" t="s">
        <v>125</v>
      </c>
      <c r="E35" s="14" t="s">
        <v>137</v>
      </c>
      <c r="F35" s="14" t="s">
        <v>399</v>
      </c>
      <c r="G35" s="29" t="s">
        <v>137</v>
      </c>
      <c r="H35" s="122" t="s">
        <v>408</v>
      </c>
      <c r="I35" s="122"/>
      <c r="J35" s="122"/>
      <c r="K35" s="122"/>
      <c r="L35" s="122"/>
    </row>
    <row r="36" spans="1:12" ht="18" customHeight="1" x14ac:dyDescent="0.2">
      <c r="A36" s="14" t="s">
        <v>447</v>
      </c>
      <c r="B36" s="47" t="s">
        <v>448</v>
      </c>
      <c r="C36" s="48">
        <v>0.1130298377137868</v>
      </c>
      <c r="D36" s="14" t="s">
        <v>125</v>
      </c>
      <c r="E36" s="14" t="s">
        <v>137</v>
      </c>
      <c r="F36" s="14" t="s">
        <v>399</v>
      </c>
      <c r="G36" s="29" t="s">
        <v>137</v>
      </c>
      <c r="H36" s="122" t="s">
        <v>449</v>
      </c>
      <c r="I36" s="122"/>
      <c r="J36" s="122"/>
      <c r="K36" s="122"/>
      <c r="L36" s="122"/>
    </row>
    <row r="37" spans="1:12" ht="18" customHeight="1" x14ac:dyDescent="0.2">
      <c r="A37" s="14" t="s">
        <v>403</v>
      </c>
      <c r="B37" s="14" t="s">
        <v>436</v>
      </c>
      <c r="C37" s="36">
        <f>3.92*PI()/180</f>
        <v>6.8416906678177708E-2</v>
      </c>
      <c r="D37" s="14" t="s">
        <v>125</v>
      </c>
      <c r="E37" s="14" t="s">
        <v>407</v>
      </c>
      <c r="F37" s="14" t="s">
        <v>9</v>
      </c>
      <c r="G37" s="29" t="s">
        <v>137</v>
      </c>
      <c r="H37" s="122" t="s">
        <v>409</v>
      </c>
      <c r="I37" s="122"/>
      <c r="J37" s="122"/>
      <c r="K37" s="122"/>
      <c r="L37" s="122"/>
    </row>
    <row r="38" spans="1:12" s="46" customFormat="1" ht="18" customHeight="1" x14ac:dyDescent="0.2">
      <c r="A38" s="46" t="s">
        <v>480</v>
      </c>
      <c r="B38" s="47" t="s">
        <v>481</v>
      </c>
      <c r="C38" s="48">
        <f>C36/C40</f>
        <v>1.5466303717427446E-2</v>
      </c>
      <c r="D38" s="46" t="s">
        <v>125</v>
      </c>
      <c r="E38" s="46" t="s">
        <v>407</v>
      </c>
      <c r="F38" s="46" t="s">
        <v>21</v>
      </c>
      <c r="G38" s="29" t="s">
        <v>482</v>
      </c>
      <c r="H38" s="122" t="s">
        <v>483</v>
      </c>
      <c r="I38" s="122"/>
      <c r="J38" s="122"/>
      <c r="K38" s="122"/>
      <c r="L38" s="122"/>
    </row>
    <row r="39" spans="1:12" ht="18" customHeight="1" x14ac:dyDescent="0.2">
      <c r="A39" s="14" t="s">
        <v>419</v>
      </c>
      <c r="B39" s="14" t="s">
        <v>420</v>
      </c>
      <c r="C39" s="36">
        <f>C35/C37</f>
        <v>7.3081351419747866</v>
      </c>
      <c r="D39" s="14" t="s">
        <v>125</v>
      </c>
      <c r="E39" s="14" t="s">
        <v>421</v>
      </c>
      <c r="F39" s="14" t="s">
        <v>21</v>
      </c>
      <c r="G39" s="29" t="s">
        <v>422</v>
      </c>
      <c r="H39" s="105" t="s">
        <v>423</v>
      </c>
      <c r="I39" s="105"/>
      <c r="J39" s="105"/>
      <c r="K39" s="105"/>
      <c r="L39" s="105"/>
    </row>
    <row r="40" spans="1:12" ht="18" customHeight="1" x14ac:dyDescent="0.2">
      <c r="A40" s="14" t="s">
        <v>425</v>
      </c>
      <c r="B40" s="14" t="s">
        <v>426</v>
      </c>
      <c r="C40" s="36">
        <f>C39</f>
        <v>7.3081351419747866</v>
      </c>
      <c r="D40" s="14" t="s">
        <v>125</v>
      </c>
      <c r="E40" s="14" t="s">
        <v>421</v>
      </c>
      <c r="F40" s="14" t="s">
        <v>21</v>
      </c>
      <c r="G40" s="29" t="s">
        <v>427</v>
      </c>
      <c r="H40" s="105" t="s">
        <v>428</v>
      </c>
      <c r="I40" s="105"/>
      <c r="J40" s="105"/>
      <c r="K40" s="105"/>
      <c r="L40" s="105"/>
    </row>
    <row r="41" spans="1:12" ht="18" customHeight="1" x14ac:dyDescent="0.2">
      <c r="A41" s="34" t="s">
        <v>429</v>
      </c>
      <c r="B41" s="14" t="s">
        <v>430</v>
      </c>
      <c r="C41" s="36">
        <f>$C$7/C37</f>
        <v>0.77582435461814925</v>
      </c>
      <c r="D41" s="14" t="s">
        <v>125</v>
      </c>
      <c r="E41" s="14" t="s">
        <v>431</v>
      </c>
      <c r="F41" s="14" t="s">
        <v>21</v>
      </c>
      <c r="G41" s="29" t="s">
        <v>432</v>
      </c>
      <c r="H41" s="105" t="s">
        <v>433</v>
      </c>
      <c r="I41" s="105"/>
      <c r="J41" s="105"/>
      <c r="K41" s="105"/>
      <c r="L41" s="105"/>
    </row>
    <row r="42" spans="1:12" ht="18" customHeight="1" x14ac:dyDescent="0.2">
      <c r="A42" s="14" t="s">
        <v>434</v>
      </c>
      <c r="B42" s="14" t="s">
        <v>435</v>
      </c>
      <c r="C42" s="36">
        <f>2*'Stability Constants'!$C$13*('Stability Constants'!$C$4-'Stability Constants'!$C$3)*'Stability Constants'!$C$14*'Subsonic Stability'!C37</f>
        <v>133995.22185160406</v>
      </c>
      <c r="D42" s="14" t="s">
        <v>125</v>
      </c>
      <c r="E42" s="14" t="s">
        <v>224</v>
      </c>
      <c r="F42" s="14" t="s">
        <v>21</v>
      </c>
      <c r="G42" s="29" t="s">
        <v>437</v>
      </c>
      <c r="H42" s="105" t="s">
        <v>438</v>
      </c>
      <c r="I42" s="105"/>
      <c r="J42" s="105"/>
      <c r="K42" s="105"/>
      <c r="L42" s="105"/>
    </row>
    <row r="43" spans="1:12" ht="18" customHeight="1" x14ac:dyDescent="0.2">
      <c r="A43" s="14" t="s">
        <v>439</v>
      </c>
      <c r="B43" s="14" t="s">
        <v>440</v>
      </c>
      <c r="C43" s="36">
        <f>2*'Stability Constants'!$C$13*('Stability Constants'!$C$6-'Stability Constants'!$C$5)*'Stability Constants'!$C$15*'Subsonic Stability'!C37</f>
        <v>83825.2717964451</v>
      </c>
      <c r="D43" s="14" t="s">
        <v>125</v>
      </c>
      <c r="E43" s="14" t="s">
        <v>224</v>
      </c>
      <c r="F43" s="14" t="s">
        <v>21</v>
      </c>
      <c r="G43" s="29" t="s">
        <v>442</v>
      </c>
      <c r="H43" s="105" t="s">
        <v>438</v>
      </c>
      <c r="I43" s="105"/>
      <c r="J43" s="105"/>
      <c r="K43" s="105"/>
      <c r="L43" s="105"/>
    </row>
    <row r="44" spans="1:12" ht="22" customHeight="1" x14ac:dyDescent="0.2">
      <c r="A44" s="113" t="s">
        <v>445</v>
      </c>
      <c r="B44" s="114"/>
      <c r="C44" s="114"/>
      <c r="D44" s="114"/>
      <c r="E44" s="114"/>
      <c r="F44" s="114"/>
      <c r="G44" s="114"/>
      <c r="H44" s="116"/>
      <c r="I44" s="116"/>
      <c r="J44" s="116"/>
      <c r="K44" s="116"/>
      <c r="L44" s="120"/>
    </row>
    <row r="45" spans="1:12" ht="18" customHeight="1" x14ac:dyDescent="0.2">
      <c r="A45" s="23" t="s">
        <v>5</v>
      </c>
      <c r="B45" s="23" t="s">
        <v>96</v>
      </c>
      <c r="C45" s="25" t="s">
        <v>7</v>
      </c>
      <c r="D45" s="25" t="s">
        <v>125</v>
      </c>
      <c r="E45" s="25" t="s">
        <v>8</v>
      </c>
      <c r="F45" s="25" t="s">
        <v>9</v>
      </c>
      <c r="G45" s="31" t="s">
        <v>459</v>
      </c>
      <c r="H45" s="117" t="s">
        <v>11</v>
      </c>
      <c r="I45" s="118"/>
      <c r="J45" s="118"/>
      <c r="K45" s="118"/>
      <c r="L45" s="119"/>
    </row>
    <row r="46" spans="1:12" ht="18" customHeight="1" x14ac:dyDescent="0.2">
      <c r="A46" s="14" t="s">
        <v>450</v>
      </c>
      <c r="B46" s="47" t="s">
        <v>446</v>
      </c>
      <c r="C46" s="48">
        <f>(C11 + C12* 'Stability Constants'!$C$16*'Subsonic Stability'!$C$4/'Initial Estimates'!$C$5)*'Stability Constants'!$C$8/'Initial Estimates'!$C$10 - 'Subsonic Stability'!C12*'Stability Constants'!$C$16*'Subsonic Stability'!$C$4/'Initial Estimates'!$C$5*'Stability Constants'!$C$10/'Initial Estimates'!$C$10+'Subsonic Stability'!$C$5+('Subsonic Stability'!C18+'Stability Constants'!$C$11*'Subsonic Stability'!C19)/('Stability Constants'!$C$13*'Initial Estimates'!$C$5*'Initial Estimates'!$C$10)</f>
        <v>-0.16077964534306782</v>
      </c>
      <c r="D46" s="14" t="s">
        <v>125</v>
      </c>
      <c r="E46" s="14" t="s">
        <v>137</v>
      </c>
      <c r="F46" s="14" t="s">
        <v>21</v>
      </c>
      <c r="G46" s="29" t="s">
        <v>460</v>
      </c>
      <c r="H46" s="105" t="s">
        <v>438</v>
      </c>
      <c r="I46" s="105"/>
      <c r="J46" s="105"/>
      <c r="K46" s="105"/>
      <c r="L46" s="105"/>
    </row>
    <row r="47" spans="1:12" ht="18" customHeight="1" x14ac:dyDescent="0.2">
      <c r="A47" s="14" t="s">
        <v>451</v>
      </c>
      <c r="B47" s="47" t="s">
        <v>446</v>
      </c>
      <c r="C47" s="48">
        <f>(C23 + C24* 'Stability Constants'!$C$16*'Subsonic Stability'!$C$4/'Initial Estimates'!$C$5)*'Stability Constants'!$C$8/'Initial Estimates'!$C$10 - 'Subsonic Stability'!C24*'Stability Constants'!$C$16*'Subsonic Stability'!$C$4/'Initial Estimates'!$C$5*'Stability Constants'!$C$10/'Initial Estimates'!$C$10+'Subsonic Stability'!$C$5+('Subsonic Stability'!C30+'Stability Constants'!$C$11*'Subsonic Stability'!C31)/('Stability Constants'!$C$13*'Initial Estimates'!$C$5*'Initial Estimates'!$C$10)</f>
        <v>-0.21882806704192048</v>
      </c>
      <c r="D47" s="14" t="s">
        <v>125</v>
      </c>
      <c r="E47" s="14" t="s">
        <v>137</v>
      </c>
      <c r="F47" s="14" t="s">
        <v>21</v>
      </c>
      <c r="G47" s="29" t="s">
        <v>460</v>
      </c>
      <c r="H47" s="105" t="s">
        <v>438</v>
      </c>
      <c r="I47" s="105"/>
      <c r="J47" s="105"/>
      <c r="K47" s="105"/>
      <c r="L47" s="105"/>
    </row>
    <row r="48" spans="1:12" ht="18" customHeight="1" x14ac:dyDescent="0.2">
      <c r="A48" s="14" t="s">
        <v>452</v>
      </c>
      <c r="B48" s="47" t="s">
        <v>446</v>
      </c>
      <c r="C48" s="48">
        <f>(C35 + C36* 'Stability Constants'!$C$16*'Subsonic Stability'!$C$4/'Initial Estimates'!$C$5)*'Stability Constants'!$C$8/'Initial Estimates'!$C$10 - 'Subsonic Stability'!C36*'Stability Constants'!$C$16*'Subsonic Stability'!$C$4/'Initial Estimates'!$C$5*'Stability Constants'!$C$10/'Initial Estimates'!$C$10+'Subsonic Stability'!$C$5+('Subsonic Stability'!C42+'Stability Constants'!$C$11*'Subsonic Stability'!C43)/('Stability Constants'!$C$13*'Initial Estimates'!$C$5*'Initial Estimates'!$C$10)</f>
        <v>-0.27231834280944306</v>
      </c>
      <c r="D48" s="14" t="s">
        <v>125</v>
      </c>
      <c r="E48" s="14" t="s">
        <v>137</v>
      </c>
      <c r="F48" s="14" t="s">
        <v>21</v>
      </c>
      <c r="G48" s="29" t="s">
        <v>460</v>
      </c>
      <c r="H48" s="105" t="s">
        <v>438</v>
      </c>
      <c r="I48" s="105"/>
      <c r="J48" s="105"/>
      <c r="K48" s="105"/>
      <c r="L48" s="105"/>
    </row>
    <row r="49" spans="1:12" ht="18" customHeight="1" x14ac:dyDescent="0.2">
      <c r="A49" s="14" t="s">
        <v>454</v>
      </c>
      <c r="B49" s="47" t="s">
        <v>453</v>
      </c>
      <c r="C49" s="48">
        <f xml:space="preserve"> ( C15 + C16*(1 - C17)*'Stability Constants'!$C$16*('Subsonic Stability'!$C$4/'Initial Estimates'!$C$5))*('Stability Constants'!$C$8/'Initial Estimates'!$C$10) - C16*(1 - C17)*'Stability Constants'!$C$16*'Subsonic Stability'!$C$3 + 2*('Stability Constants'!$C$4-'Stability Constants'!$C$3)*'Stability Constants'!$C$14/('Initial Estimates'!$C$10*'Initial Estimates'!$C$5) + 2*'Stability Constants'!$C$11*('Stability Constants'!$C$6-'Stability Constants'!$C$5)*'Stability Constants'!$C$15/('Initial Estimates'!$C$10*'Initial Estimates'!$C$5)</f>
        <v>-0.70402699732684082</v>
      </c>
      <c r="D49" s="14" t="s">
        <v>125</v>
      </c>
      <c r="E49" s="14" t="s">
        <v>421</v>
      </c>
      <c r="F49" s="14" t="s">
        <v>21</v>
      </c>
      <c r="G49" s="29" t="s">
        <v>458</v>
      </c>
      <c r="H49" s="105" t="s">
        <v>438</v>
      </c>
      <c r="I49" s="105"/>
      <c r="J49" s="105"/>
      <c r="K49" s="105"/>
      <c r="L49" s="105"/>
    </row>
    <row r="50" spans="1:12" s="37" customFormat="1" ht="18" customHeight="1" x14ac:dyDescent="0.2">
      <c r="A50" s="37" t="s">
        <v>457</v>
      </c>
      <c r="B50" s="47" t="s">
        <v>453</v>
      </c>
      <c r="C50" s="48">
        <f xml:space="preserve"> ( C27 + C28*(1 - C29)*'Stability Constants'!$C$16*('Subsonic Stability'!$C$4/'Initial Estimates'!$C$5))*('Stability Constants'!$C$8/'Initial Estimates'!$C$10) - C28*(1 - C29)*'Stability Constants'!$C$16*'Subsonic Stability'!$C$3 + 2*('Stability Constants'!$C$4-'Stability Constants'!$C$3)*'Stability Constants'!$C$14/('Initial Estimates'!$C$10*'Initial Estimates'!$C$5) + 2*'Stability Constants'!$C$11*('Stability Constants'!$C$6-'Stability Constants'!$C$5)*'Stability Constants'!$C$15/('Initial Estimates'!$C$10*'Initial Estimates'!$C$5)</f>
        <v>-2.5840371526508861</v>
      </c>
      <c r="D50" s="37" t="s">
        <v>125</v>
      </c>
      <c r="E50" s="37" t="s">
        <v>421</v>
      </c>
      <c r="F50" s="37" t="s">
        <v>21</v>
      </c>
      <c r="G50" s="29" t="s">
        <v>458</v>
      </c>
      <c r="H50" s="105" t="s">
        <v>438</v>
      </c>
      <c r="I50" s="105"/>
      <c r="J50" s="105"/>
      <c r="K50" s="105"/>
      <c r="L50" s="105"/>
    </row>
    <row r="51" spans="1:12" s="37" customFormat="1" ht="18" customHeight="1" x14ac:dyDescent="0.2">
      <c r="A51" s="37" t="s">
        <v>457</v>
      </c>
      <c r="B51" s="47" t="s">
        <v>453</v>
      </c>
      <c r="C51" s="48">
        <f xml:space="preserve"> ( C39 + C40*(1 - C41)*'Stability Constants'!$C$16*('Subsonic Stability'!$C$4/'Initial Estimates'!$C$5))*('Stability Constants'!$C$8/'Initial Estimates'!$C$10) - C40*(1 - C41)*'Stability Constants'!$C$16*'Subsonic Stability'!$C$3 + 2*('Stability Constants'!$C$4-'Stability Constants'!$C$3)*'Stability Constants'!$C$14/('Initial Estimates'!$C$10*'Initial Estimates'!$C$5) + 2*'Stability Constants'!$C$11*('Stability Constants'!$C$6-'Stability Constants'!$C$5)*'Stability Constants'!$C$15/('Initial Estimates'!$C$10*'Initial Estimates'!$C$5)</f>
        <v>-3.7723372049935056</v>
      </c>
      <c r="D51" s="37" t="s">
        <v>125</v>
      </c>
      <c r="E51" s="37" t="s">
        <v>421</v>
      </c>
      <c r="F51" s="37" t="s">
        <v>21</v>
      </c>
      <c r="G51" s="29" t="s">
        <v>458</v>
      </c>
      <c r="H51" s="105" t="s">
        <v>438</v>
      </c>
      <c r="I51" s="105"/>
      <c r="J51" s="105"/>
      <c r="K51" s="105"/>
      <c r="L51" s="105"/>
    </row>
    <row r="52" spans="1:12" ht="18" customHeight="1" x14ac:dyDescent="0.2">
      <c r="H52" s="105"/>
      <c r="I52" s="105"/>
      <c r="J52" s="105"/>
      <c r="K52" s="105"/>
      <c r="L52" s="105"/>
    </row>
    <row r="55" spans="1:12" ht="18" customHeight="1" x14ac:dyDescent="0.25">
      <c r="F55" s="42"/>
    </row>
  </sheetData>
  <mergeCells count="52">
    <mergeCell ref="H14:L14"/>
    <mergeCell ref="H26:L26"/>
    <mergeCell ref="H38:L38"/>
    <mergeCell ref="A1:L1"/>
    <mergeCell ref="H2:L2"/>
    <mergeCell ref="H10:L10"/>
    <mergeCell ref="H11:L11"/>
    <mergeCell ref="H13:L13"/>
    <mergeCell ref="H9:L9"/>
    <mergeCell ref="H24:L24"/>
    <mergeCell ref="H17:L17"/>
    <mergeCell ref="H18:L18"/>
    <mergeCell ref="H19:L19"/>
    <mergeCell ref="H22:L22"/>
    <mergeCell ref="H23:L23"/>
    <mergeCell ref="H21:L21"/>
    <mergeCell ref="H37:L37"/>
    <mergeCell ref="H36:L36"/>
    <mergeCell ref="H3:L3"/>
    <mergeCell ref="A8:L8"/>
    <mergeCell ref="H6:L6"/>
    <mergeCell ref="A20:L20"/>
    <mergeCell ref="H12:L12"/>
    <mergeCell ref="H25:L25"/>
    <mergeCell ref="H27:L27"/>
    <mergeCell ref="H28:L28"/>
    <mergeCell ref="H29:L29"/>
    <mergeCell ref="H4:L4"/>
    <mergeCell ref="H5:L5"/>
    <mergeCell ref="H7:L7"/>
    <mergeCell ref="H15:L15"/>
    <mergeCell ref="H16:L16"/>
    <mergeCell ref="H45:L45"/>
    <mergeCell ref="H39:L39"/>
    <mergeCell ref="H40:L40"/>
    <mergeCell ref="H41:L41"/>
    <mergeCell ref="H42:L42"/>
    <mergeCell ref="H43:L43"/>
    <mergeCell ref="A44:L44"/>
    <mergeCell ref="H30:L30"/>
    <mergeCell ref="H31:L31"/>
    <mergeCell ref="A32:L32"/>
    <mergeCell ref="H34:L34"/>
    <mergeCell ref="H35:L35"/>
    <mergeCell ref="H33:L33"/>
    <mergeCell ref="H49:L49"/>
    <mergeCell ref="H50:L50"/>
    <mergeCell ref="H51:L51"/>
    <mergeCell ref="H52:L52"/>
    <mergeCell ref="H46:L46"/>
    <mergeCell ref="H47:L47"/>
    <mergeCell ref="H48:L48"/>
  </mergeCells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P484"/>
  <sheetViews>
    <sheetView zoomScale="90" zoomScaleNormal="90" zoomScalePageLayoutView="90" workbookViewId="0">
      <selection activeCell="C13" sqref="C13"/>
    </sheetView>
  </sheetViews>
  <sheetFormatPr baseColWidth="10" defaultColWidth="15.1640625" defaultRowHeight="18" customHeight="1" x14ac:dyDescent="0.2"/>
  <cols>
    <col min="1" max="1" width="51" style="49" customWidth="1"/>
    <col min="2" max="2" width="19.33203125" style="49" customWidth="1"/>
    <col min="3" max="3" width="15.1640625" style="49"/>
    <col min="4" max="4" width="2" style="49" customWidth="1"/>
    <col min="5" max="5" width="15.1640625" style="49"/>
    <col min="6" max="6" width="30.33203125" style="49" customWidth="1"/>
    <col min="7" max="7" width="52.83203125" style="29" customWidth="1"/>
    <col min="8" max="12" width="15.1640625" style="49"/>
    <col min="13" max="13" width="5.1640625" style="49" customWidth="1"/>
    <col min="14" max="14" width="4" style="49" customWidth="1"/>
    <col min="15" max="15" width="3.5" style="49" customWidth="1"/>
    <col min="16" max="16384" width="15.1640625" style="49"/>
  </cols>
  <sheetData>
    <row r="1" spans="1:16" ht="22" customHeight="1" x14ac:dyDescent="0.2">
      <c r="A1" s="113" t="s">
        <v>500</v>
      </c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5"/>
    </row>
    <row r="2" spans="1:16" ht="18" customHeight="1" x14ac:dyDescent="0.2">
      <c r="A2" s="23" t="s">
        <v>5</v>
      </c>
      <c r="B2" s="23" t="s">
        <v>96</v>
      </c>
      <c r="C2" s="50" t="s">
        <v>7</v>
      </c>
      <c r="D2" s="50" t="s">
        <v>125</v>
      </c>
      <c r="E2" s="50" t="s">
        <v>8</v>
      </c>
      <c r="F2" s="50" t="s">
        <v>9</v>
      </c>
      <c r="G2" s="31" t="s">
        <v>10</v>
      </c>
      <c r="H2" s="117" t="s">
        <v>11</v>
      </c>
      <c r="I2" s="118"/>
      <c r="J2" s="118"/>
      <c r="K2" s="118"/>
      <c r="L2" s="119"/>
    </row>
    <row r="3" spans="1:16" ht="18" customHeight="1" x14ac:dyDescent="0.2">
      <c r="A3" s="52" t="s">
        <v>410</v>
      </c>
      <c r="B3" s="49" t="s">
        <v>411</v>
      </c>
      <c r="C3" s="13">
        <f>C4/'Initial Estimates'!C5*'Stability Constants'!C10/'Initial Estimates'!C10</f>
        <v>0.12243565859218189</v>
      </c>
      <c r="D3" s="49" t="s">
        <v>125</v>
      </c>
      <c r="E3" s="49" t="s">
        <v>137</v>
      </c>
      <c r="F3" s="49" t="s">
        <v>14</v>
      </c>
      <c r="G3" s="29" t="s">
        <v>137</v>
      </c>
      <c r="H3" s="123" t="s">
        <v>412</v>
      </c>
      <c r="I3" s="123"/>
      <c r="J3" s="123"/>
      <c r="K3" s="123"/>
      <c r="L3" s="123"/>
    </row>
    <row r="4" spans="1:16" ht="18" customHeight="1" x14ac:dyDescent="0.2">
      <c r="A4" s="52" t="s">
        <v>375</v>
      </c>
      <c r="B4" s="49" t="s">
        <v>376</v>
      </c>
      <c r="C4" s="13">
        <v>200</v>
      </c>
      <c r="D4" s="49" t="s">
        <v>125</v>
      </c>
      <c r="E4" s="49" t="s">
        <v>222</v>
      </c>
      <c r="F4" s="49" t="s">
        <v>21</v>
      </c>
      <c r="G4" s="29" t="s">
        <v>456</v>
      </c>
      <c r="H4" s="123" t="s">
        <v>382</v>
      </c>
      <c r="I4" s="123"/>
      <c r="J4" s="123"/>
      <c r="K4" s="123"/>
      <c r="L4" s="123"/>
      <c r="P4" s="49">
        <f>SQRT(C4*'Initial Estimates'!C6)</f>
        <v>26.374888756600981</v>
      </c>
    </row>
    <row r="5" spans="1:16" ht="18" customHeight="1" x14ac:dyDescent="0.2">
      <c r="A5" s="52" t="s">
        <v>353</v>
      </c>
      <c r="B5" s="49" t="s">
        <v>354</v>
      </c>
      <c r="C5" s="13">
        <v>0</v>
      </c>
      <c r="D5" s="49" t="s">
        <v>125</v>
      </c>
      <c r="E5" s="49" t="s">
        <v>137</v>
      </c>
      <c r="F5" s="49" t="s">
        <v>14</v>
      </c>
      <c r="G5" s="29" t="s">
        <v>355</v>
      </c>
      <c r="H5" s="105" t="s">
        <v>413</v>
      </c>
      <c r="I5" s="105"/>
      <c r="J5" s="105"/>
      <c r="K5" s="105"/>
      <c r="L5" s="105"/>
    </row>
    <row r="6" spans="1:16" ht="18" customHeight="1" x14ac:dyDescent="0.2">
      <c r="A6" s="52" t="s">
        <v>339</v>
      </c>
      <c r="B6" s="49" t="s">
        <v>340</v>
      </c>
      <c r="C6" s="13">
        <v>0</v>
      </c>
      <c r="D6" s="13" t="s">
        <v>125</v>
      </c>
      <c r="E6" s="49" t="s">
        <v>137</v>
      </c>
      <c r="F6" s="49" t="s">
        <v>14</v>
      </c>
      <c r="G6" s="29" t="s">
        <v>418</v>
      </c>
      <c r="H6" s="122" t="s">
        <v>341</v>
      </c>
      <c r="I6" s="122"/>
      <c r="J6" s="122"/>
      <c r="K6" s="122"/>
      <c r="L6" s="122"/>
    </row>
    <row r="7" spans="1:16" ht="18" customHeight="1" x14ac:dyDescent="0.2">
      <c r="A7" s="52" t="s">
        <v>414</v>
      </c>
      <c r="B7" s="49" t="s">
        <v>415</v>
      </c>
      <c r="C7" s="13">
        <f>2*C11/(PI()*'Initial Estimates'!C6)*(1+C6)</f>
        <v>1.8307845953795511E-2</v>
      </c>
      <c r="D7" s="49" t="s">
        <v>125</v>
      </c>
      <c r="E7" s="49" t="s">
        <v>137</v>
      </c>
      <c r="F7" s="49" t="s">
        <v>14</v>
      </c>
      <c r="G7" s="29" t="s">
        <v>416</v>
      </c>
      <c r="H7" s="105" t="s">
        <v>417</v>
      </c>
      <c r="I7" s="105"/>
      <c r="J7" s="105"/>
      <c r="K7" s="105"/>
      <c r="L7" s="105"/>
    </row>
    <row r="8" spans="1:16" ht="22" customHeight="1" x14ac:dyDescent="0.2">
      <c r="A8" s="113" t="s">
        <v>501</v>
      </c>
      <c r="B8" s="114"/>
      <c r="C8" s="114"/>
      <c r="D8" s="114"/>
      <c r="E8" s="114"/>
      <c r="F8" s="114"/>
      <c r="G8" s="114"/>
      <c r="H8" s="116"/>
      <c r="I8" s="116"/>
      <c r="J8" s="116"/>
      <c r="K8" s="116"/>
      <c r="L8" s="120"/>
    </row>
    <row r="9" spans="1:16" ht="18" customHeight="1" x14ac:dyDescent="0.2">
      <c r="A9" s="23" t="s">
        <v>5</v>
      </c>
      <c r="B9" s="23" t="s">
        <v>96</v>
      </c>
      <c r="C9" s="50" t="s">
        <v>7</v>
      </c>
      <c r="D9" s="50" t="s">
        <v>125</v>
      </c>
      <c r="E9" s="50" t="s">
        <v>8</v>
      </c>
      <c r="F9" s="50" t="s">
        <v>9</v>
      </c>
      <c r="G9" s="31" t="s">
        <v>10</v>
      </c>
      <c r="H9" s="117" t="s">
        <v>11</v>
      </c>
      <c r="I9" s="118"/>
      <c r="J9" s="118"/>
      <c r="K9" s="118"/>
      <c r="L9" s="119"/>
    </row>
    <row r="10" spans="1:16" ht="18" customHeight="1" x14ac:dyDescent="0.2">
      <c r="A10" s="49" t="s">
        <v>379</v>
      </c>
      <c r="B10" s="49" t="s">
        <v>380</v>
      </c>
      <c r="C10" s="36">
        <v>1.6</v>
      </c>
      <c r="D10" s="49" t="s">
        <v>125</v>
      </c>
      <c r="E10" s="49" t="s">
        <v>137</v>
      </c>
      <c r="F10" s="49" t="s">
        <v>484</v>
      </c>
      <c r="G10" s="29" t="s">
        <v>137</v>
      </c>
      <c r="H10" s="121" t="s">
        <v>309</v>
      </c>
      <c r="I10" s="121"/>
      <c r="J10" s="121"/>
      <c r="K10" s="121"/>
      <c r="L10" s="121"/>
    </row>
    <row r="11" spans="1:16" ht="18" customHeight="1" x14ac:dyDescent="0.2">
      <c r="A11" s="49" t="s">
        <v>557</v>
      </c>
      <c r="B11" s="49" t="s">
        <v>406</v>
      </c>
      <c r="C11" s="36">
        <f>'Final Aircraft Checkouts'!C4</f>
        <v>0.10002496405735427</v>
      </c>
      <c r="D11" s="49" t="s">
        <v>125</v>
      </c>
      <c r="E11" s="49" t="s">
        <v>137</v>
      </c>
      <c r="F11" s="49" t="s">
        <v>21</v>
      </c>
      <c r="G11" s="29" t="s">
        <v>550</v>
      </c>
      <c r="H11" s="122" t="s">
        <v>526</v>
      </c>
      <c r="I11" s="122"/>
      <c r="J11" s="122"/>
      <c r="K11" s="122"/>
      <c r="L11" s="122"/>
    </row>
    <row r="12" spans="1:16" s="63" customFormat="1" ht="18" customHeight="1" x14ac:dyDescent="0.2">
      <c r="A12" s="91">
        <v>42000</v>
      </c>
      <c r="B12" s="63" t="s">
        <v>406</v>
      </c>
      <c r="C12" s="36">
        <f>'Final Aircraft Checkouts'!C5</f>
        <v>0.10493623478130983</v>
      </c>
      <c r="D12" s="63" t="s">
        <v>125</v>
      </c>
      <c r="E12" s="63" t="s">
        <v>137</v>
      </c>
      <c r="F12" s="63" t="s">
        <v>21</v>
      </c>
      <c r="G12" s="29" t="s">
        <v>550</v>
      </c>
      <c r="H12" s="122" t="s">
        <v>526</v>
      </c>
      <c r="I12" s="122"/>
      <c r="J12" s="122"/>
      <c r="K12" s="122"/>
      <c r="L12" s="122"/>
    </row>
    <row r="13" spans="1:16" s="63" customFormat="1" ht="18" customHeight="1" x14ac:dyDescent="0.2">
      <c r="A13" s="91">
        <v>43000</v>
      </c>
      <c r="B13" s="63" t="s">
        <v>406</v>
      </c>
      <c r="C13" s="36">
        <f>'Final Aircraft Checkouts'!C6</f>
        <v>0.11007268503893636</v>
      </c>
      <c r="D13" s="63" t="s">
        <v>125</v>
      </c>
      <c r="E13" s="63" t="s">
        <v>137</v>
      </c>
      <c r="F13" s="63" t="s">
        <v>21</v>
      </c>
      <c r="G13" s="29" t="s">
        <v>550</v>
      </c>
      <c r="H13" s="122" t="s">
        <v>526</v>
      </c>
      <c r="I13" s="122"/>
      <c r="J13" s="122"/>
      <c r="K13" s="122"/>
      <c r="L13" s="122"/>
    </row>
    <row r="14" spans="1:16" s="63" customFormat="1" ht="18" customHeight="1" x14ac:dyDescent="0.2">
      <c r="A14" s="91">
        <v>44000</v>
      </c>
      <c r="B14" s="63" t="s">
        <v>406</v>
      </c>
      <c r="C14" s="36">
        <f>'Final Aircraft Checkouts'!C7</f>
        <v>0.11547530393752714</v>
      </c>
      <c r="D14" s="63" t="s">
        <v>125</v>
      </c>
      <c r="E14" s="63" t="s">
        <v>137</v>
      </c>
      <c r="F14" s="63" t="s">
        <v>21</v>
      </c>
      <c r="G14" s="29" t="s">
        <v>550</v>
      </c>
      <c r="H14" s="122" t="s">
        <v>526</v>
      </c>
      <c r="I14" s="122"/>
      <c r="J14" s="122"/>
      <c r="K14" s="122"/>
      <c r="L14" s="122"/>
    </row>
    <row r="15" spans="1:16" s="63" customFormat="1" ht="18" customHeight="1" x14ac:dyDescent="0.2">
      <c r="A15" s="91">
        <v>45000</v>
      </c>
      <c r="B15" s="63" t="s">
        <v>406</v>
      </c>
      <c r="C15" s="36">
        <f>'Final Aircraft Checkouts'!C8</f>
        <v>0.12112043019534267</v>
      </c>
      <c r="D15" s="63" t="s">
        <v>125</v>
      </c>
      <c r="E15" s="63" t="s">
        <v>137</v>
      </c>
      <c r="F15" s="63" t="s">
        <v>21</v>
      </c>
      <c r="G15" s="29" t="s">
        <v>550</v>
      </c>
      <c r="H15" s="122" t="s">
        <v>526</v>
      </c>
      <c r="I15" s="122"/>
      <c r="J15" s="122"/>
      <c r="K15" s="122"/>
      <c r="L15" s="122"/>
    </row>
    <row r="16" spans="1:16" s="63" customFormat="1" ht="18" customHeight="1" x14ac:dyDescent="0.2">
      <c r="A16" s="91">
        <v>46000</v>
      </c>
      <c r="B16" s="63" t="s">
        <v>406</v>
      </c>
      <c r="C16" s="36">
        <f>'Final Aircraft Checkouts'!C9</f>
        <v>0.12705689784276589</v>
      </c>
      <c r="D16" s="63" t="s">
        <v>125</v>
      </c>
      <c r="E16" s="63" t="s">
        <v>137</v>
      </c>
      <c r="F16" s="63" t="s">
        <v>21</v>
      </c>
      <c r="G16" s="29" t="s">
        <v>550</v>
      </c>
      <c r="H16" s="122" t="s">
        <v>526</v>
      </c>
      <c r="I16" s="122"/>
      <c r="J16" s="122"/>
      <c r="K16" s="122"/>
      <c r="L16" s="122"/>
    </row>
    <row r="17" spans="1:12" s="63" customFormat="1" ht="18" customHeight="1" x14ac:dyDescent="0.2">
      <c r="A17" s="91">
        <v>47000</v>
      </c>
      <c r="B17" s="63" t="s">
        <v>406</v>
      </c>
      <c r="C17" s="36">
        <f>'Final Aircraft Checkouts'!C10</f>
        <v>0.13328725274769557</v>
      </c>
      <c r="D17" s="63" t="s">
        <v>125</v>
      </c>
      <c r="E17" s="63" t="s">
        <v>137</v>
      </c>
      <c r="F17" s="63" t="s">
        <v>21</v>
      </c>
      <c r="G17" s="29" t="s">
        <v>550</v>
      </c>
      <c r="H17" s="122" t="s">
        <v>526</v>
      </c>
      <c r="I17" s="122"/>
      <c r="J17" s="122"/>
      <c r="K17" s="122"/>
      <c r="L17" s="122"/>
    </row>
    <row r="18" spans="1:12" s="63" customFormat="1" ht="18" customHeight="1" x14ac:dyDescent="0.2">
      <c r="A18" s="91">
        <v>48000</v>
      </c>
      <c r="B18" s="63" t="s">
        <v>406</v>
      </c>
      <c r="C18" s="36">
        <f>'Final Aircraft Checkouts'!C11</f>
        <v>0.13981017448016708</v>
      </c>
      <c r="D18" s="63" t="s">
        <v>125</v>
      </c>
      <c r="E18" s="63" t="s">
        <v>137</v>
      </c>
      <c r="F18" s="63" t="s">
        <v>21</v>
      </c>
      <c r="G18" s="29" t="s">
        <v>550</v>
      </c>
      <c r="H18" s="122" t="s">
        <v>526</v>
      </c>
      <c r="I18" s="122"/>
      <c r="J18" s="122"/>
      <c r="K18" s="122"/>
      <c r="L18" s="122"/>
    </row>
    <row r="19" spans="1:12" s="63" customFormat="1" ht="18" customHeight="1" x14ac:dyDescent="0.2">
      <c r="A19" s="91">
        <v>49000</v>
      </c>
      <c r="B19" s="63" t="s">
        <v>406</v>
      </c>
      <c r="C19" s="36">
        <f>'Final Aircraft Checkouts'!C12</f>
        <v>0.14669629258398459</v>
      </c>
      <c r="D19" s="63" t="s">
        <v>125</v>
      </c>
      <c r="E19" s="63" t="s">
        <v>137</v>
      </c>
      <c r="F19" s="63" t="s">
        <v>21</v>
      </c>
      <c r="G19" s="29" t="s">
        <v>550</v>
      </c>
      <c r="H19" s="122" t="s">
        <v>526</v>
      </c>
      <c r="I19" s="122"/>
      <c r="J19" s="122"/>
      <c r="K19" s="122"/>
      <c r="L19" s="122"/>
    </row>
    <row r="20" spans="1:12" ht="18" customHeight="1" x14ac:dyDescent="0.2">
      <c r="A20" s="49" t="s">
        <v>447</v>
      </c>
      <c r="B20" s="47" t="s">
        <v>448</v>
      </c>
      <c r="C20" s="48">
        <v>0.10158298411673315</v>
      </c>
      <c r="D20" s="49" t="s">
        <v>125</v>
      </c>
      <c r="E20" s="49" t="s">
        <v>137</v>
      </c>
      <c r="F20" s="49" t="s">
        <v>399</v>
      </c>
      <c r="G20" s="29" t="s">
        <v>137</v>
      </c>
      <c r="H20" s="122" t="s">
        <v>449</v>
      </c>
      <c r="I20" s="122"/>
      <c r="J20" s="122"/>
      <c r="K20" s="122"/>
      <c r="L20" s="122"/>
    </row>
    <row r="21" spans="1:12" s="63" customFormat="1" ht="18" customHeight="1" x14ac:dyDescent="0.2">
      <c r="A21" s="63" t="s">
        <v>447</v>
      </c>
      <c r="B21" s="47" t="s">
        <v>448</v>
      </c>
      <c r="C21" s="48">
        <v>0.10158298411673315</v>
      </c>
      <c r="D21" s="63" t="s">
        <v>125</v>
      </c>
      <c r="E21" s="63" t="s">
        <v>137</v>
      </c>
      <c r="F21" s="63" t="s">
        <v>399</v>
      </c>
      <c r="G21" s="29" t="s">
        <v>137</v>
      </c>
      <c r="H21" s="122" t="s">
        <v>449</v>
      </c>
      <c r="I21" s="122"/>
      <c r="J21" s="122"/>
      <c r="K21" s="122"/>
      <c r="L21" s="122"/>
    </row>
    <row r="22" spans="1:12" s="63" customFormat="1" ht="18" customHeight="1" x14ac:dyDescent="0.2">
      <c r="A22" s="63" t="s">
        <v>447</v>
      </c>
      <c r="B22" s="47" t="s">
        <v>448</v>
      </c>
      <c r="C22" s="48">
        <v>0.10158298411673315</v>
      </c>
      <c r="D22" s="63" t="s">
        <v>125</v>
      </c>
      <c r="E22" s="63" t="s">
        <v>137</v>
      </c>
      <c r="F22" s="63" t="s">
        <v>399</v>
      </c>
      <c r="G22" s="29" t="s">
        <v>137</v>
      </c>
      <c r="H22" s="122" t="s">
        <v>449</v>
      </c>
      <c r="I22" s="122"/>
      <c r="J22" s="122"/>
      <c r="K22" s="122"/>
      <c r="L22" s="122"/>
    </row>
    <row r="23" spans="1:12" s="63" customFormat="1" ht="18" customHeight="1" x14ac:dyDescent="0.2">
      <c r="A23" s="63" t="s">
        <v>447</v>
      </c>
      <c r="B23" s="47" t="s">
        <v>448</v>
      </c>
      <c r="C23" s="48">
        <v>0.10158298411673315</v>
      </c>
      <c r="D23" s="63" t="s">
        <v>125</v>
      </c>
      <c r="E23" s="63" t="s">
        <v>137</v>
      </c>
      <c r="F23" s="63" t="s">
        <v>399</v>
      </c>
      <c r="G23" s="29" t="s">
        <v>137</v>
      </c>
      <c r="H23" s="122" t="s">
        <v>449</v>
      </c>
      <c r="I23" s="122"/>
      <c r="J23" s="122"/>
      <c r="K23" s="122"/>
      <c r="L23" s="122"/>
    </row>
    <row r="24" spans="1:12" s="63" customFormat="1" ht="18" customHeight="1" x14ac:dyDescent="0.2">
      <c r="A24" s="63" t="s">
        <v>447</v>
      </c>
      <c r="B24" s="47" t="s">
        <v>448</v>
      </c>
      <c r="C24" s="48">
        <v>0.10158298411673315</v>
      </c>
      <c r="D24" s="63" t="s">
        <v>125</v>
      </c>
      <c r="E24" s="63" t="s">
        <v>137</v>
      </c>
      <c r="F24" s="63" t="s">
        <v>399</v>
      </c>
      <c r="G24" s="29" t="s">
        <v>137</v>
      </c>
      <c r="H24" s="122" t="s">
        <v>449</v>
      </c>
      <c r="I24" s="122"/>
      <c r="J24" s="122"/>
      <c r="K24" s="122"/>
      <c r="L24" s="122"/>
    </row>
    <row r="25" spans="1:12" s="63" customFormat="1" ht="18" customHeight="1" x14ac:dyDescent="0.2">
      <c r="A25" s="63" t="s">
        <v>447</v>
      </c>
      <c r="B25" s="47" t="s">
        <v>448</v>
      </c>
      <c r="C25" s="48">
        <v>0.10158298411673315</v>
      </c>
      <c r="D25" s="63" t="s">
        <v>125</v>
      </c>
      <c r="E25" s="63" t="s">
        <v>137</v>
      </c>
      <c r="F25" s="63" t="s">
        <v>399</v>
      </c>
      <c r="G25" s="29" t="s">
        <v>137</v>
      </c>
      <c r="H25" s="122" t="s">
        <v>449</v>
      </c>
      <c r="I25" s="122"/>
      <c r="J25" s="122"/>
      <c r="K25" s="122"/>
      <c r="L25" s="122"/>
    </row>
    <row r="26" spans="1:12" s="63" customFormat="1" ht="18" customHeight="1" x14ac:dyDescent="0.2">
      <c r="A26" s="63" t="s">
        <v>447</v>
      </c>
      <c r="B26" s="47" t="s">
        <v>448</v>
      </c>
      <c r="C26" s="48">
        <v>0.10158298411673315</v>
      </c>
      <c r="D26" s="63" t="s">
        <v>125</v>
      </c>
      <c r="E26" s="63" t="s">
        <v>137</v>
      </c>
      <c r="F26" s="63" t="s">
        <v>399</v>
      </c>
      <c r="G26" s="29" t="s">
        <v>137</v>
      </c>
      <c r="H26" s="122" t="s">
        <v>449</v>
      </c>
      <c r="I26" s="122"/>
      <c r="J26" s="122"/>
      <c r="K26" s="122"/>
      <c r="L26" s="122"/>
    </row>
    <row r="27" spans="1:12" s="63" customFormat="1" ht="18" customHeight="1" x14ac:dyDescent="0.2">
      <c r="A27" s="63" t="s">
        <v>447</v>
      </c>
      <c r="B27" s="47" t="s">
        <v>448</v>
      </c>
      <c r="C27" s="48">
        <v>0.10158298411673315</v>
      </c>
      <c r="D27" s="63" t="s">
        <v>125</v>
      </c>
      <c r="E27" s="63" t="s">
        <v>137</v>
      </c>
      <c r="F27" s="63" t="s">
        <v>399</v>
      </c>
      <c r="G27" s="29" t="s">
        <v>137</v>
      </c>
      <c r="H27" s="122" t="s">
        <v>449</v>
      </c>
      <c r="I27" s="122"/>
      <c r="J27" s="122"/>
      <c r="K27" s="122"/>
      <c r="L27" s="122"/>
    </row>
    <row r="28" spans="1:12" s="63" customFormat="1" ht="18" customHeight="1" x14ac:dyDescent="0.2">
      <c r="A28" s="63" t="s">
        <v>447</v>
      </c>
      <c r="B28" s="47" t="s">
        <v>448</v>
      </c>
      <c r="C28" s="48">
        <v>0.10158298411673315</v>
      </c>
      <c r="D28" s="63" t="s">
        <v>125</v>
      </c>
      <c r="E28" s="63" t="s">
        <v>137</v>
      </c>
      <c r="F28" s="63" t="s">
        <v>399</v>
      </c>
      <c r="G28" s="29" t="s">
        <v>137</v>
      </c>
      <c r="H28" s="122" t="s">
        <v>449</v>
      </c>
      <c r="I28" s="122"/>
      <c r="J28" s="122"/>
      <c r="K28" s="122"/>
      <c r="L28" s="122"/>
    </row>
    <row r="29" spans="1:12" ht="18" customHeight="1" x14ac:dyDescent="0.2">
      <c r="A29" s="49" t="s">
        <v>558</v>
      </c>
      <c r="B29" s="49" t="s">
        <v>436</v>
      </c>
      <c r="C29" s="36">
        <f xml:space="preserve"> ABS((C11-CFD!$B$19)/(CFD!$B$20-CFD!$B$19)*(CFD!$A$20-CFD!$A$19) + CFD!$A$19)*PI()/180</f>
        <v>3.4984799452226774E-2</v>
      </c>
      <c r="D29" s="49" t="s">
        <v>125</v>
      </c>
      <c r="E29" s="49" t="s">
        <v>407</v>
      </c>
      <c r="F29" s="49" t="s">
        <v>21</v>
      </c>
      <c r="G29" s="29" t="s">
        <v>550</v>
      </c>
      <c r="H29" s="122" t="s">
        <v>526</v>
      </c>
      <c r="I29" s="122"/>
      <c r="J29" s="122"/>
      <c r="K29" s="122"/>
      <c r="L29" s="122"/>
    </row>
    <row r="30" spans="1:12" s="63" customFormat="1" ht="18" customHeight="1" x14ac:dyDescent="0.2">
      <c r="A30" s="91">
        <v>42000</v>
      </c>
      <c r="B30" s="63" t="s">
        <v>436</v>
      </c>
      <c r="C30" s="36">
        <f xml:space="preserve"> ABS((C12-CFD!$B$19)/(CFD!$B$20-CFD!$B$19)*(CFD!$A$20-CFD!$A$19) + CFD!$A$19)*PI()/180</f>
        <v>3.6692326236884745E-2</v>
      </c>
      <c r="E30" s="63" t="s">
        <v>407</v>
      </c>
      <c r="F30" s="63" t="s">
        <v>21</v>
      </c>
      <c r="G30" s="29" t="s">
        <v>550</v>
      </c>
      <c r="H30" s="122" t="s">
        <v>526</v>
      </c>
      <c r="I30" s="122"/>
      <c r="J30" s="122"/>
      <c r="K30" s="122"/>
      <c r="L30" s="122"/>
    </row>
    <row r="31" spans="1:12" s="63" customFormat="1" ht="18" customHeight="1" x14ac:dyDescent="0.2">
      <c r="A31" s="91">
        <v>43000</v>
      </c>
      <c r="B31" s="63" t="s">
        <v>436</v>
      </c>
      <c r="C31" s="36">
        <f xml:space="preserve"> ABS((C13-CFD!$B$19)/(CFD!$B$20-CFD!$B$19)*(CFD!$A$20-CFD!$A$19) + CFD!$A$19)*PI()/180</f>
        <v>3.8478142349643585E-2</v>
      </c>
      <c r="E31" s="63" t="s">
        <v>407</v>
      </c>
      <c r="F31" s="63" t="s">
        <v>21</v>
      </c>
      <c r="G31" s="29" t="s">
        <v>550</v>
      </c>
      <c r="H31" s="122" t="s">
        <v>526</v>
      </c>
      <c r="I31" s="122"/>
      <c r="J31" s="122"/>
      <c r="K31" s="122"/>
      <c r="L31" s="122"/>
    </row>
    <row r="32" spans="1:12" s="63" customFormat="1" ht="18" customHeight="1" x14ac:dyDescent="0.2">
      <c r="A32" s="91">
        <v>44000</v>
      </c>
      <c r="B32" s="63" t="s">
        <v>436</v>
      </c>
      <c r="C32" s="36">
        <f xml:space="preserve"> ABS((C14-CFD!$B$19)/(CFD!$B$20-CFD!$B$19)*(CFD!$A$20-CFD!$A$19) + CFD!$A$19)*PI()/180</f>
        <v>4.0356498684521652E-2</v>
      </c>
      <c r="E32" s="63" t="s">
        <v>407</v>
      </c>
      <c r="F32" s="63" t="s">
        <v>21</v>
      </c>
      <c r="G32" s="29" t="s">
        <v>550</v>
      </c>
      <c r="H32" s="122" t="s">
        <v>526</v>
      </c>
      <c r="I32" s="122"/>
      <c r="J32" s="122"/>
      <c r="K32" s="122"/>
      <c r="L32" s="122"/>
    </row>
    <row r="33" spans="1:12" s="63" customFormat="1" ht="18" customHeight="1" x14ac:dyDescent="0.2">
      <c r="A33" s="91">
        <v>45000</v>
      </c>
      <c r="B33" s="63" t="s">
        <v>436</v>
      </c>
      <c r="C33" s="36">
        <f xml:space="preserve"> ABS((C15-CFD!$B$19)/(CFD!$B$20-CFD!$B$19)*(CFD!$A$20-CFD!$A$19) + CFD!$A$19)*PI()/180</f>
        <v>4.2319168801845705E-2</v>
      </c>
      <c r="E33" s="63" t="s">
        <v>407</v>
      </c>
      <c r="F33" s="63" t="s">
        <v>21</v>
      </c>
      <c r="G33" s="29" t="s">
        <v>550</v>
      </c>
      <c r="H33" s="122" t="s">
        <v>526</v>
      </c>
      <c r="I33" s="122"/>
      <c r="J33" s="122"/>
      <c r="K33" s="122"/>
      <c r="L33" s="122"/>
    </row>
    <row r="34" spans="1:12" s="63" customFormat="1" ht="18" customHeight="1" x14ac:dyDescent="0.2">
      <c r="A34" s="91">
        <v>46000</v>
      </c>
      <c r="B34" s="63" t="s">
        <v>436</v>
      </c>
      <c r="C34" s="36">
        <f xml:space="preserve"> ABS((C16-CFD!$B$19)/(CFD!$B$20-CFD!$B$19)*(CFD!$A$20-CFD!$A$19) + CFD!$A$19)*PI()/180</f>
        <v>4.4383131080444449E-2</v>
      </c>
      <c r="E34" s="63" t="s">
        <v>407</v>
      </c>
      <c r="F34" s="63" t="s">
        <v>21</v>
      </c>
      <c r="G34" s="29" t="s">
        <v>550</v>
      </c>
      <c r="H34" s="122" t="s">
        <v>526</v>
      </c>
      <c r="I34" s="122"/>
      <c r="J34" s="122"/>
      <c r="K34" s="122"/>
      <c r="L34" s="122"/>
    </row>
    <row r="35" spans="1:12" s="63" customFormat="1" ht="18" customHeight="1" x14ac:dyDescent="0.2">
      <c r="A35" s="91">
        <v>47000</v>
      </c>
      <c r="B35" s="63" t="s">
        <v>436</v>
      </c>
      <c r="C35" s="36">
        <f xml:space="preserve"> ABS((C17-CFD!$B$19)/(CFD!$B$20-CFD!$B$19)*(CFD!$A$20-CFD!$A$19) + CFD!$A$19)*PI()/180</f>
        <v>4.6549270655320968E-2</v>
      </c>
      <c r="E35" s="63" t="s">
        <v>407</v>
      </c>
      <c r="F35" s="63" t="s">
        <v>21</v>
      </c>
      <c r="G35" s="29" t="s">
        <v>550</v>
      </c>
      <c r="H35" s="122" t="s">
        <v>526</v>
      </c>
      <c r="I35" s="122"/>
      <c r="J35" s="122"/>
      <c r="K35" s="122"/>
      <c r="L35" s="122"/>
    </row>
    <row r="36" spans="1:12" s="63" customFormat="1" ht="18" customHeight="1" x14ac:dyDescent="0.2">
      <c r="A36" s="91">
        <v>48000</v>
      </c>
      <c r="B36" s="63" t="s">
        <v>436</v>
      </c>
      <c r="C36" s="36">
        <f xml:space="preserve"> ABS((C18-CFD!$B$19)/(CFD!$B$20-CFD!$B$19)*(CFD!$A$20-CFD!$A$19) + CFD!$A$19)*PI()/180</f>
        <v>4.8817128445789504E-2</v>
      </c>
      <c r="E36" s="63" t="s">
        <v>407</v>
      </c>
      <c r="F36" s="63" t="s">
        <v>21</v>
      </c>
      <c r="G36" s="29" t="s">
        <v>550</v>
      </c>
      <c r="H36" s="122" t="s">
        <v>526</v>
      </c>
      <c r="I36" s="122"/>
      <c r="J36" s="122"/>
      <c r="K36" s="122"/>
      <c r="L36" s="122"/>
    </row>
    <row r="37" spans="1:12" s="63" customFormat="1" ht="18" customHeight="1" x14ac:dyDescent="0.2">
      <c r="A37" s="91">
        <v>49000</v>
      </c>
      <c r="B37" s="63" t="s">
        <v>436</v>
      </c>
      <c r="C37" s="36">
        <f xml:space="preserve"> ABS((C19-CFD!$B$19)/(CFD!$B$20-CFD!$B$19)*(CFD!$A$20-CFD!$A$19) + CFD!$A$19)*PI()/180</f>
        <v>5.1211260589072459E-2</v>
      </c>
      <c r="E37" s="63" t="s">
        <v>407</v>
      </c>
      <c r="F37" s="63" t="s">
        <v>21</v>
      </c>
      <c r="G37" s="29" t="s">
        <v>550</v>
      </c>
      <c r="H37" s="122" t="s">
        <v>526</v>
      </c>
      <c r="I37" s="122"/>
      <c r="J37" s="122"/>
      <c r="K37" s="122"/>
      <c r="L37" s="122"/>
    </row>
    <row r="38" spans="1:12" ht="18" customHeight="1" x14ac:dyDescent="0.2">
      <c r="A38" s="49" t="s">
        <v>560</v>
      </c>
      <c r="B38" s="47" t="s">
        <v>481</v>
      </c>
      <c r="C38" s="48">
        <f>C20/C56</f>
        <v>3.5529733607750816E-2</v>
      </c>
      <c r="D38" s="49" t="s">
        <v>125</v>
      </c>
      <c r="E38" s="49" t="s">
        <v>407</v>
      </c>
      <c r="F38" s="49" t="s">
        <v>21</v>
      </c>
      <c r="G38" s="29" t="s">
        <v>482</v>
      </c>
      <c r="H38" s="122" t="s">
        <v>483</v>
      </c>
      <c r="I38" s="122"/>
      <c r="J38" s="122"/>
      <c r="K38" s="122"/>
      <c r="L38" s="122"/>
    </row>
    <row r="39" spans="1:12" s="63" customFormat="1" ht="18" customHeight="1" x14ac:dyDescent="0.2">
      <c r="A39" s="91">
        <v>42000</v>
      </c>
      <c r="B39" s="47" t="s">
        <v>481</v>
      </c>
      <c r="C39" s="48">
        <f>C21/C57</f>
        <v>3.5519818307711247E-2</v>
      </c>
      <c r="D39" s="63" t="s">
        <v>125</v>
      </c>
      <c r="E39" s="63" t="s">
        <v>407</v>
      </c>
      <c r="F39" s="63" t="s">
        <v>21</v>
      </c>
      <c r="G39" s="29" t="s">
        <v>482</v>
      </c>
      <c r="H39" s="122" t="s">
        <v>483</v>
      </c>
      <c r="I39" s="122"/>
      <c r="J39" s="122"/>
      <c r="K39" s="122"/>
      <c r="L39" s="122"/>
    </row>
    <row r="40" spans="1:12" s="63" customFormat="1" ht="18" customHeight="1" x14ac:dyDescent="0.2">
      <c r="A40" s="91">
        <v>43000</v>
      </c>
      <c r="B40" s="47" t="s">
        <v>481</v>
      </c>
      <c r="C40" s="48">
        <f t="shared" ref="C40:C46" si="0">C22/C58</f>
        <v>3.5510394988207988E-2</v>
      </c>
      <c r="D40" s="63" t="s">
        <v>125</v>
      </c>
      <c r="E40" s="63" t="s">
        <v>407</v>
      </c>
      <c r="F40" s="63" t="s">
        <v>21</v>
      </c>
      <c r="G40" s="29" t="s">
        <v>482</v>
      </c>
      <c r="H40" s="122" t="s">
        <v>483</v>
      </c>
      <c r="I40" s="122"/>
      <c r="J40" s="122"/>
      <c r="K40" s="122"/>
      <c r="L40" s="122"/>
    </row>
    <row r="41" spans="1:12" s="63" customFormat="1" ht="18" customHeight="1" x14ac:dyDescent="0.2">
      <c r="A41" s="91">
        <v>44000</v>
      </c>
      <c r="B41" s="47" t="s">
        <v>481</v>
      </c>
      <c r="C41" s="48">
        <f t="shared" si="0"/>
        <v>3.5501387959927765E-2</v>
      </c>
      <c r="D41" s="63" t="s">
        <v>125</v>
      </c>
      <c r="E41" s="63" t="s">
        <v>407</v>
      </c>
      <c r="F41" s="63" t="s">
        <v>21</v>
      </c>
      <c r="G41" s="29" t="s">
        <v>482</v>
      </c>
      <c r="H41" s="122" t="s">
        <v>483</v>
      </c>
      <c r="I41" s="122"/>
      <c r="J41" s="122"/>
      <c r="K41" s="122"/>
      <c r="L41" s="122"/>
    </row>
    <row r="42" spans="1:12" s="63" customFormat="1" ht="18" customHeight="1" x14ac:dyDescent="0.2">
      <c r="A42" s="91">
        <v>45000</v>
      </c>
      <c r="B42" s="47" t="s">
        <v>481</v>
      </c>
      <c r="C42" s="48">
        <f t="shared" si="0"/>
        <v>3.549283506752722E-2</v>
      </c>
      <c r="D42" s="63" t="s">
        <v>125</v>
      </c>
      <c r="E42" s="63" t="s">
        <v>407</v>
      </c>
      <c r="F42" s="63" t="s">
        <v>21</v>
      </c>
      <c r="G42" s="29" t="s">
        <v>482</v>
      </c>
      <c r="H42" s="122" t="s">
        <v>483</v>
      </c>
      <c r="I42" s="122"/>
      <c r="J42" s="122"/>
      <c r="K42" s="122"/>
      <c r="L42" s="122"/>
    </row>
    <row r="43" spans="1:12" s="63" customFormat="1" ht="18" customHeight="1" x14ac:dyDescent="0.2">
      <c r="A43" s="91">
        <v>46000</v>
      </c>
      <c r="B43" s="47" t="s">
        <v>481</v>
      </c>
      <c r="C43" s="48">
        <f t="shared" si="0"/>
        <v>3.5484660621693073E-2</v>
      </c>
      <c r="D43" s="63" t="s">
        <v>125</v>
      </c>
      <c r="E43" s="63" t="s">
        <v>407</v>
      </c>
      <c r="F43" s="63" t="s">
        <v>21</v>
      </c>
      <c r="G43" s="29" t="s">
        <v>482</v>
      </c>
      <c r="H43" s="122" t="s">
        <v>483</v>
      </c>
      <c r="I43" s="122"/>
      <c r="J43" s="122"/>
      <c r="K43" s="122"/>
      <c r="L43" s="122"/>
    </row>
    <row r="44" spans="1:12" s="63" customFormat="1" ht="18" customHeight="1" x14ac:dyDescent="0.2">
      <c r="A44" s="91">
        <v>47000</v>
      </c>
      <c r="B44" s="47" t="s">
        <v>481</v>
      </c>
      <c r="C44" s="48">
        <f t="shared" si="0"/>
        <v>3.5476864622425316E-2</v>
      </c>
      <c r="D44" s="63" t="s">
        <v>125</v>
      </c>
      <c r="E44" s="63" t="s">
        <v>407</v>
      </c>
      <c r="F44" s="63" t="s">
        <v>21</v>
      </c>
      <c r="G44" s="29" t="s">
        <v>482</v>
      </c>
      <c r="H44" s="122" t="s">
        <v>483</v>
      </c>
      <c r="I44" s="122"/>
      <c r="J44" s="122"/>
      <c r="K44" s="122"/>
      <c r="L44" s="122"/>
    </row>
    <row r="45" spans="1:12" s="63" customFormat="1" ht="18" customHeight="1" x14ac:dyDescent="0.2">
      <c r="A45" s="91">
        <v>48000</v>
      </c>
      <c r="B45" s="47" t="s">
        <v>481</v>
      </c>
      <c r="C45" s="48">
        <f t="shared" si="0"/>
        <v>3.5469447069723957E-2</v>
      </c>
      <c r="D45" s="63" t="s">
        <v>125</v>
      </c>
      <c r="E45" s="63" t="s">
        <v>407</v>
      </c>
      <c r="F45" s="63" t="s">
        <v>21</v>
      </c>
      <c r="G45" s="29" t="s">
        <v>482</v>
      </c>
      <c r="H45" s="122" t="s">
        <v>483</v>
      </c>
      <c r="I45" s="122"/>
      <c r="J45" s="122"/>
      <c r="K45" s="122"/>
      <c r="L45" s="122"/>
    </row>
    <row r="46" spans="1:12" s="63" customFormat="1" ht="18" customHeight="1" x14ac:dyDescent="0.2">
      <c r="A46" s="91">
        <v>49000</v>
      </c>
      <c r="B46" s="47" t="s">
        <v>481</v>
      </c>
      <c r="C46" s="48">
        <f t="shared" si="0"/>
        <v>3.5462332274275719E-2</v>
      </c>
      <c r="D46" s="63" t="s">
        <v>125</v>
      </c>
      <c r="E46" s="63" t="s">
        <v>407</v>
      </c>
      <c r="F46" s="63" t="s">
        <v>21</v>
      </c>
      <c r="G46" s="29" t="s">
        <v>482</v>
      </c>
      <c r="H46" s="122" t="s">
        <v>483</v>
      </c>
      <c r="I46" s="122"/>
      <c r="J46" s="122"/>
      <c r="K46" s="122"/>
      <c r="L46" s="122"/>
    </row>
    <row r="47" spans="1:12" ht="18" customHeight="1" x14ac:dyDescent="0.2">
      <c r="A47" s="49" t="s">
        <v>559</v>
      </c>
      <c r="B47" s="49" t="s">
        <v>420</v>
      </c>
      <c r="C47" s="36">
        <f t="shared" ref="C47:C55" si="1">C11/C29</f>
        <v>2.8590978260127686</v>
      </c>
      <c r="D47" s="49" t="s">
        <v>125</v>
      </c>
      <c r="E47" s="49" t="s">
        <v>421</v>
      </c>
      <c r="F47" s="49" t="s">
        <v>21</v>
      </c>
      <c r="G47" s="29" t="s">
        <v>422</v>
      </c>
      <c r="H47" s="105" t="s">
        <v>423</v>
      </c>
      <c r="I47" s="105"/>
      <c r="J47" s="105"/>
      <c r="K47" s="105"/>
      <c r="L47" s="105"/>
    </row>
    <row r="48" spans="1:12" s="63" customFormat="1" ht="18" customHeight="1" x14ac:dyDescent="0.2">
      <c r="A48" s="91">
        <v>42000</v>
      </c>
      <c r="B48" s="63" t="s">
        <v>420</v>
      </c>
      <c r="C48" s="36">
        <f t="shared" si="1"/>
        <v>2.8598959385633962</v>
      </c>
      <c r="D48" s="63" t="s">
        <v>125</v>
      </c>
      <c r="E48" s="63" t="s">
        <v>421</v>
      </c>
      <c r="F48" s="63" t="s">
        <v>21</v>
      </c>
      <c r="G48" s="29" t="s">
        <v>422</v>
      </c>
      <c r="H48" s="105" t="s">
        <v>423</v>
      </c>
      <c r="I48" s="105"/>
      <c r="J48" s="105"/>
      <c r="K48" s="105"/>
      <c r="L48" s="105"/>
    </row>
    <row r="49" spans="1:12" s="63" customFormat="1" ht="18" customHeight="1" x14ac:dyDescent="0.2">
      <c r="A49" s="91">
        <v>43000</v>
      </c>
      <c r="B49" s="63" t="s">
        <v>420</v>
      </c>
      <c r="C49" s="36">
        <f t="shared" si="1"/>
        <v>2.8606548631876958</v>
      </c>
      <c r="D49" s="63" t="s">
        <v>125</v>
      </c>
      <c r="E49" s="63" t="s">
        <v>421</v>
      </c>
      <c r="F49" s="63" t="s">
        <v>21</v>
      </c>
      <c r="G49" s="29" t="s">
        <v>422</v>
      </c>
      <c r="H49" s="105" t="s">
        <v>423</v>
      </c>
      <c r="I49" s="105"/>
      <c r="J49" s="105"/>
      <c r="K49" s="105"/>
      <c r="L49" s="105"/>
    </row>
    <row r="50" spans="1:12" s="63" customFormat="1" ht="18" customHeight="1" x14ac:dyDescent="0.2">
      <c r="A50" s="91">
        <v>44000</v>
      </c>
      <c r="B50" s="63" t="s">
        <v>420</v>
      </c>
      <c r="C50" s="36">
        <f t="shared" si="1"/>
        <v>2.8613806376076076</v>
      </c>
      <c r="D50" s="63" t="s">
        <v>125</v>
      </c>
      <c r="E50" s="63" t="s">
        <v>421</v>
      </c>
      <c r="F50" s="63" t="s">
        <v>21</v>
      </c>
      <c r="G50" s="29" t="s">
        <v>422</v>
      </c>
      <c r="H50" s="105" t="s">
        <v>423</v>
      </c>
      <c r="I50" s="105"/>
      <c r="J50" s="105"/>
      <c r="K50" s="105"/>
      <c r="L50" s="105"/>
    </row>
    <row r="51" spans="1:12" s="63" customFormat="1" ht="18" customHeight="1" x14ac:dyDescent="0.2">
      <c r="A51" s="91">
        <v>45000</v>
      </c>
      <c r="B51" s="63" t="s">
        <v>420</v>
      </c>
      <c r="C51" s="36">
        <f t="shared" si="1"/>
        <v>2.8620701593283688</v>
      </c>
      <c r="D51" s="63" t="s">
        <v>125</v>
      </c>
      <c r="E51" s="63" t="s">
        <v>421</v>
      </c>
      <c r="F51" s="63" t="s">
        <v>21</v>
      </c>
      <c r="G51" s="29" t="s">
        <v>422</v>
      </c>
      <c r="H51" s="105" t="s">
        <v>423</v>
      </c>
      <c r="I51" s="105"/>
      <c r="J51" s="105"/>
      <c r="K51" s="105"/>
      <c r="L51" s="105"/>
    </row>
    <row r="52" spans="1:12" s="63" customFormat="1" ht="18" customHeight="1" x14ac:dyDescent="0.2">
      <c r="A52" s="91">
        <v>46000</v>
      </c>
      <c r="B52" s="63" t="s">
        <v>420</v>
      </c>
      <c r="C52" s="36">
        <f t="shared" si="1"/>
        <v>2.8627294818942626</v>
      </c>
      <c r="D52" s="63" t="s">
        <v>125</v>
      </c>
      <c r="E52" s="63" t="s">
        <v>421</v>
      </c>
      <c r="F52" s="63" t="s">
        <v>21</v>
      </c>
      <c r="G52" s="29" t="s">
        <v>422</v>
      </c>
      <c r="H52" s="105" t="s">
        <v>423</v>
      </c>
      <c r="I52" s="105"/>
      <c r="J52" s="105"/>
      <c r="K52" s="105"/>
      <c r="L52" s="105"/>
    </row>
    <row r="53" spans="1:12" s="63" customFormat="1" ht="18" customHeight="1" x14ac:dyDescent="0.2">
      <c r="A53" s="91">
        <v>47000</v>
      </c>
      <c r="B53" s="63" t="s">
        <v>420</v>
      </c>
      <c r="C53" s="36">
        <f t="shared" si="1"/>
        <v>2.863358563330352</v>
      </c>
      <c r="D53" s="63" t="s">
        <v>125</v>
      </c>
      <c r="E53" s="63" t="s">
        <v>421</v>
      </c>
      <c r="F53" s="63" t="s">
        <v>21</v>
      </c>
      <c r="G53" s="29" t="s">
        <v>422</v>
      </c>
      <c r="H53" s="105" t="s">
        <v>423</v>
      </c>
      <c r="I53" s="105"/>
      <c r="J53" s="105"/>
      <c r="K53" s="105"/>
      <c r="L53" s="105"/>
    </row>
    <row r="54" spans="1:12" s="63" customFormat="1" ht="18" customHeight="1" x14ac:dyDescent="0.2">
      <c r="A54" s="91">
        <v>48000</v>
      </c>
      <c r="B54" s="63" t="s">
        <v>420</v>
      </c>
      <c r="C54" s="36">
        <f t="shared" si="1"/>
        <v>2.8639573635598747</v>
      </c>
      <c r="D54" s="63" t="s">
        <v>125</v>
      </c>
      <c r="E54" s="63" t="s">
        <v>421</v>
      </c>
      <c r="F54" s="63" t="s">
        <v>21</v>
      </c>
      <c r="G54" s="29" t="s">
        <v>422</v>
      </c>
      <c r="H54" s="105" t="s">
        <v>423</v>
      </c>
      <c r="I54" s="105"/>
      <c r="J54" s="105"/>
      <c r="K54" s="105"/>
      <c r="L54" s="105"/>
    </row>
    <row r="55" spans="1:12" s="63" customFormat="1" ht="18" customHeight="1" x14ac:dyDescent="0.2">
      <c r="A55" s="91">
        <v>49000</v>
      </c>
      <c r="B55" s="63" t="s">
        <v>420</v>
      </c>
      <c r="C55" s="36">
        <f t="shared" si="1"/>
        <v>2.8645319583343136</v>
      </c>
      <c r="D55" s="63" t="s">
        <v>125</v>
      </c>
      <c r="E55" s="63" t="s">
        <v>421</v>
      </c>
      <c r="F55" s="63" t="s">
        <v>21</v>
      </c>
      <c r="G55" s="29" t="s">
        <v>422</v>
      </c>
      <c r="H55" s="105" t="s">
        <v>423</v>
      </c>
      <c r="I55" s="105"/>
      <c r="J55" s="105"/>
      <c r="K55" s="105"/>
      <c r="L55" s="105"/>
    </row>
    <row r="56" spans="1:12" ht="18" customHeight="1" x14ac:dyDescent="0.2">
      <c r="A56" s="49" t="s">
        <v>425</v>
      </c>
      <c r="B56" s="49" t="s">
        <v>426</v>
      </c>
      <c r="C56" s="36">
        <f>C47</f>
        <v>2.8590978260127686</v>
      </c>
      <c r="D56" s="49" t="s">
        <v>125</v>
      </c>
      <c r="E56" s="49" t="s">
        <v>421</v>
      </c>
      <c r="F56" s="49" t="s">
        <v>21</v>
      </c>
      <c r="G56" s="29" t="s">
        <v>427</v>
      </c>
      <c r="H56" s="105" t="s">
        <v>428</v>
      </c>
      <c r="I56" s="105"/>
      <c r="J56" s="105"/>
      <c r="K56" s="105"/>
      <c r="L56" s="105"/>
    </row>
    <row r="57" spans="1:12" s="63" customFormat="1" ht="18" customHeight="1" x14ac:dyDescent="0.2">
      <c r="A57" s="91">
        <v>42000</v>
      </c>
      <c r="B57" s="63" t="s">
        <v>426</v>
      </c>
      <c r="C57" s="36">
        <f t="shared" ref="C57:C64" si="2">C48</f>
        <v>2.8598959385633962</v>
      </c>
      <c r="D57" s="63" t="s">
        <v>125</v>
      </c>
      <c r="E57" s="63" t="s">
        <v>421</v>
      </c>
      <c r="F57" s="63" t="s">
        <v>21</v>
      </c>
      <c r="G57" s="29" t="s">
        <v>427</v>
      </c>
      <c r="H57" s="105" t="s">
        <v>428</v>
      </c>
      <c r="I57" s="105"/>
      <c r="J57" s="105"/>
      <c r="K57" s="105"/>
      <c r="L57" s="105"/>
    </row>
    <row r="58" spans="1:12" s="63" customFormat="1" ht="18" customHeight="1" x14ac:dyDescent="0.2">
      <c r="A58" s="91">
        <v>43000</v>
      </c>
      <c r="B58" s="63" t="s">
        <v>426</v>
      </c>
      <c r="C58" s="36">
        <f t="shared" si="2"/>
        <v>2.8606548631876958</v>
      </c>
      <c r="D58" s="63" t="s">
        <v>125</v>
      </c>
      <c r="E58" s="63" t="s">
        <v>421</v>
      </c>
      <c r="F58" s="63" t="s">
        <v>21</v>
      </c>
      <c r="G58" s="29" t="s">
        <v>427</v>
      </c>
      <c r="H58" s="105" t="s">
        <v>428</v>
      </c>
      <c r="I58" s="105"/>
      <c r="J58" s="105"/>
      <c r="K58" s="105"/>
      <c r="L58" s="105"/>
    </row>
    <row r="59" spans="1:12" s="63" customFormat="1" ht="18" customHeight="1" x14ac:dyDescent="0.2">
      <c r="A59" s="91">
        <v>44000</v>
      </c>
      <c r="B59" s="63" t="s">
        <v>426</v>
      </c>
      <c r="C59" s="36">
        <f t="shared" si="2"/>
        <v>2.8613806376076076</v>
      </c>
      <c r="D59" s="63" t="s">
        <v>125</v>
      </c>
      <c r="E59" s="63" t="s">
        <v>421</v>
      </c>
      <c r="F59" s="63" t="s">
        <v>21</v>
      </c>
      <c r="G59" s="29" t="s">
        <v>427</v>
      </c>
      <c r="H59" s="105" t="s">
        <v>428</v>
      </c>
      <c r="I59" s="105"/>
      <c r="J59" s="105"/>
      <c r="K59" s="105"/>
      <c r="L59" s="105"/>
    </row>
    <row r="60" spans="1:12" s="63" customFormat="1" ht="18" customHeight="1" x14ac:dyDescent="0.2">
      <c r="A60" s="91">
        <v>45000</v>
      </c>
      <c r="B60" s="63" t="s">
        <v>426</v>
      </c>
      <c r="C60" s="36">
        <f t="shared" si="2"/>
        <v>2.8620701593283688</v>
      </c>
      <c r="D60" s="63" t="s">
        <v>125</v>
      </c>
      <c r="E60" s="63" t="s">
        <v>421</v>
      </c>
      <c r="F60" s="63" t="s">
        <v>21</v>
      </c>
      <c r="G60" s="29" t="s">
        <v>427</v>
      </c>
      <c r="H60" s="105" t="s">
        <v>428</v>
      </c>
      <c r="I60" s="105"/>
      <c r="J60" s="105"/>
      <c r="K60" s="105"/>
      <c r="L60" s="105"/>
    </row>
    <row r="61" spans="1:12" s="63" customFormat="1" ht="18" customHeight="1" x14ac:dyDescent="0.2">
      <c r="A61" s="91">
        <v>46000</v>
      </c>
      <c r="B61" s="63" t="s">
        <v>426</v>
      </c>
      <c r="C61" s="36">
        <f t="shared" si="2"/>
        <v>2.8627294818942626</v>
      </c>
      <c r="D61" s="63" t="s">
        <v>125</v>
      </c>
      <c r="E61" s="63" t="s">
        <v>421</v>
      </c>
      <c r="F61" s="63" t="s">
        <v>21</v>
      </c>
      <c r="G61" s="29" t="s">
        <v>427</v>
      </c>
      <c r="H61" s="105" t="s">
        <v>428</v>
      </c>
      <c r="I61" s="105"/>
      <c r="J61" s="105"/>
      <c r="K61" s="105"/>
      <c r="L61" s="105"/>
    </row>
    <row r="62" spans="1:12" s="63" customFormat="1" ht="18" customHeight="1" x14ac:dyDescent="0.2">
      <c r="A62" s="91">
        <v>47000</v>
      </c>
      <c r="B62" s="63" t="s">
        <v>426</v>
      </c>
      <c r="C62" s="36">
        <f t="shared" si="2"/>
        <v>2.863358563330352</v>
      </c>
      <c r="D62" s="63" t="s">
        <v>125</v>
      </c>
      <c r="E62" s="63" t="s">
        <v>421</v>
      </c>
      <c r="F62" s="63" t="s">
        <v>21</v>
      </c>
      <c r="G62" s="29" t="s">
        <v>427</v>
      </c>
      <c r="H62" s="105" t="s">
        <v>428</v>
      </c>
      <c r="I62" s="105"/>
      <c r="J62" s="105"/>
      <c r="K62" s="105"/>
      <c r="L62" s="105"/>
    </row>
    <row r="63" spans="1:12" s="63" customFormat="1" ht="18" customHeight="1" x14ac:dyDescent="0.2">
      <c r="A63" s="91">
        <v>48000</v>
      </c>
      <c r="B63" s="63" t="s">
        <v>426</v>
      </c>
      <c r="C63" s="36">
        <f t="shared" si="2"/>
        <v>2.8639573635598747</v>
      </c>
      <c r="D63" s="63" t="s">
        <v>125</v>
      </c>
      <c r="E63" s="63" t="s">
        <v>421</v>
      </c>
      <c r="F63" s="63" t="s">
        <v>21</v>
      </c>
      <c r="G63" s="29" t="s">
        <v>427</v>
      </c>
      <c r="H63" s="105" t="s">
        <v>428</v>
      </c>
      <c r="I63" s="105"/>
      <c r="J63" s="105"/>
      <c r="K63" s="105"/>
      <c r="L63" s="105"/>
    </row>
    <row r="64" spans="1:12" s="63" customFormat="1" ht="18" customHeight="1" x14ac:dyDescent="0.2">
      <c r="A64" s="91">
        <v>49000</v>
      </c>
      <c r="B64" s="63" t="s">
        <v>426</v>
      </c>
      <c r="C64" s="36">
        <f t="shared" si="2"/>
        <v>2.8645319583343136</v>
      </c>
      <c r="D64" s="63" t="s">
        <v>125</v>
      </c>
      <c r="E64" s="63" t="s">
        <v>421</v>
      </c>
      <c r="F64" s="63" t="s">
        <v>21</v>
      </c>
      <c r="G64" s="29" t="s">
        <v>427</v>
      </c>
      <c r="H64" s="105" t="s">
        <v>428</v>
      </c>
      <c r="I64" s="105"/>
      <c r="J64" s="105"/>
      <c r="K64" s="105"/>
      <c r="L64" s="105"/>
    </row>
    <row r="65" spans="1:12" ht="18" customHeight="1" x14ac:dyDescent="0.2">
      <c r="A65" s="52" t="s">
        <v>429</v>
      </c>
      <c r="B65" s="49" t="s">
        <v>430</v>
      </c>
      <c r="C65" s="36">
        <f>$C$7/C29</f>
        <v>0.52330858659903567</v>
      </c>
      <c r="D65" s="49" t="s">
        <v>125</v>
      </c>
      <c r="E65" s="49" t="s">
        <v>431</v>
      </c>
      <c r="F65" s="49" t="s">
        <v>21</v>
      </c>
      <c r="G65" s="29" t="s">
        <v>432</v>
      </c>
      <c r="H65" s="105" t="s">
        <v>433</v>
      </c>
      <c r="I65" s="105"/>
      <c r="J65" s="105"/>
      <c r="K65" s="105"/>
      <c r="L65" s="105"/>
    </row>
    <row r="66" spans="1:12" s="63" customFormat="1" ht="18" customHeight="1" x14ac:dyDescent="0.2">
      <c r="A66" s="91">
        <v>42000</v>
      </c>
      <c r="B66" s="63" t="s">
        <v>430</v>
      </c>
      <c r="C66" s="36">
        <f t="shared" ref="C66:C73" si="3">$C$7/C30</f>
        <v>0.49895571721456178</v>
      </c>
      <c r="D66" s="63" t="s">
        <v>125</v>
      </c>
      <c r="E66" s="63" t="s">
        <v>431</v>
      </c>
      <c r="F66" s="63" t="s">
        <v>21</v>
      </c>
      <c r="G66" s="29" t="s">
        <v>432</v>
      </c>
      <c r="H66" s="105" t="s">
        <v>433</v>
      </c>
      <c r="I66" s="105"/>
      <c r="J66" s="105"/>
      <c r="K66" s="105"/>
      <c r="L66" s="105"/>
    </row>
    <row r="67" spans="1:12" s="63" customFormat="1" ht="18" customHeight="1" x14ac:dyDescent="0.2">
      <c r="A67" s="91">
        <v>43000</v>
      </c>
      <c r="B67" s="63" t="s">
        <v>430</v>
      </c>
      <c r="C67" s="36">
        <f t="shared" si="3"/>
        <v>0.47579859202753566</v>
      </c>
      <c r="D67" s="63" t="s">
        <v>125</v>
      </c>
      <c r="E67" s="63" t="s">
        <v>431</v>
      </c>
      <c r="F67" s="63" t="s">
        <v>21</v>
      </c>
      <c r="G67" s="29" t="s">
        <v>432</v>
      </c>
      <c r="H67" s="105" t="s">
        <v>433</v>
      </c>
      <c r="I67" s="105"/>
      <c r="J67" s="105"/>
      <c r="K67" s="105"/>
      <c r="L67" s="105"/>
    </row>
    <row r="68" spans="1:12" s="63" customFormat="1" ht="18" customHeight="1" x14ac:dyDescent="0.2">
      <c r="A68" s="91">
        <v>44000</v>
      </c>
      <c r="B68" s="63" t="s">
        <v>430</v>
      </c>
      <c r="C68" s="36">
        <f t="shared" si="3"/>
        <v>0.45365298156594813</v>
      </c>
      <c r="D68" s="63" t="s">
        <v>125</v>
      </c>
      <c r="E68" s="63" t="s">
        <v>431</v>
      </c>
      <c r="F68" s="63" t="s">
        <v>21</v>
      </c>
      <c r="G68" s="29" t="s">
        <v>432</v>
      </c>
      <c r="H68" s="105" t="s">
        <v>433</v>
      </c>
      <c r="I68" s="105"/>
      <c r="J68" s="105"/>
      <c r="K68" s="105"/>
      <c r="L68" s="105"/>
    </row>
    <row r="69" spans="1:12" s="63" customFormat="1" ht="18" customHeight="1" x14ac:dyDescent="0.2">
      <c r="A69" s="91">
        <v>45000</v>
      </c>
      <c r="B69" s="63" t="s">
        <v>430</v>
      </c>
      <c r="C69" s="36">
        <f t="shared" si="3"/>
        <v>0.43261355249011968</v>
      </c>
      <c r="D69" s="63" t="s">
        <v>125</v>
      </c>
      <c r="E69" s="63" t="s">
        <v>431</v>
      </c>
      <c r="F69" s="63" t="s">
        <v>21</v>
      </c>
      <c r="G69" s="29" t="s">
        <v>432</v>
      </c>
      <c r="H69" s="105" t="s">
        <v>433</v>
      </c>
      <c r="I69" s="105"/>
      <c r="J69" s="105"/>
      <c r="K69" s="105"/>
      <c r="L69" s="105"/>
    </row>
    <row r="70" spans="1:12" s="63" customFormat="1" ht="18" customHeight="1" x14ac:dyDescent="0.2">
      <c r="A70" s="91">
        <v>46000</v>
      </c>
      <c r="B70" s="63" t="s">
        <v>430</v>
      </c>
      <c r="C70" s="36">
        <f t="shared" si="3"/>
        <v>0.41249559253970908</v>
      </c>
      <c r="D70" s="63" t="s">
        <v>125</v>
      </c>
      <c r="E70" s="63" t="s">
        <v>431</v>
      </c>
      <c r="F70" s="63" t="s">
        <v>21</v>
      </c>
      <c r="G70" s="29" t="s">
        <v>432</v>
      </c>
      <c r="H70" s="105" t="s">
        <v>433</v>
      </c>
      <c r="I70" s="105"/>
      <c r="J70" s="105"/>
      <c r="K70" s="105"/>
      <c r="L70" s="105"/>
    </row>
    <row r="71" spans="1:12" s="63" customFormat="1" ht="18" customHeight="1" x14ac:dyDescent="0.2">
      <c r="A71" s="91">
        <v>47000</v>
      </c>
      <c r="B71" s="63" t="s">
        <v>430</v>
      </c>
      <c r="C71" s="36">
        <f t="shared" si="3"/>
        <v>0.39330038249917826</v>
      </c>
      <c r="D71" s="63" t="s">
        <v>125</v>
      </c>
      <c r="E71" s="63" t="s">
        <v>431</v>
      </c>
      <c r="F71" s="63" t="s">
        <v>21</v>
      </c>
      <c r="G71" s="29" t="s">
        <v>432</v>
      </c>
      <c r="H71" s="105" t="s">
        <v>433</v>
      </c>
      <c r="I71" s="105"/>
      <c r="J71" s="105"/>
      <c r="K71" s="105"/>
      <c r="L71" s="105"/>
    </row>
    <row r="72" spans="1:12" s="63" customFormat="1" ht="18" customHeight="1" x14ac:dyDescent="0.2">
      <c r="A72" s="91">
        <v>48000</v>
      </c>
      <c r="B72" s="63" t="s">
        <v>430</v>
      </c>
      <c r="C72" s="36">
        <f t="shared" si="3"/>
        <v>0.37502914523385017</v>
      </c>
      <c r="D72" s="63" t="s">
        <v>125</v>
      </c>
      <c r="E72" s="63" t="s">
        <v>431</v>
      </c>
      <c r="F72" s="63" t="s">
        <v>21</v>
      </c>
      <c r="G72" s="29" t="s">
        <v>432</v>
      </c>
      <c r="H72" s="105" t="s">
        <v>433</v>
      </c>
      <c r="I72" s="105"/>
      <c r="J72" s="105"/>
      <c r="K72" s="105"/>
      <c r="L72" s="105"/>
    </row>
    <row r="73" spans="1:12" s="63" customFormat="1" ht="18" customHeight="1" x14ac:dyDescent="0.2">
      <c r="A73" s="91">
        <v>49000</v>
      </c>
      <c r="B73" s="63" t="s">
        <v>430</v>
      </c>
      <c r="C73" s="36">
        <f t="shared" si="3"/>
        <v>0.3574964908733777</v>
      </c>
      <c r="D73" s="63" t="s">
        <v>125</v>
      </c>
      <c r="E73" s="63" t="s">
        <v>431</v>
      </c>
      <c r="F73" s="63" t="s">
        <v>21</v>
      </c>
      <c r="G73" s="29" t="s">
        <v>432</v>
      </c>
      <c r="H73" s="105" t="s">
        <v>433</v>
      </c>
      <c r="I73" s="105"/>
      <c r="J73" s="105"/>
      <c r="K73" s="105"/>
      <c r="L73" s="105"/>
    </row>
    <row r="74" spans="1:12" ht="18" customHeight="1" x14ac:dyDescent="0.2">
      <c r="A74" s="49" t="s">
        <v>434</v>
      </c>
      <c r="B74" s="49" t="s">
        <v>435</v>
      </c>
      <c r="C74" s="36">
        <f>2*'Stability Constants'!$C$13*('Stability Constants'!$C$4-'Stability Constants'!$C$3)*'Stability Constants'!$C$14*'Supersonic Stability'!C29</f>
        <v>68518.092846343556</v>
      </c>
      <c r="D74" s="49" t="s">
        <v>125</v>
      </c>
      <c r="E74" s="49" t="s">
        <v>224</v>
      </c>
      <c r="F74" s="49" t="s">
        <v>21</v>
      </c>
      <c r="G74" s="29" t="s">
        <v>437</v>
      </c>
      <c r="H74" s="105" t="s">
        <v>438</v>
      </c>
      <c r="I74" s="105"/>
      <c r="J74" s="105"/>
      <c r="K74" s="105"/>
      <c r="L74" s="105"/>
    </row>
    <row r="75" spans="1:12" s="63" customFormat="1" ht="18" customHeight="1" x14ac:dyDescent="0.2">
      <c r="A75" s="91">
        <v>42000</v>
      </c>
      <c r="B75" s="63" t="s">
        <v>435</v>
      </c>
      <c r="C75" s="36">
        <f>2*'Stability Constants'!$C$13*('Stability Constants'!$C$4-'Stability Constants'!$C$3)*'Stability Constants'!$C$14*'Supersonic Stability'!C30</f>
        <v>71862.301777098677</v>
      </c>
      <c r="D75" s="63" t="s">
        <v>125</v>
      </c>
      <c r="E75" s="63" t="s">
        <v>224</v>
      </c>
      <c r="F75" s="63" t="s">
        <v>21</v>
      </c>
      <c r="G75" s="29" t="s">
        <v>437</v>
      </c>
      <c r="H75" s="105" t="s">
        <v>438</v>
      </c>
      <c r="I75" s="105"/>
      <c r="J75" s="105"/>
      <c r="K75" s="105"/>
      <c r="L75" s="105"/>
    </row>
    <row r="76" spans="1:12" s="63" customFormat="1" ht="18" customHeight="1" x14ac:dyDescent="0.2">
      <c r="A76" s="91">
        <v>43000</v>
      </c>
      <c r="B76" s="63" t="s">
        <v>435</v>
      </c>
      <c r="C76" s="36">
        <f>2*'Stability Constants'!$C$13*('Stability Constants'!$C$4-'Stability Constants'!$C$3)*'Stability Constants'!$C$14*'Supersonic Stability'!C31</f>
        <v>75359.841169530962</v>
      </c>
      <c r="D76" s="63" t="s">
        <v>125</v>
      </c>
      <c r="E76" s="63" t="s">
        <v>224</v>
      </c>
      <c r="F76" s="63" t="s">
        <v>21</v>
      </c>
      <c r="G76" s="29" t="s">
        <v>437</v>
      </c>
      <c r="H76" s="105" t="s">
        <v>438</v>
      </c>
      <c r="I76" s="105"/>
      <c r="J76" s="105"/>
      <c r="K76" s="105"/>
      <c r="L76" s="105"/>
    </row>
    <row r="77" spans="1:12" s="63" customFormat="1" ht="18" customHeight="1" x14ac:dyDescent="0.2">
      <c r="A77" s="91">
        <v>44000</v>
      </c>
      <c r="B77" s="63" t="s">
        <v>435</v>
      </c>
      <c r="C77" s="36">
        <f>2*'Stability Constants'!$C$13*('Stability Constants'!$C$4-'Stability Constants'!$C$3)*'Stability Constants'!$C$14*'Supersonic Stability'!C32</f>
        <v>79038.621547490256</v>
      </c>
      <c r="D77" s="63" t="s">
        <v>125</v>
      </c>
      <c r="E77" s="63" t="s">
        <v>224</v>
      </c>
      <c r="F77" s="63" t="s">
        <v>21</v>
      </c>
      <c r="G77" s="29" t="s">
        <v>437</v>
      </c>
      <c r="H77" s="105" t="s">
        <v>438</v>
      </c>
      <c r="I77" s="105"/>
      <c r="J77" s="105"/>
      <c r="K77" s="105"/>
      <c r="L77" s="105"/>
    </row>
    <row r="78" spans="1:12" s="63" customFormat="1" ht="18" customHeight="1" x14ac:dyDescent="0.2">
      <c r="A78" s="91">
        <v>45000</v>
      </c>
      <c r="B78" s="63" t="s">
        <v>435</v>
      </c>
      <c r="C78" s="36">
        <f>2*'Stability Constants'!$C$13*('Stability Constants'!$C$4-'Stability Constants'!$C$3)*'Stability Constants'!$C$14*'Supersonic Stability'!C33</f>
        <v>82882.531343491501</v>
      </c>
      <c r="D78" s="63" t="s">
        <v>125</v>
      </c>
      <c r="E78" s="63" t="s">
        <v>224</v>
      </c>
      <c r="F78" s="63" t="s">
        <v>21</v>
      </c>
      <c r="G78" s="29" t="s">
        <v>437</v>
      </c>
      <c r="H78" s="105" t="s">
        <v>438</v>
      </c>
      <c r="I78" s="105"/>
      <c r="J78" s="105"/>
      <c r="K78" s="105"/>
      <c r="L78" s="105"/>
    </row>
    <row r="79" spans="1:12" s="63" customFormat="1" ht="18" customHeight="1" x14ac:dyDescent="0.2">
      <c r="A79" s="91">
        <v>46000</v>
      </c>
      <c r="B79" s="63" t="s">
        <v>435</v>
      </c>
      <c r="C79" s="36">
        <f>2*'Stability Constants'!$C$13*('Stability Constants'!$C$4-'Stability Constants'!$C$3)*'Stability Constants'!$C$14*'Supersonic Stability'!C34</f>
        <v>86924.822888695096</v>
      </c>
      <c r="D79" s="63" t="s">
        <v>125</v>
      </c>
      <c r="E79" s="63" t="s">
        <v>224</v>
      </c>
      <c r="F79" s="63" t="s">
        <v>21</v>
      </c>
      <c r="G79" s="29" t="s">
        <v>437</v>
      </c>
      <c r="H79" s="105" t="s">
        <v>438</v>
      </c>
      <c r="I79" s="105"/>
      <c r="J79" s="105"/>
      <c r="K79" s="105"/>
      <c r="L79" s="105"/>
    </row>
    <row r="80" spans="1:12" s="63" customFormat="1" ht="18" customHeight="1" x14ac:dyDescent="0.2">
      <c r="A80" s="91">
        <v>47000</v>
      </c>
      <c r="B80" s="63" t="s">
        <v>435</v>
      </c>
      <c r="C80" s="36">
        <f>2*'Stability Constants'!$C$13*('Stability Constants'!$C$4-'Stability Constants'!$C$3)*'Stability Constants'!$C$14*'Supersonic Stability'!C35</f>
        <v>91167.229729191691</v>
      </c>
      <c r="D80" s="63" t="s">
        <v>125</v>
      </c>
      <c r="E80" s="63" t="s">
        <v>224</v>
      </c>
      <c r="F80" s="63" t="s">
        <v>21</v>
      </c>
      <c r="G80" s="29" t="s">
        <v>437</v>
      </c>
      <c r="H80" s="105" t="s">
        <v>438</v>
      </c>
      <c r="I80" s="105"/>
      <c r="J80" s="105"/>
      <c r="K80" s="105"/>
      <c r="L80" s="105"/>
    </row>
    <row r="81" spans="1:12" s="63" customFormat="1" ht="18" customHeight="1" x14ac:dyDescent="0.2">
      <c r="A81" s="91">
        <v>48000</v>
      </c>
      <c r="B81" s="63" t="s">
        <v>435</v>
      </c>
      <c r="C81" s="36">
        <f>2*'Stability Constants'!$C$13*('Stability Constants'!$C$4-'Stability Constants'!$C$3)*'Stability Constants'!$C$14*'Supersonic Stability'!C36</f>
        <v>95608.852750693288</v>
      </c>
      <c r="D81" s="63" t="s">
        <v>125</v>
      </c>
      <c r="E81" s="63" t="s">
        <v>224</v>
      </c>
      <c r="F81" s="63" t="s">
        <v>21</v>
      </c>
      <c r="G81" s="29" t="s">
        <v>437</v>
      </c>
      <c r="H81" s="105" t="s">
        <v>438</v>
      </c>
      <c r="I81" s="105"/>
      <c r="J81" s="105"/>
      <c r="K81" s="105"/>
      <c r="L81" s="105"/>
    </row>
    <row r="82" spans="1:12" s="63" customFormat="1" ht="18" customHeight="1" x14ac:dyDescent="0.2">
      <c r="A82" s="91">
        <v>49000</v>
      </c>
      <c r="B82" s="63" t="s">
        <v>435</v>
      </c>
      <c r="C82" s="36">
        <f>2*'Stability Constants'!$C$13*('Stability Constants'!$C$4-'Stability Constants'!$C$3)*'Stability Constants'!$C$14*'Supersonic Stability'!C37</f>
        <v>100297.78540282646</v>
      </c>
      <c r="D82" s="63" t="s">
        <v>125</v>
      </c>
      <c r="E82" s="63" t="s">
        <v>224</v>
      </c>
      <c r="F82" s="63" t="s">
        <v>21</v>
      </c>
      <c r="G82" s="29" t="s">
        <v>437</v>
      </c>
      <c r="H82" s="105" t="s">
        <v>438</v>
      </c>
      <c r="I82" s="105"/>
      <c r="J82" s="105"/>
      <c r="K82" s="105"/>
      <c r="L82" s="105"/>
    </row>
    <row r="83" spans="1:12" ht="18" customHeight="1" x14ac:dyDescent="0.2">
      <c r="A83" s="49" t="s">
        <v>439</v>
      </c>
      <c r="B83" s="49" t="s">
        <v>440</v>
      </c>
      <c r="C83" s="36">
        <f>2*'Stability Constants'!$C$13*('Stability Constants'!$C$6-'Stability Constants'!$C$5)*'Stability Constants'!$C$15*'Supersonic Stability'!C29</f>
        <v>42863.825115940526</v>
      </c>
      <c r="D83" s="49" t="s">
        <v>125</v>
      </c>
      <c r="E83" s="49" t="s">
        <v>224</v>
      </c>
      <c r="F83" s="49" t="s">
        <v>21</v>
      </c>
      <c r="G83" s="29" t="s">
        <v>442</v>
      </c>
      <c r="H83" s="105" t="s">
        <v>438</v>
      </c>
      <c r="I83" s="105"/>
      <c r="J83" s="105"/>
      <c r="K83" s="105"/>
      <c r="L83" s="105"/>
    </row>
    <row r="84" spans="1:12" s="63" customFormat="1" ht="18" customHeight="1" x14ac:dyDescent="0.2">
      <c r="A84" s="91">
        <v>42000</v>
      </c>
      <c r="B84" s="63" t="s">
        <v>440</v>
      </c>
      <c r="C84" s="36">
        <f>2*'Stability Constants'!$C$13*('Stability Constants'!$C$6-'Stability Constants'!$C$5)*'Stability Constants'!$C$15*'Supersonic Stability'!C30</f>
        <v>44955.908838710158</v>
      </c>
      <c r="D84" s="63" t="s">
        <v>125</v>
      </c>
      <c r="E84" s="63" t="s">
        <v>224</v>
      </c>
      <c r="F84" s="63" t="s">
        <v>21</v>
      </c>
      <c r="G84" s="29" t="s">
        <v>442</v>
      </c>
      <c r="H84" s="105" t="s">
        <v>438</v>
      </c>
      <c r="I84" s="105"/>
      <c r="J84" s="105"/>
      <c r="K84" s="105"/>
      <c r="L84" s="105"/>
    </row>
    <row r="85" spans="1:12" s="63" customFormat="1" ht="18" customHeight="1" x14ac:dyDescent="0.2">
      <c r="A85" s="91">
        <v>43000</v>
      </c>
      <c r="B85" s="63" t="s">
        <v>440</v>
      </c>
      <c r="C85" s="36">
        <f>2*'Stability Constants'!$C$13*('Stability Constants'!$C$6-'Stability Constants'!$C$5)*'Stability Constants'!$C$15*'Supersonic Stability'!C31</f>
        <v>47143.913650658607</v>
      </c>
      <c r="D85" s="63" t="s">
        <v>125</v>
      </c>
      <c r="E85" s="63" t="s">
        <v>224</v>
      </c>
      <c r="F85" s="63" t="s">
        <v>21</v>
      </c>
      <c r="G85" s="29" t="s">
        <v>442</v>
      </c>
      <c r="H85" s="105" t="s">
        <v>438</v>
      </c>
      <c r="I85" s="105"/>
      <c r="J85" s="105"/>
      <c r="K85" s="105"/>
      <c r="L85" s="105"/>
    </row>
    <row r="86" spans="1:12" s="63" customFormat="1" ht="18" customHeight="1" x14ac:dyDescent="0.2">
      <c r="A86" s="91">
        <v>44000</v>
      </c>
      <c r="B86" s="63" t="s">
        <v>440</v>
      </c>
      <c r="C86" s="36">
        <f>2*'Stability Constants'!$C$13*('Stability Constants'!$C$6-'Stability Constants'!$C$5)*'Stability Constants'!$C$15*'Supersonic Stability'!C32</f>
        <v>49445.299929964771</v>
      </c>
      <c r="D86" s="63" t="s">
        <v>125</v>
      </c>
      <c r="E86" s="63" t="s">
        <v>224</v>
      </c>
      <c r="F86" s="63" t="s">
        <v>21</v>
      </c>
      <c r="G86" s="29" t="s">
        <v>442</v>
      </c>
      <c r="H86" s="105" t="s">
        <v>438</v>
      </c>
      <c r="I86" s="105"/>
      <c r="J86" s="105"/>
      <c r="K86" s="105"/>
      <c r="L86" s="105"/>
    </row>
    <row r="87" spans="1:12" s="63" customFormat="1" ht="18" customHeight="1" x14ac:dyDescent="0.2">
      <c r="A87" s="91">
        <v>45000</v>
      </c>
      <c r="B87" s="63" t="s">
        <v>440</v>
      </c>
      <c r="C87" s="36">
        <f>2*'Stability Constants'!$C$13*('Stability Constants'!$C$6-'Stability Constants'!$C$5)*'Stability Constants'!$C$15*'Supersonic Stability'!C33</f>
        <v>51849.988537202335</v>
      </c>
      <c r="D87" s="63" t="s">
        <v>125</v>
      </c>
      <c r="E87" s="63" t="s">
        <v>224</v>
      </c>
      <c r="F87" s="63" t="s">
        <v>21</v>
      </c>
      <c r="G87" s="29" t="s">
        <v>442</v>
      </c>
      <c r="H87" s="105" t="s">
        <v>438</v>
      </c>
      <c r="I87" s="105"/>
      <c r="J87" s="105"/>
      <c r="K87" s="105"/>
      <c r="L87" s="105"/>
    </row>
    <row r="88" spans="1:12" s="63" customFormat="1" ht="18" customHeight="1" x14ac:dyDescent="0.2">
      <c r="A88" s="91">
        <v>46000</v>
      </c>
      <c r="B88" s="63" t="s">
        <v>440</v>
      </c>
      <c r="C88" s="36">
        <f>2*'Stability Constants'!$C$13*('Stability Constants'!$C$6-'Stability Constants'!$C$5)*'Stability Constants'!$C$15*'Supersonic Stability'!C34</f>
        <v>54378.781599931288</v>
      </c>
      <c r="D88" s="63" t="s">
        <v>125</v>
      </c>
      <c r="E88" s="63" t="s">
        <v>224</v>
      </c>
      <c r="F88" s="63" t="s">
        <v>21</v>
      </c>
      <c r="G88" s="29" t="s">
        <v>442</v>
      </c>
      <c r="H88" s="105" t="s">
        <v>438</v>
      </c>
      <c r="I88" s="105"/>
      <c r="J88" s="105"/>
      <c r="K88" s="105"/>
      <c r="L88" s="105"/>
    </row>
    <row r="89" spans="1:12" s="63" customFormat="1" ht="18" customHeight="1" x14ac:dyDescent="0.2">
      <c r="A89" s="91">
        <v>47000</v>
      </c>
      <c r="B89" s="63" t="s">
        <v>440</v>
      </c>
      <c r="C89" s="36">
        <f>2*'Stability Constants'!$C$13*('Stability Constants'!$C$6-'Stability Constants'!$C$5)*'Stability Constants'!$C$15*'Supersonic Stability'!C35</f>
        <v>57032.763596912977</v>
      </c>
      <c r="D89" s="63" t="s">
        <v>125</v>
      </c>
      <c r="E89" s="63" t="s">
        <v>224</v>
      </c>
      <c r="F89" s="63" t="s">
        <v>21</v>
      </c>
      <c r="G89" s="29" t="s">
        <v>442</v>
      </c>
      <c r="H89" s="105" t="s">
        <v>438</v>
      </c>
      <c r="I89" s="105"/>
      <c r="J89" s="105"/>
      <c r="K89" s="105"/>
      <c r="L89" s="105"/>
    </row>
    <row r="90" spans="1:12" s="63" customFormat="1" ht="18" customHeight="1" x14ac:dyDescent="0.2">
      <c r="A90" s="91">
        <v>48000</v>
      </c>
      <c r="B90" s="63" t="s">
        <v>440</v>
      </c>
      <c r="C90" s="36">
        <f>2*'Stability Constants'!$C$13*('Stability Constants'!$C$6-'Stability Constants'!$C$5)*'Stability Constants'!$C$15*'Supersonic Stability'!C36</f>
        <v>59811.372056601584</v>
      </c>
      <c r="D90" s="63" t="s">
        <v>125</v>
      </c>
      <c r="E90" s="63" t="s">
        <v>224</v>
      </c>
      <c r="F90" s="63" t="s">
        <v>21</v>
      </c>
      <c r="G90" s="29" t="s">
        <v>442</v>
      </c>
      <c r="H90" s="105" t="s">
        <v>438</v>
      </c>
      <c r="I90" s="105"/>
      <c r="J90" s="105"/>
      <c r="K90" s="105"/>
      <c r="L90" s="105"/>
    </row>
    <row r="91" spans="1:12" s="63" customFormat="1" ht="18" customHeight="1" x14ac:dyDescent="0.2">
      <c r="A91" s="91">
        <v>49000</v>
      </c>
      <c r="B91" s="63" t="s">
        <v>440</v>
      </c>
      <c r="C91" s="36">
        <f>2*'Stability Constants'!$C$13*('Stability Constants'!$C$6-'Stability Constants'!$C$5)*'Stability Constants'!$C$15*'Supersonic Stability'!C37</f>
        <v>62744.693473357642</v>
      </c>
      <c r="D91" s="63" t="s">
        <v>125</v>
      </c>
      <c r="E91" s="63" t="s">
        <v>224</v>
      </c>
      <c r="F91" s="63" t="s">
        <v>21</v>
      </c>
      <c r="G91" s="29" t="s">
        <v>442</v>
      </c>
      <c r="H91" s="105" t="s">
        <v>438</v>
      </c>
      <c r="I91" s="105"/>
      <c r="J91" s="105"/>
      <c r="K91" s="105"/>
      <c r="L91" s="105"/>
    </row>
    <row r="92" spans="1:12" ht="22" customHeight="1" x14ac:dyDescent="0.2">
      <c r="A92" s="113" t="s">
        <v>503</v>
      </c>
      <c r="B92" s="114"/>
      <c r="C92" s="114"/>
      <c r="D92" s="114"/>
      <c r="E92" s="114"/>
      <c r="F92" s="114"/>
      <c r="G92" s="114"/>
      <c r="H92" s="116"/>
      <c r="I92" s="116"/>
      <c r="J92" s="116"/>
      <c r="K92" s="116"/>
      <c r="L92" s="120"/>
    </row>
    <row r="93" spans="1:12" ht="18" customHeight="1" x14ac:dyDescent="0.2">
      <c r="A93" s="23" t="s">
        <v>5</v>
      </c>
      <c r="B93" s="23" t="s">
        <v>96</v>
      </c>
      <c r="C93" s="64" t="s">
        <v>7</v>
      </c>
      <c r="D93" s="64" t="s">
        <v>125</v>
      </c>
      <c r="E93" s="64" t="s">
        <v>8</v>
      </c>
      <c r="F93" s="64" t="s">
        <v>9</v>
      </c>
      <c r="G93" s="31" t="s">
        <v>10</v>
      </c>
      <c r="H93" s="117" t="s">
        <v>11</v>
      </c>
      <c r="I93" s="118"/>
      <c r="J93" s="118"/>
      <c r="K93" s="118"/>
      <c r="L93" s="119"/>
    </row>
    <row r="94" spans="1:12" ht="18" customHeight="1" x14ac:dyDescent="0.2">
      <c r="A94" s="63" t="s">
        <v>379</v>
      </c>
      <c r="B94" s="63" t="s">
        <v>380</v>
      </c>
      <c r="C94" s="36">
        <v>1.7</v>
      </c>
      <c r="D94" s="63" t="s">
        <v>125</v>
      </c>
      <c r="E94" s="63" t="s">
        <v>137</v>
      </c>
      <c r="F94" s="63" t="s">
        <v>484</v>
      </c>
      <c r="G94" s="29" t="s">
        <v>137</v>
      </c>
      <c r="H94" s="121" t="s">
        <v>309</v>
      </c>
      <c r="I94" s="121"/>
      <c r="J94" s="121"/>
      <c r="K94" s="121"/>
      <c r="L94" s="121"/>
    </row>
    <row r="95" spans="1:12" ht="18" customHeight="1" x14ac:dyDescent="0.2">
      <c r="A95" s="63" t="s">
        <v>557</v>
      </c>
      <c r="B95" s="63" t="s">
        <v>406</v>
      </c>
      <c r="C95" s="36">
        <f>'Final Aircraft Checkouts'!C34</f>
        <v>8.8603428369144283E-2</v>
      </c>
      <c r="D95" s="63" t="s">
        <v>125</v>
      </c>
      <c r="E95" s="63" t="s">
        <v>137</v>
      </c>
      <c r="F95" s="63" t="s">
        <v>21</v>
      </c>
      <c r="G95" s="29" t="s">
        <v>550</v>
      </c>
      <c r="H95" s="122" t="s">
        <v>526</v>
      </c>
      <c r="I95" s="122"/>
      <c r="J95" s="122"/>
      <c r="K95" s="122"/>
      <c r="L95" s="122"/>
    </row>
    <row r="96" spans="1:12" ht="18" customHeight="1" x14ac:dyDescent="0.2">
      <c r="A96" s="91">
        <v>42000</v>
      </c>
      <c r="B96" s="63" t="s">
        <v>406</v>
      </c>
      <c r="C96" s="36">
        <f>'Final Aircraft Checkouts'!C35</f>
        <v>9.295389655368623E-2</v>
      </c>
      <c r="D96" s="63" t="s">
        <v>125</v>
      </c>
      <c r="E96" s="63" t="s">
        <v>137</v>
      </c>
      <c r="F96" s="63" t="s">
        <v>21</v>
      </c>
      <c r="G96" s="29" t="s">
        <v>550</v>
      </c>
      <c r="H96" s="122" t="s">
        <v>526</v>
      </c>
      <c r="I96" s="122"/>
      <c r="J96" s="122"/>
      <c r="K96" s="122"/>
      <c r="L96" s="122"/>
    </row>
    <row r="97" spans="1:12" ht="18" customHeight="1" x14ac:dyDescent="0.2">
      <c r="A97" s="91">
        <v>43000</v>
      </c>
      <c r="B97" s="63" t="s">
        <v>406</v>
      </c>
      <c r="C97" s="36">
        <f>'Final Aircraft Checkouts'!C36</f>
        <v>9.7503831729992094E-2</v>
      </c>
      <c r="D97" s="63" t="s">
        <v>125</v>
      </c>
      <c r="E97" s="63" t="s">
        <v>137</v>
      </c>
      <c r="F97" s="63" t="s">
        <v>21</v>
      </c>
      <c r="G97" s="29" t="s">
        <v>550</v>
      </c>
      <c r="H97" s="122" t="s">
        <v>526</v>
      </c>
      <c r="I97" s="122"/>
      <c r="J97" s="122"/>
      <c r="K97" s="122"/>
      <c r="L97" s="122"/>
    </row>
    <row r="98" spans="1:12" ht="18" customHeight="1" x14ac:dyDescent="0.2">
      <c r="A98" s="91">
        <v>44000</v>
      </c>
      <c r="B98" s="63" t="s">
        <v>406</v>
      </c>
      <c r="C98" s="36">
        <f>'Final Aircraft Checkouts'!C37</f>
        <v>0.10228954258825937</v>
      </c>
      <c r="D98" s="63" t="s">
        <v>125</v>
      </c>
      <c r="E98" s="63" t="s">
        <v>137</v>
      </c>
      <c r="F98" s="63" t="s">
        <v>21</v>
      </c>
      <c r="G98" s="29" t="s">
        <v>550</v>
      </c>
      <c r="H98" s="122" t="s">
        <v>526</v>
      </c>
      <c r="I98" s="122"/>
      <c r="J98" s="122"/>
      <c r="K98" s="122"/>
      <c r="L98" s="122"/>
    </row>
    <row r="99" spans="1:12" ht="18" customHeight="1" x14ac:dyDescent="0.2">
      <c r="A99" s="91">
        <v>45000</v>
      </c>
      <c r="B99" s="63" t="s">
        <v>406</v>
      </c>
      <c r="C99" s="36">
        <f>'Final Aircraft Checkouts'!C38</f>
        <v>0.10729006965400599</v>
      </c>
      <c r="D99" s="63" t="s">
        <v>125</v>
      </c>
      <c r="E99" s="63" t="s">
        <v>137</v>
      </c>
      <c r="F99" s="63" t="s">
        <v>21</v>
      </c>
      <c r="G99" s="29" t="s">
        <v>550</v>
      </c>
      <c r="H99" s="122" t="s">
        <v>526</v>
      </c>
      <c r="I99" s="122"/>
      <c r="J99" s="122"/>
      <c r="K99" s="122"/>
      <c r="L99" s="122"/>
    </row>
    <row r="100" spans="1:12" ht="18" customHeight="1" x14ac:dyDescent="0.2">
      <c r="A100" s="91">
        <v>46000</v>
      </c>
      <c r="B100" s="63" t="s">
        <v>406</v>
      </c>
      <c r="C100" s="36">
        <f>'Final Aircraft Checkouts'!C39</f>
        <v>0.11254867075345354</v>
      </c>
      <c r="D100" s="63" t="s">
        <v>125</v>
      </c>
      <c r="E100" s="63" t="s">
        <v>137</v>
      </c>
      <c r="F100" s="63" t="s">
        <v>21</v>
      </c>
      <c r="G100" s="29" t="s">
        <v>550</v>
      </c>
      <c r="H100" s="122" t="s">
        <v>526</v>
      </c>
      <c r="I100" s="122"/>
      <c r="J100" s="122"/>
      <c r="K100" s="122"/>
      <c r="L100" s="122"/>
    </row>
    <row r="101" spans="1:12" ht="18" customHeight="1" x14ac:dyDescent="0.2">
      <c r="A101" s="91">
        <v>47000</v>
      </c>
      <c r="B101" s="63" t="s">
        <v>406</v>
      </c>
      <c r="C101" s="36">
        <f>'Final Aircraft Checkouts'!C40</f>
        <v>0.11806760104986186</v>
      </c>
      <c r="D101" s="63" t="s">
        <v>125</v>
      </c>
      <c r="E101" s="63" t="s">
        <v>137</v>
      </c>
      <c r="F101" s="63" t="s">
        <v>21</v>
      </c>
      <c r="G101" s="29" t="s">
        <v>550</v>
      </c>
      <c r="H101" s="122" t="s">
        <v>526</v>
      </c>
      <c r="I101" s="122"/>
      <c r="J101" s="122"/>
      <c r="K101" s="122"/>
      <c r="L101" s="122"/>
    </row>
    <row r="102" spans="1:12" ht="18" customHeight="1" x14ac:dyDescent="0.2">
      <c r="A102" s="91">
        <v>48000</v>
      </c>
      <c r="B102" s="63" t="s">
        <v>406</v>
      </c>
      <c r="C102" s="36">
        <f>'Final Aircraft Checkouts'!C41</f>
        <v>0.12384569088900618</v>
      </c>
      <c r="D102" s="63" t="s">
        <v>125</v>
      </c>
      <c r="E102" s="63" t="s">
        <v>137</v>
      </c>
      <c r="F102" s="63" t="s">
        <v>21</v>
      </c>
      <c r="G102" s="29" t="s">
        <v>550</v>
      </c>
      <c r="H102" s="122" t="s">
        <v>526</v>
      </c>
      <c r="I102" s="122"/>
      <c r="J102" s="122"/>
      <c r="K102" s="122"/>
      <c r="L102" s="122"/>
    </row>
    <row r="103" spans="1:12" ht="18" customHeight="1" x14ac:dyDescent="0.2">
      <c r="A103" s="91">
        <v>49000</v>
      </c>
      <c r="B103" s="63" t="s">
        <v>406</v>
      </c>
      <c r="C103" s="36">
        <f>'Final Aircraft Checkouts'!C42</f>
        <v>0.1299455048494812</v>
      </c>
      <c r="D103" s="63" t="s">
        <v>125</v>
      </c>
      <c r="E103" s="63" t="s">
        <v>137</v>
      </c>
      <c r="F103" s="63" t="s">
        <v>21</v>
      </c>
      <c r="G103" s="29" t="s">
        <v>550</v>
      </c>
      <c r="H103" s="122" t="s">
        <v>526</v>
      </c>
      <c r="I103" s="122"/>
      <c r="J103" s="122"/>
      <c r="K103" s="122"/>
      <c r="L103" s="122"/>
    </row>
    <row r="104" spans="1:12" ht="22" customHeight="1" x14ac:dyDescent="0.2">
      <c r="A104" s="63" t="s">
        <v>447</v>
      </c>
      <c r="B104" s="47" t="s">
        <v>448</v>
      </c>
      <c r="C104" s="48">
        <v>0.10158298411673315</v>
      </c>
      <c r="D104" s="63" t="s">
        <v>125</v>
      </c>
      <c r="E104" s="63" t="s">
        <v>137</v>
      </c>
      <c r="F104" s="63" t="s">
        <v>399</v>
      </c>
      <c r="G104" s="29" t="s">
        <v>137</v>
      </c>
      <c r="H104" s="122" t="s">
        <v>449</v>
      </c>
      <c r="I104" s="122"/>
      <c r="J104" s="122"/>
      <c r="K104" s="122"/>
      <c r="L104" s="122"/>
    </row>
    <row r="105" spans="1:12" ht="18" customHeight="1" x14ac:dyDescent="0.2">
      <c r="A105" s="63" t="s">
        <v>447</v>
      </c>
      <c r="B105" s="47" t="s">
        <v>448</v>
      </c>
      <c r="C105" s="48">
        <v>0.10158298411673315</v>
      </c>
      <c r="D105" s="63" t="s">
        <v>125</v>
      </c>
      <c r="E105" s="63" t="s">
        <v>137</v>
      </c>
      <c r="F105" s="63" t="s">
        <v>399</v>
      </c>
      <c r="G105" s="29" t="s">
        <v>137</v>
      </c>
      <c r="H105" s="122" t="s">
        <v>449</v>
      </c>
      <c r="I105" s="122"/>
      <c r="J105" s="122"/>
      <c r="K105" s="122"/>
      <c r="L105" s="122"/>
    </row>
    <row r="106" spans="1:12" ht="18" customHeight="1" x14ac:dyDescent="0.2">
      <c r="A106" s="63" t="s">
        <v>447</v>
      </c>
      <c r="B106" s="47" t="s">
        <v>448</v>
      </c>
      <c r="C106" s="48">
        <v>0.10158298411673315</v>
      </c>
      <c r="D106" s="63" t="s">
        <v>125</v>
      </c>
      <c r="E106" s="63" t="s">
        <v>137</v>
      </c>
      <c r="F106" s="63" t="s">
        <v>399</v>
      </c>
      <c r="G106" s="29" t="s">
        <v>137</v>
      </c>
      <c r="H106" s="122" t="s">
        <v>449</v>
      </c>
      <c r="I106" s="122"/>
      <c r="J106" s="122"/>
      <c r="K106" s="122"/>
      <c r="L106" s="122"/>
    </row>
    <row r="107" spans="1:12" ht="18" customHeight="1" x14ac:dyDescent="0.2">
      <c r="A107" s="63" t="s">
        <v>447</v>
      </c>
      <c r="B107" s="47" t="s">
        <v>448</v>
      </c>
      <c r="C107" s="48">
        <v>0.10158298411673315</v>
      </c>
      <c r="D107" s="63" t="s">
        <v>125</v>
      </c>
      <c r="E107" s="63" t="s">
        <v>137</v>
      </c>
      <c r="F107" s="63" t="s">
        <v>399</v>
      </c>
      <c r="G107" s="29" t="s">
        <v>137</v>
      </c>
      <c r="H107" s="122" t="s">
        <v>449</v>
      </c>
      <c r="I107" s="122"/>
      <c r="J107" s="122"/>
      <c r="K107" s="122"/>
      <c r="L107" s="122"/>
    </row>
    <row r="108" spans="1:12" ht="18" customHeight="1" x14ac:dyDescent="0.2">
      <c r="A108" s="63" t="s">
        <v>447</v>
      </c>
      <c r="B108" s="47" t="s">
        <v>448</v>
      </c>
      <c r="C108" s="48">
        <v>0.10158298411673315</v>
      </c>
      <c r="D108" s="63" t="s">
        <v>125</v>
      </c>
      <c r="E108" s="63" t="s">
        <v>137</v>
      </c>
      <c r="F108" s="63" t="s">
        <v>399</v>
      </c>
      <c r="G108" s="29" t="s">
        <v>137</v>
      </c>
      <c r="H108" s="122" t="s">
        <v>449</v>
      </c>
      <c r="I108" s="122"/>
      <c r="J108" s="122"/>
      <c r="K108" s="122"/>
      <c r="L108" s="122"/>
    </row>
    <row r="109" spans="1:12" ht="18" customHeight="1" x14ac:dyDescent="0.2">
      <c r="A109" s="63" t="s">
        <v>447</v>
      </c>
      <c r="B109" s="47" t="s">
        <v>448</v>
      </c>
      <c r="C109" s="48">
        <v>0.10158298411673315</v>
      </c>
      <c r="D109" s="63" t="s">
        <v>125</v>
      </c>
      <c r="E109" s="63" t="s">
        <v>137</v>
      </c>
      <c r="F109" s="63" t="s">
        <v>399</v>
      </c>
      <c r="G109" s="29" t="s">
        <v>137</v>
      </c>
      <c r="H109" s="122" t="s">
        <v>449</v>
      </c>
      <c r="I109" s="122"/>
      <c r="J109" s="122"/>
      <c r="K109" s="122"/>
      <c r="L109" s="122"/>
    </row>
    <row r="110" spans="1:12" ht="18" customHeight="1" x14ac:dyDescent="0.2">
      <c r="A110" s="63" t="s">
        <v>447</v>
      </c>
      <c r="B110" s="47" t="s">
        <v>448</v>
      </c>
      <c r="C110" s="48">
        <v>0.10158298411673315</v>
      </c>
      <c r="D110" s="63" t="s">
        <v>125</v>
      </c>
      <c r="E110" s="63" t="s">
        <v>137</v>
      </c>
      <c r="F110" s="63" t="s">
        <v>399</v>
      </c>
      <c r="G110" s="29" t="s">
        <v>137</v>
      </c>
      <c r="H110" s="122" t="s">
        <v>449</v>
      </c>
      <c r="I110" s="122"/>
      <c r="J110" s="122"/>
      <c r="K110" s="122"/>
      <c r="L110" s="122"/>
    </row>
    <row r="111" spans="1:12" ht="18" customHeight="1" x14ac:dyDescent="0.2">
      <c r="A111" s="63" t="s">
        <v>447</v>
      </c>
      <c r="B111" s="47" t="s">
        <v>448</v>
      </c>
      <c r="C111" s="48">
        <v>0.10158298411673315</v>
      </c>
      <c r="D111" s="63" t="s">
        <v>125</v>
      </c>
      <c r="E111" s="63" t="s">
        <v>137</v>
      </c>
      <c r="F111" s="63" t="s">
        <v>399</v>
      </c>
      <c r="G111" s="29" t="s">
        <v>137</v>
      </c>
      <c r="H111" s="122" t="s">
        <v>449</v>
      </c>
      <c r="I111" s="122"/>
      <c r="J111" s="122"/>
      <c r="K111" s="122"/>
      <c r="L111" s="122"/>
    </row>
    <row r="112" spans="1:12" ht="18" customHeight="1" x14ac:dyDescent="0.2">
      <c r="A112" s="63" t="s">
        <v>447</v>
      </c>
      <c r="B112" s="47" t="s">
        <v>448</v>
      </c>
      <c r="C112" s="48">
        <v>0.10158298411673315</v>
      </c>
      <c r="D112" s="63" t="s">
        <v>125</v>
      </c>
      <c r="E112" s="63" t="s">
        <v>137</v>
      </c>
      <c r="F112" s="63" t="s">
        <v>399</v>
      </c>
      <c r="G112" s="29" t="s">
        <v>137</v>
      </c>
      <c r="H112" s="122" t="s">
        <v>449</v>
      </c>
      <c r="I112" s="122"/>
      <c r="J112" s="122"/>
      <c r="K112" s="122"/>
      <c r="L112" s="122"/>
    </row>
    <row r="113" spans="1:12" ht="18" customHeight="1" x14ac:dyDescent="0.2">
      <c r="A113" s="63" t="s">
        <v>558</v>
      </c>
      <c r="B113" s="63" t="s">
        <v>436</v>
      </c>
      <c r="C113" s="36">
        <f xml:space="preserve"> ABS((C95-CFD!$B$26)/(CFD!$B$27-CFD!$B$26)*(CFD!$A$27-CFD!$A$26) + CFD!$A$26)*PI()/180</f>
        <v>3.3151325114529166E-2</v>
      </c>
      <c r="D113" s="63" t="s">
        <v>125</v>
      </c>
      <c r="E113" s="63" t="s">
        <v>407</v>
      </c>
      <c r="F113" s="63" t="s">
        <v>21</v>
      </c>
      <c r="G113" s="29" t="s">
        <v>550</v>
      </c>
      <c r="H113" s="122" t="s">
        <v>526</v>
      </c>
      <c r="I113" s="122"/>
      <c r="J113" s="122"/>
      <c r="K113" s="122"/>
      <c r="L113" s="122"/>
    </row>
    <row r="114" spans="1:12" ht="18" customHeight="1" x14ac:dyDescent="0.2">
      <c r="A114" s="91">
        <v>42000</v>
      </c>
      <c r="B114" s="63" t="s">
        <v>436</v>
      </c>
      <c r="C114" s="36">
        <f xml:space="preserve"> ABS((C96-CFD!$B$26)/(CFD!$B$27-CFD!$B$26)*(CFD!$A$27-CFD!$A$26) + CFD!$A$26)*PI()/180</f>
        <v>3.4777235046510258E-2</v>
      </c>
      <c r="D114" s="63"/>
      <c r="E114" s="63" t="s">
        <v>407</v>
      </c>
      <c r="F114" s="63" t="s">
        <v>21</v>
      </c>
      <c r="G114" s="29" t="s">
        <v>550</v>
      </c>
      <c r="H114" s="122" t="s">
        <v>526</v>
      </c>
      <c r="I114" s="122"/>
      <c r="J114" s="122"/>
      <c r="K114" s="122"/>
      <c r="L114" s="122"/>
    </row>
    <row r="115" spans="1:12" ht="18" customHeight="1" x14ac:dyDescent="0.2">
      <c r="A115" s="91">
        <v>43000</v>
      </c>
      <c r="B115" s="63" t="s">
        <v>436</v>
      </c>
      <c r="C115" s="36">
        <f xml:space="preserve"> ABS((C97-CFD!$B$26)/(CFD!$B$27-CFD!$B$26)*(CFD!$A$27-CFD!$A$26) + CFD!$A$26)*PI()/180</f>
        <v>3.6477692210939508E-2</v>
      </c>
      <c r="D115" s="63"/>
      <c r="E115" s="63" t="s">
        <v>407</v>
      </c>
      <c r="F115" s="63" t="s">
        <v>21</v>
      </c>
      <c r="G115" s="29" t="s">
        <v>550</v>
      </c>
      <c r="H115" s="122" t="s">
        <v>526</v>
      </c>
      <c r="I115" s="122"/>
      <c r="J115" s="122"/>
      <c r="K115" s="122"/>
      <c r="L115" s="122"/>
    </row>
    <row r="116" spans="1:12" ht="22" customHeight="1" x14ac:dyDescent="0.2">
      <c r="A116" s="91">
        <v>44000</v>
      </c>
      <c r="B116" s="63" t="s">
        <v>436</v>
      </c>
      <c r="C116" s="36">
        <f xml:space="preserve"> ABS((C98-CFD!$B$26)/(CFD!$B$27-CFD!$B$26)*(CFD!$A$27-CFD!$A$26) + CFD!$A$26)*PI()/180</f>
        <v>3.8266266333534964E-2</v>
      </c>
      <c r="D116" s="63"/>
      <c r="E116" s="63" t="s">
        <v>407</v>
      </c>
      <c r="F116" s="63" t="s">
        <v>21</v>
      </c>
      <c r="G116" s="29" t="s">
        <v>550</v>
      </c>
      <c r="H116" s="122" t="s">
        <v>526</v>
      </c>
      <c r="I116" s="122"/>
      <c r="J116" s="122"/>
      <c r="K116" s="122"/>
      <c r="L116" s="122"/>
    </row>
    <row r="117" spans="1:12" ht="18" customHeight="1" x14ac:dyDescent="0.2">
      <c r="A117" s="91">
        <v>45000</v>
      </c>
      <c r="B117" s="63" t="s">
        <v>436</v>
      </c>
      <c r="C117" s="36">
        <f xml:space="preserve"> ABS((C99-CFD!$B$26)/(CFD!$B$27-CFD!$B$26)*(CFD!$A$27-CFD!$A$26) + CFD!$A$26)*PI()/180</f>
        <v>4.0135124184335166E-2</v>
      </c>
      <c r="D117" s="63"/>
      <c r="E117" s="63" t="s">
        <v>407</v>
      </c>
      <c r="F117" s="63" t="s">
        <v>21</v>
      </c>
      <c r="G117" s="29" t="s">
        <v>550</v>
      </c>
      <c r="H117" s="122" t="s">
        <v>526</v>
      </c>
      <c r="I117" s="122"/>
      <c r="J117" s="122"/>
      <c r="K117" s="122"/>
      <c r="L117" s="122"/>
    </row>
    <row r="118" spans="1:12" ht="18" customHeight="1" x14ac:dyDescent="0.2">
      <c r="A118" s="91">
        <v>46000</v>
      </c>
      <c r="B118" s="63" t="s">
        <v>436</v>
      </c>
      <c r="C118" s="36">
        <f xml:space="preserve"> ABS((C100-CFD!$B$26)/(CFD!$B$27-CFD!$B$26)*(CFD!$A$27-CFD!$A$26) + CFD!$A$26)*PI()/180</f>
        <v>4.2100432604770997E-2</v>
      </c>
      <c r="D118" s="63"/>
      <c r="E118" s="63" t="s">
        <v>407</v>
      </c>
      <c r="F118" s="63" t="s">
        <v>21</v>
      </c>
      <c r="G118" s="29" t="s">
        <v>550</v>
      </c>
      <c r="H118" s="122" t="s">
        <v>526</v>
      </c>
      <c r="I118" s="122"/>
      <c r="J118" s="122"/>
      <c r="K118" s="122"/>
      <c r="L118" s="122"/>
    </row>
    <row r="119" spans="1:12" s="63" customFormat="1" ht="18" customHeight="1" x14ac:dyDescent="0.2">
      <c r="A119" s="91">
        <v>47000</v>
      </c>
      <c r="B119" s="63" t="s">
        <v>436</v>
      </c>
      <c r="C119" s="36">
        <f xml:space="preserve"> ABS((C101-CFD!$B$26)/(CFD!$B$27-CFD!$B$26)*(CFD!$A$27-CFD!$A$26) + CFD!$A$26)*PI()/180</f>
        <v>4.4163034421910004E-2</v>
      </c>
      <c r="E119" s="63" t="s">
        <v>407</v>
      </c>
      <c r="F119" s="63" t="s">
        <v>21</v>
      </c>
      <c r="G119" s="29" t="s">
        <v>550</v>
      </c>
      <c r="H119" s="122" t="s">
        <v>526</v>
      </c>
      <c r="I119" s="122"/>
      <c r="J119" s="122"/>
      <c r="K119" s="122"/>
      <c r="L119" s="122"/>
    </row>
    <row r="120" spans="1:12" s="63" customFormat="1" ht="18" customHeight="1" x14ac:dyDescent="0.2">
      <c r="A120" s="91">
        <v>48000</v>
      </c>
      <c r="B120" s="63" t="s">
        <v>436</v>
      </c>
      <c r="C120" s="36">
        <f xml:space="preserve"> ABS((C102-CFD!$B$26)/(CFD!$B$27-CFD!$B$26)*(CFD!$A$27-CFD!$A$26) + CFD!$A$26)*PI()/180</f>
        <v>4.6322492498336081E-2</v>
      </c>
      <c r="E120" s="63" t="s">
        <v>407</v>
      </c>
      <c r="F120" s="63" t="s">
        <v>21</v>
      </c>
      <c r="G120" s="29" t="s">
        <v>550</v>
      </c>
      <c r="H120" s="122" t="s">
        <v>526</v>
      </c>
      <c r="I120" s="122"/>
      <c r="J120" s="122"/>
      <c r="K120" s="122"/>
      <c r="L120" s="122"/>
    </row>
    <row r="121" spans="1:12" s="63" customFormat="1" ht="18" customHeight="1" x14ac:dyDescent="0.2">
      <c r="A121" s="91">
        <v>49000</v>
      </c>
      <c r="B121" s="63" t="s">
        <v>436</v>
      </c>
      <c r="C121" s="36">
        <f xml:space="preserve"> ABS((C103-CFD!$B$26)/(CFD!$B$27-CFD!$B$26)*(CFD!$A$27-CFD!$A$26) + CFD!$A$26)*PI()/180</f>
        <v>4.8602189230014983E-2</v>
      </c>
      <c r="E121" s="63" t="s">
        <v>407</v>
      </c>
      <c r="F121" s="63" t="s">
        <v>21</v>
      </c>
      <c r="G121" s="29" t="s">
        <v>550</v>
      </c>
      <c r="H121" s="122" t="s">
        <v>526</v>
      </c>
      <c r="I121" s="122"/>
      <c r="J121" s="122"/>
      <c r="K121" s="122"/>
      <c r="L121" s="122"/>
    </row>
    <row r="122" spans="1:12" s="63" customFormat="1" ht="18" customHeight="1" x14ac:dyDescent="0.2">
      <c r="A122" s="63" t="s">
        <v>560</v>
      </c>
      <c r="B122" s="47" t="s">
        <v>481</v>
      </c>
      <c r="C122" s="48">
        <f>C104/C140</f>
        <v>3.8007677519289171E-2</v>
      </c>
      <c r="D122" s="63" t="s">
        <v>125</v>
      </c>
      <c r="E122" s="63" t="s">
        <v>407</v>
      </c>
      <c r="F122" s="63" t="s">
        <v>21</v>
      </c>
      <c r="G122" s="29" t="s">
        <v>482</v>
      </c>
      <c r="H122" s="122" t="s">
        <v>483</v>
      </c>
      <c r="I122" s="122"/>
      <c r="J122" s="122"/>
      <c r="K122" s="122"/>
      <c r="L122" s="122"/>
    </row>
    <row r="123" spans="1:12" s="63" customFormat="1" ht="18" customHeight="1" x14ac:dyDescent="0.2">
      <c r="A123" s="91">
        <v>42000</v>
      </c>
      <c r="B123" s="47" t="s">
        <v>481</v>
      </c>
      <c r="C123" s="48">
        <f t="shared" ref="C123:C130" si="4">C105/C141</f>
        <v>3.800567212707609E-2</v>
      </c>
      <c r="D123" s="63" t="s">
        <v>125</v>
      </c>
      <c r="E123" s="63" t="s">
        <v>407</v>
      </c>
      <c r="F123" s="63" t="s">
        <v>21</v>
      </c>
      <c r="G123" s="29" t="s">
        <v>482</v>
      </c>
      <c r="H123" s="122" t="s">
        <v>483</v>
      </c>
      <c r="I123" s="122"/>
      <c r="J123" s="122"/>
      <c r="K123" s="122"/>
      <c r="L123" s="122"/>
    </row>
    <row r="124" spans="1:12" s="63" customFormat="1" ht="18" customHeight="1" x14ac:dyDescent="0.2">
      <c r="A124" s="91">
        <v>43000</v>
      </c>
      <c r="B124" s="47" t="s">
        <v>481</v>
      </c>
      <c r="C124" s="48">
        <f t="shared" si="4"/>
        <v>3.8003766239056803E-2</v>
      </c>
      <c r="D124" s="63" t="s">
        <v>125</v>
      </c>
      <c r="E124" s="63" t="s">
        <v>407</v>
      </c>
      <c r="F124" s="63" t="s">
        <v>21</v>
      </c>
      <c r="G124" s="29" t="s">
        <v>482</v>
      </c>
      <c r="H124" s="122" t="s">
        <v>483</v>
      </c>
      <c r="I124" s="122"/>
      <c r="J124" s="122"/>
      <c r="K124" s="122"/>
      <c r="L124" s="122"/>
    </row>
    <row r="125" spans="1:12" s="63" customFormat="1" ht="18" customHeight="1" x14ac:dyDescent="0.2">
      <c r="A125" s="91">
        <v>44000</v>
      </c>
      <c r="B125" s="47" t="s">
        <v>481</v>
      </c>
      <c r="C125" s="48">
        <f t="shared" si="4"/>
        <v>3.8001944546893783E-2</v>
      </c>
      <c r="D125" s="63" t="s">
        <v>125</v>
      </c>
      <c r="E125" s="63" t="s">
        <v>407</v>
      </c>
      <c r="F125" s="63" t="s">
        <v>21</v>
      </c>
      <c r="G125" s="29" t="s">
        <v>482</v>
      </c>
      <c r="H125" s="122" t="s">
        <v>483</v>
      </c>
      <c r="I125" s="122"/>
      <c r="J125" s="122"/>
      <c r="K125" s="122"/>
      <c r="L125" s="122"/>
    </row>
    <row r="126" spans="1:12" s="63" customFormat="1" ht="18" customHeight="1" x14ac:dyDescent="0.2">
      <c r="A126" s="91">
        <v>45000</v>
      </c>
      <c r="B126" s="47" t="s">
        <v>481</v>
      </c>
      <c r="C126" s="48">
        <f t="shared" si="4"/>
        <v>3.8000214704755793E-2</v>
      </c>
      <c r="D126" s="63" t="s">
        <v>125</v>
      </c>
      <c r="E126" s="63" t="s">
        <v>407</v>
      </c>
      <c r="F126" s="63" t="s">
        <v>21</v>
      </c>
      <c r="G126" s="29" t="s">
        <v>482</v>
      </c>
      <c r="H126" s="122" t="s">
        <v>483</v>
      </c>
      <c r="I126" s="122"/>
      <c r="J126" s="122"/>
      <c r="K126" s="122"/>
      <c r="L126" s="122"/>
    </row>
    <row r="127" spans="1:12" ht="18" customHeight="1" x14ac:dyDescent="0.2">
      <c r="A127" s="91">
        <v>46000</v>
      </c>
      <c r="B127" s="47" t="s">
        <v>481</v>
      </c>
      <c r="C127" s="48">
        <f t="shared" si="4"/>
        <v>3.7998561404305319E-2</v>
      </c>
      <c r="D127" s="63" t="s">
        <v>125</v>
      </c>
      <c r="E127" s="63" t="s">
        <v>407</v>
      </c>
      <c r="F127" s="63" t="s">
        <v>21</v>
      </c>
      <c r="G127" s="29" t="s">
        <v>482</v>
      </c>
      <c r="H127" s="122" t="s">
        <v>483</v>
      </c>
      <c r="I127" s="122"/>
      <c r="J127" s="122"/>
      <c r="K127" s="122"/>
      <c r="L127" s="122"/>
    </row>
    <row r="128" spans="1:12" s="63" customFormat="1" ht="18" customHeight="1" x14ac:dyDescent="0.2">
      <c r="A128" s="91">
        <v>47000</v>
      </c>
      <c r="B128" s="47" t="s">
        <v>481</v>
      </c>
      <c r="C128" s="48">
        <f t="shared" si="4"/>
        <v>3.7996984645542374E-2</v>
      </c>
      <c r="D128" s="63" t="s">
        <v>125</v>
      </c>
      <c r="E128" s="63" t="s">
        <v>407</v>
      </c>
      <c r="F128" s="63" t="s">
        <v>21</v>
      </c>
      <c r="G128" s="29" t="s">
        <v>482</v>
      </c>
      <c r="H128" s="122" t="s">
        <v>483</v>
      </c>
      <c r="I128" s="122"/>
      <c r="J128" s="122"/>
      <c r="K128" s="122"/>
      <c r="L128" s="122"/>
    </row>
    <row r="129" spans="1:12" s="63" customFormat="1" ht="18" customHeight="1" x14ac:dyDescent="0.2">
      <c r="A129" s="91">
        <v>48000</v>
      </c>
      <c r="B129" s="47" t="s">
        <v>481</v>
      </c>
      <c r="C129" s="48">
        <f t="shared" si="4"/>
        <v>3.7995484428466939E-2</v>
      </c>
      <c r="D129" s="63" t="s">
        <v>125</v>
      </c>
      <c r="E129" s="63" t="s">
        <v>407</v>
      </c>
      <c r="F129" s="63" t="s">
        <v>21</v>
      </c>
      <c r="G129" s="29" t="s">
        <v>482</v>
      </c>
      <c r="H129" s="122" t="s">
        <v>483</v>
      </c>
      <c r="I129" s="122"/>
      <c r="J129" s="122"/>
      <c r="K129" s="122"/>
      <c r="L129" s="122"/>
    </row>
    <row r="130" spans="1:12" s="63" customFormat="1" ht="18" customHeight="1" x14ac:dyDescent="0.2">
      <c r="A130" s="91">
        <v>49000</v>
      </c>
      <c r="B130" s="47" t="s">
        <v>481</v>
      </c>
      <c r="C130" s="48">
        <f t="shared" si="4"/>
        <v>3.7994045444741546E-2</v>
      </c>
      <c r="D130" s="63" t="s">
        <v>125</v>
      </c>
      <c r="E130" s="63" t="s">
        <v>407</v>
      </c>
      <c r="F130" s="63" t="s">
        <v>21</v>
      </c>
      <c r="G130" s="29" t="s">
        <v>482</v>
      </c>
      <c r="H130" s="122" t="s">
        <v>483</v>
      </c>
      <c r="I130" s="122"/>
      <c r="J130" s="122"/>
      <c r="K130" s="122"/>
      <c r="L130" s="122"/>
    </row>
    <row r="131" spans="1:12" s="63" customFormat="1" ht="18" customHeight="1" x14ac:dyDescent="0.2">
      <c r="A131" s="63" t="s">
        <v>559</v>
      </c>
      <c r="B131" s="63" t="s">
        <v>420</v>
      </c>
      <c r="C131" s="36">
        <f t="shared" ref="C131:C139" si="5">C95/C113</f>
        <v>2.6726964325873124</v>
      </c>
      <c r="D131" s="63" t="s">
        <v>125</v>
      </c>
      <c r="E131" s="63" t="s">
        <v>421</v>
      </c>
      <c r="F131" s="63" t="s">
        <v>21</v>
      </c>
      <c r="G131" s="29" t="s">
        <v>422</v>
      </c>
      <c r="H131" s="105" t="s">
        <v>423</v>
      </c>
      <c r="I131" s="105"/>
      <c r="J131" s="105"/>
      <c r="K131" s="105"/>
      <c r="L131" s="105"/>
    </row>
    <row r="132" spans="1:12" s="63" customFormat="1" ht="18" customHeight="1" x14ac:dyDescent="0.2">
      <c r="A132" s="91">
        <v>42000</v>
      </c>
      <c r="B132" s="63" t="s">
        <v>420</v>
      </c>
      <c r="C132" s="36">
        <f t="shared" si="5"/>
        <v>2.6728374590266268</v>
      </c>
      <c r="D132" s="63" t="s">
        <v>125</v>
      </c>
      <c r="E132" s="63" t="s">
        <v>421</v>
      </c>
      <c r="F132" s="63" t="s">
        <v>21</v>
      </c>
      <c r="G132" s="29" t="s">
        <v>422</v>
      </c>
      <c r="H132" s="105" t="s">
        <v>423</v>
      </c>
      <c r="I132" s="105"/>
      <c r="J132" s="105"/>
      <c r="K132" s="105"/>
      <c r="L132" s="105"/>
    </row>
    <row r="133" spans="1:12" s="63" customFormat="1" ht="18" customHeight="1" x14ac:dyDescent="0.2">
      <c r="A133" s="91">
        <v>43000</v>
      </c>
      <c r="B133" s="63" t="s">
        <v>420</v>
      </c>
      <c r="C133" s="36">
        <f t="shared" si="5"/>
        <v>2.6729715017648812</v>
      </c>
      <c r="D133" s="63" t="s">
        <v>125</v>
      </c>
      <c r="E133" s="63" t="s">
        <v>421</v>
      </c>
      <c r="F133" s="63" t="s">
        <v>21</v>
      </c>
      <c r="G133" s="29" t="s">
        <v>422</v>
      </c>
      <c r="H133" s="105" t="s">
        <v>423</v>
      </c>
      <c r="I133" s="105"/>
      <c r="J133" s="105"/>
      <c r="K133" s="105"/>
      <c r="L133" s="105"/>
    </row>
    <row r="134" spans="1:12" s="63" customFormat="1" ht="18" customHeight="1" x14ac:dyDescent="0.2">
      <c r="A134" s="91">
        <v>44000</v>
      </c>
      <c r="B134" s="63" t="s">
        <v>420</v>
      </c>
      <c r="C134" s="36">
        <f t="shared" si="5"/>
        <v>2.6730996355036885</v>
      </c>
      <c r="D134" s="63" t="s">
        <v>125</v>
      </c>
      <c r="E134" s="63" t="s">
        <v>421</v>
      </c>
      <c r="F134" s="63" t="s">
        <v>21</v>
      </c>
      <c r="G134" s="29" t="s">
        <v>422</v>
      </c>
      <c r="H134" s="105" t="s">
        <v>423</v>
      </c>
      <c r="I134" s="105"/>
      <c r="J134" s="105"/>
      <c r="K134" s="105"/>
      <c r="L134" s="105"/>
    </row>
    <row r="135" spans="1:12" s="63" customFormat="1" ht="18" customHeight="1" x14ac:dyDescent="0.2">
      <c r="A135" s="91">
        <v>45000</v>
      </c>
      <c r="B135" s="63" t="s">
        <v>420</v>
      </c>
      <c r="C135" s="36">
        <f t="shared" si="5"/>
        <v>2.6732213200895378</v>
      </c>
      <c r="D135" s="63" t="s">
        <v>125</v>
      </c>
      <c r="E135" s="63" t="s">
        <v>421</v>
      </c>
      <c r="F135" s="63" t="s">
        <v>21</v>
      </c>
      <c r="G135" s="29" t="s">
        <v>422</v>
      </c>
      <c r="H135" s="105" t="s">
        <v>423</v>
      </c>
      <c r="I135" s="105"/>
      <c r="J135" s="105"/>
      <c r="K135" s="105"/>
      <c r="L135" s="105"/>
    </row>
    <row r="136" spans="1:12" ht="18" customHeight="1" x14ac:dyDescent="0.2">
      <c r="A136" s="91">
        <v>46000</v>
      </c>
      <c r="B136" s="63" t="s">
        <v>420</v>
      </c>
      <c r="C136" s="36">
        <f t="shared" si="5"/>
        <v>2.6733376307562944</v>
      </c>
      <c r="D136" s="63" t="s">
        <v>125</v>
      </c>
      <c r="E136" s="63" t="s">
        <v>421</v>
      </c>
      <c r="F136" s="63" t="s">
        <v>21</v>
      </c>
      <c r="G136" s="29" t="s">
        <v>422</v>
      </c>
      <c r="H136" s="105" t="s">
        <v>423</v>
      </c>
      <c r="I136" s="105"/>
      <c r="J136" s="105"/>
      <c r="K136" s="105"/>
      <c r="L136" s="105"/>
    </row>
    <row r="137" spans="1:12" ht="18" customHeight="1" x14ac:dyDescent="0.2">
      <c r="A137" s="91">
        <v>47000</v>
      </c>
      <c r="B137" s="63" t="s">
        <v>420</v>
      </c>
      <c r="C137" s="36">
        <f t="shared" si="5"/>
        <v>2.6734485660995837</v>
      </c>
      <c r="D137" s="63" t="s">
        <v>125</v>
      </c>
      <c r="E137" s="63" t="s">
        <v>421</v>
      </c>
      <c r="F137" s="63" t="s">
        <v>21</v>
      </c>
      <c r="G137" s="29" t="s">
        <v>422</v>
      </c>
      <c r="H137" s="105" t="s">
        <v>423</v>
      </c>
      <c r="I137" s="105"/>
      <c r="J137" s="105"/>
      <c r="K137" s="105"/>
      <c r="L137" s="105"/>
    </row>
    <row r="138" spans="1:12" ht="18" customHeight="1" x14ac:dyDescent="0.2">
      <c r="A138" s="91">
        <v>48000</v>
      </c>
      <c r="B138" s="63" t="s">
        <v>420</v>
      </c>
      <c r="C138" s="36">
        <f t="shared" si="5"/>
        <v>2.6735541247797658</v>
      </c>
      <c r="D138" s="63" t="s">
        <v>125</v>
      </c>
      <c r="E138" s="63" t="s">
        <v>421</v>
      </c>
      <c r="F138" s="63" t="s">
        <v>21</v>
      </c>
      <c r="G138" s="29" t="s">
        <v>422</v>
      </c>
      <c r="H138" s="105" t="s">
        <v>423</v>
      </c>
      <c r="I138" s="105"/>
      <c r="J138" s="105"/>
      <c r="K138" s="105"/>
      <c r="L138" s="105"/>
    </row>
    <row r="139" spans="1:12" ht="18" customHeight="1" x14ac:dyDescent="0.2">
      <c r="A139" s="91">
        <v>49000</v>
      </c>
      <c r="B139" s="63" t="s">
        <v>420</v>
      </c>
      <c r="C139" s="36">
        <f t="shared" si="5"/>
        <v>2.6736553827750513</v>
      </c>
      <c r="D139" s="63" t="s">
        <v>125</v>
      </c>
      <c r="E139" s="63" t="s">
        <v>421</v>
      </c>
      <c r="F139" s="63" t="s">
        <v>21</v>
      </c>
      <c r="G139" s="29" t="s">
        <v>422</v>
      </c>
      <c r="H139" s="105" t="s">
        <v>423</v>
      </c>
      <c r="I139" s="105"/>
      <c r="J139" s="105"/>
      <c r="K139" s="105"/>
      <c r="L139" s="105"/>
    </row>
    <row r="140" spans="1:12" ht="18" customHeight="1" x14ac:dyDescent="0.2">
      <c r="A140" s="63" t="s">
        <v>425</v>
      </c>
      <c r="B140" s="63" t="s">
        <v>426</v>
      </c>
      <c r="C140" s="36">
        <f>C131</f>
        <v>2.6726964325873124</v>
      </c>
      <c r="D140" s="63" t="s">
        <v>125</v>
      </c>
      <c r="E140" s="63" t="s">
        <v>421</v>
      </c>
      <c r="F140" s="63" t="s">
        <v>21</v>
      </c>
      <c r="G140" s="29" t="s">
        <v>427</v>
      </c>
      <c r="H140" s="105" t="s">
        <v>428</v>
      </c>
      <c r="I140" s="105"/>
      <c r="J140" s="105"/>
      <c r="K140" s="105"/>
      <c r="L140" s="105"/>
    </row>
    <row r="141" spans="1:12" ht="18" customHeight="1" x14ac:dyDescent="0.2">
      <c r="A141" s="91">
        <v>42000</v>
      </c>
      <c r="B141" s="63" t="s">
        <v>426</v>
      </c>
      <c r="C141" s="36">
        <f t="shared" ref="C141:C148" si="6">C132</f>
        <v>2.6728374590266268</v>
      </c>
      <c r="D141" s="63" t="s">
        <v>125</v>
      </c>
      <c r="E141" s="63" t="s">
        <v>421</v>
      </c>
      <c r="F141" s="63" t="s">
        <v>21</v>
      </c>
      <c r="G141" s="29" t="s">
        <v>427</v>
      </c>
      <c r="H141" s="105" t="s">
        <v>428</v>
      </c>
      <c r="I141" s="105"/>
      <c r="J141" s="105"/>
      <c r="K141" s="105"/>
      <c r="L141" s="105"/>
    </row>
    <row r="142" spans="1:12" ht="18" customHeight="1" x14ac:dyDescent="0.2">
      <c r="A142" s="91">
        <v>43000</v>
      </c>
      <c r="B142" s="63" t="s">
        <v>426</v>
      </c>
      <c r="C142" s="36">
        <f t="shared" si="6"/>
        <v>2.6729715017648812</v>
      </c>
      <c r="D142" s="63" t="s">
        <v>125</v>
      </c>
      <c r="E142" s="63" t="s">
        <v>421</v>
      </c>
      <c r="F142" s="63" t="s">
        <v>21</v>
      </c>
      <c r="G142" s="29" t="s">
        <v>427</v>
      </c>
      <c r="H142" s="105" t="s">
        <v>428</v>
      </c>
      <c r="I142" s="105"/>
      <c r="J142" s="105"/>
      <c r="K142" s="105"/>
      <c r="L142" s="105"/>
    </row>
    <row r="143" spans="1:12" ht="18" customHeight="1" x14ac:dyDescent="0.2">
      <c r="A143" s="91">
        <v>44000</v>
      </c>
      <c r="B143" s="63" t="s">
        <v>426</v>
      </c>
      <c r="C143" s="36">
        <f t="shared" si="6"/>
        <v>2.6730996355036885</v>
      </c>
      <c r="D143" s="63" t="s">
        <v>125</v>
      </c>
      <c r="E143" s="63" t="s">
        <v>421</v>
      </c>
      <c r="F143" s="63" t="s">
        <v>21</v>
      </c>
      <c r="G143" s="29" t="s">
        <v>427</v>
      </c>
      <c r="H143" s="105" t="s">
        <v>428</v>
      </c>
      <c r="I143" s="105"/>
      <c r="J143" s="105"/>
      <c r="K143" s="105"/>
      <c r="L143" s="105"/>
    </row>
    <row r="144" spans="1:12" ht="18" customHeight="1" x14ac:dyDescent="0.2">
      <c r="A144" s="91">
        <v>45000</v>
      </c>
      <c r="B144" s="63" t="s">
        <v>426</v>
      </c>
      <c r="C144" s="36">
        <f t="shared" si="6"/>
        <v>2.6732213200895378</v>
      </c>
      <c r="D144" s="63" t="s">
        <v>125</v>
      </c>
      <c r="E144" s="63" t="s">
        <v>421</v>
      </c>
      <c r="F144" s="63" t="s">
        <v>21</v>
      </c>
      <c r="G144" s="29" t="s">
        <v>427</v>
      </c>
      <c r="H144" s="105" t="s">
        <v>428</v>
      </c>
      <c r="I144" s="105"/>
      <c r="J144" s="105"/>
      <c r="K144" s="105"/>
      <c r="L144" s="105"/>
    </row>
    <row r="145" spans="1:12" ht="18" customHeight="1" x14ac:dyDescent="0.2">
      <c r="A145" s="91">
        <v>46000</v>
      </c>
      <c r="B145" s="63" t="s">
        <v>426</v>
      </c>
      <c r="C145" s="36">
        <f t="shared" si="6"/>
        <v>2.6733376307562944</v>
      </c>
      <c r="D145" s="63" t="s">
        <v>125</v>
      </c>
      <c r="E145" s="63" t="s">
        <v>421</v>
      </c>
      <c r="F145" s="63" t="s">
        <v>21</v>
      </c>
      <c r="G145" s="29" t="s">
        <v>427</v>
      </c>
      <c r="H145" s="105" t="s">
        <v>428</v>
      </c>
      <c r="I145" s="105"/>
      <c r="J145" s="105"/>
      <c r="K145" s="105"/>
      <c r="L145" s="105"/>
    </row>
    <row r="146" spans="1:12" ht="18" customHeight="1" x14ac:dyDescent="0.2">
      <c r="A146" s="91">
        <v>47000</v>
      </c>
      <c r="B146" s="63" t="s">
        <v>426</v>
      </c>
      <c r="C146" s="36">
        <f t="shared" si="6"/>
        <v>2.6734485660995837</v>
      </c>
      <c r="D146" s="63" t="s">
        <v>125</v>
      </c>
      <c r="E146" s="63" t="s">
        <v>421</v>
      </c>
      <c r="F146" s="63" t="s">
        <v>21</v>
      </c>
      <c r="G146" s="29" t="s">
        <v>427</v>
      </c>
      <c r="H146" s="105" t="s">
        <v>428</v>
      </c>
      <c r="I146" s="105"/>
      <c r="J146" s="105"/>
      <c r="K146" s="105"/>
      <c r="L146" s="105"/>
    </row>
    <row r="147" spans="1:12" ht="18" customHeight="1" x14ac:dyDescent="0.2">
      <c r="A147" s="91">
        <v>48000</v>
      </c>
      <c r="B147" s="63" t="s">
        <v>426</v>
      </c>
      <c r="C147" s="36">
        <f t="shared" si="6"/>
        <v>2.6735541247797658</v>
      </c>
      <c r="D147" s="63" t="s">
        <v>125</v>
      </c>
      <c r="E147" s="63" t="s">
        <v>421</v>
      </c>
      <c r="F147" s="63" t="s">
        <v>21</v>
      </c>
      <c r="G147" s="29" t="s">
        <v>427</v>
      </c>
      <c r="H147" s="105" t="s">
        <v>428</v>
      </c>
      <c r="I147" s="105"/>
      <c r="J147" s="105"/>
      <c r="K147" s="105"/>
      <c r="L147" s="105"/>
    </row>
    <row r="148" spans="1:12" ht="18" customHeight="1" x14ac:dyDescent="0.2">
      <c r="A148" s="91">
        <v>49000</v>
      </c>
      <c r="B148" s="63" t="s">
        <v>426</v>
      </c>
      <c r="C148" s="36">
        <f t="shared" si="6"/>
        <v>2.6736553827750513</v>
      </c>
      <c r="D148" s="63" t="s">
        <v>125</v>
      </c>
      <c r="E148" s="63" t="s">
        <v>421</v>
      </c>
      <c r="F148" s="63" t="s">
        <v>21</v>
      </c>
      <c r="G148" s="29" t="s">
        <v>427</v>
      </c>
      <c r="H148" s="105" t="s">
        <v>428</v>
      </c>
      <c r="I148" s="105"/>
      <c r="J148" s="105"/>
      <c r="K148" s="105"/>
      <c r="L148" s="105"/>
    </row>
    <row r="149" spans="1:12" ht="18" customHeight="1" x14ac:dyDescent="0.2">
      <c r="A149" s="65" t="s">
        <v>429</v>
      </c>
      <c r="B149" s="63" t="s">
        <v>430</v>
      </c>
      <c r="C149" s="36">
        <f>$C$7/C113</f>
        <v>0.55225080416986916</v>
      </c>
      <c r="D149" s="63" t="s">
        <v>125</v>
      </c>
      <c r="E149" s="63" t="s">
        <v>431</v>
      </c>
      <c r="F149" s="63" t="s">
        <v>21</v>
      </c>
      <c r="G149" s="29" t="s">
        <v>432</v>
      </c>
      <c r="H149" s="105" t="s">
        <v>433</v>
      </c>
      <c r="I149" s="105"/>
      <c r="J149" s="105"/>
      <c r="K149" s="105"/>
      <c r="L149" s="105"/>
    </row>
    <row r="150" spans="1:12" s="63" customFormat="1" ht="18" customHeight="1" x14ac:dyDescent="0.2">
      <c r="A150" s="91">
        <v>42000</v>
      </c>
      <c r="B150" s="63" t="s">
        <v>430</v>
      </c>
      <c r="C150" s="36">
        <f t="shared" ref="C150:C157" si="7">$C$7/C114</f>
        <v>0.52643190090618264</v>
      </c>
      <c r="D150" s="63" t="s">
        <v>125</v>
      </c>
      <c r="E150" s="63" t="s">
        <v>431</v>
      </c>
      <c r="F150" s="63" t="s">
        <v>21</v>
      </c>
      <c r="G150" s="29" t="s">
        <v>432</v>
      </c>
      <c r="H150" s="105" t="s">
        <v>433</v>
      </c>
      <c r="I150" s="105"/>
      <c r="J150" s="105"/>
      <c r="K150" s="105"/>
      <c r="L150" s="105"/>
    </row>
    <row r="151" spans="1:12" s="63" customFormat="1" ht="18" customHeight="1" x14ac:dyDescent="0.2">
      <c r="A151" s="91">
        <v>43000</v>
      </c>
      <c r="B151" s="63" t="s">
        <v>430</v>
      </c>
      <c r="C151" s="36">
        <f t="shared" si="7"/>
        <v>0.5018915628742836</v>
      </c>
      <c r="D151" s="63" t="s">
        <v>125</v>
      </c>
      <c r="E151" s="63" t="s">
        <v>431</v>
      </c>
      <c r="F151" s="63" t="s">
        <v>21</v>
      </c>
      <c r="G151" s="29" t="s">
        <v>432</v>
      </c>
      <c r="H151" s="105" t="s">
        <v>433</v>
      </c>
      <c r="I151" s="105"/>
      <c r="J151" s="105"/>
      <c r="K151" s="105"/>
      <c r="L151" s="105"/>
    </row>
    <row r="152" spans="1:12" s="63" customFormat="1" ht="18" customHeight="1" x14ac:dyDescent="0.2">
      <c r="A152" s="91">
        <v>44000</v>
      </c>
      <c r="B152" s="63" t="s">
        <v>430</v>
      </c>
      <c r="C152" s="36">
        <f t="shared" si="7"/>
        <v>0.47843303535864634</v>
      </c>
      <c r="D152" s="63" t="s">
        <v>125</v>
      </c>
      <c r="E152" s="63" t="s">
        <v>431</v>
      </c>
      <c r="F152" s="63" t="s">
        <v>21</v>
      </c>
      <c r="G152" s="29" t="s">
        <v>432</v>
      </c>
      <c r="H152" s="105" t="s">
        <v>433</v>
      </c>
      <c r="I152" s="105"/>
      <c r="J152" s="105"/>
      <c r="K152" s="105"/>
      <c r="L152" s="105"/>
    </row>
    <row r="153" spans="1:12" s="63" customFormat="1" ht="18" customHeight="1" x14ac:dyDescent="0.2">
      <c r="A153" s="91">
        <v>45000</v>
      </c>
      <c r="B153" s="63" t="s">
        <v>430</v>
      </c>
      <c r="C153" s="36">
        <f t="shared" si="7"/>
        <v>0.45615520883179694</v>
      </c>
      <c r="D153" s="63" t="s">
        <v>125</v>
      </c>
      <c r="E153" s="63" t="s">
        <v>431</v>
      </c>
      <c r="F153" s="63" t="s">
        <v>21</v>
      </c>
      <c r="G153" s="29" t="s">
        <v>432</v>
      </c>
      <c r="H153" s="105" t="s">
        <v>433</v>
      </c>
      <c r="I153" s="105"/>
      <c r="J153" s="105"/>
      <c r="K153" s="105"/>
      <c r="L153" s="105"/>
    </row>
    <row r="154" spans="1:12" s="63" customFormat="1" ht="18" customHeight="1" x14ac:dyDescent="0.2">
      <c r="A154" s="91">
        <v>46000</v>
      </c>
      <c r="B154" s="63" t="s">
        <v>430</v>
      </c>
      <c r="C154" s="36">
        <f t="shared" si="7"/>
        <v>0.43486123113425657</v>
      </c>
      <c r="D154" s="63" t="s">
        <v>125</v>
      </c>
      <c r="E154" s="63" t="s">
        <v>431</v>
      </c>
      <c r="F154" s="63" t="s">
        <v>21</v>
      </c>
      <c r="G154" s="29" t="s">
        <v>432</v>
      </c>
      <c r="H154" s="105" t="s">
        <v>433</v>
      </c>
      <c r="I154" s="105"/>
      <c r="J154" s="105"/>
      <c r="K154" s="105"/>
      <c r="L154" s="105"/>
    </row>
    <row r="155" spans="1:12" s="63" customFormat="1" ht="18" customHeight="1" x14ac:dyDescent="0.2">
      <c r="A155" s="91">
        <v>47000</v>
      </c>
      <c r="B155" s="63" t="s">
        <v>430</v>
      </c>
      <c r="C155" s="36">
        <f t="shared" si="7"/>
        <v>0.41455135937653526</v>
      </c>
      <c r="D155" s="63" t="s">
        <v>125</v>
      </c>
      <c r="E155" s="63" t="s">
        <v>431</v>
      </c>
      <c r="F155" s="63" t="s">
        <v>21</v>
      </c>
      <c r="G155" s="29" t="s">
        <v>432</v>
      </c>
      <c r="H155" s="105" t="s">
        <v>433</v>
      </c>
      <c r="I155" s="105"/>
      <c r="J155" s="105"/>
      <c r="K155" s="105"/>
      <c r="L155" s="105"/>
    </row>
    <row r="156" spans="1:12" s="63" customFormat="1" ht="18" customHeight="1" x14ac:dyDescent="0.2">
      <c r="A156" s="91">
        <v>48000</v>
      </c>
      <c r="B156" s="63" t="s">
        <v>430</v>
      </c>
      <c r="C156" s="36">
        <f t="shared" si="7"/>
        <v>0.39522583881800261</v>
      </c>
      <c r="D156" s="63" t="s">
        <v>125</v>
      </c>
      <c r="E156" s="63" t="s">
        <v>431</v>
      </c>
      <c r="F156" s="63" t="s">
        <v>21</v>
      </c>
      <c r="G156" s="29" t="s">
        <v>432</v>
      </c>
      <c r="H156" s="105" t="s">
        <v>433</v>
      </c>
      <c r="I156" s="105"/>
      <c r="J156" s="105"/>
      <c r="K156" s="105"/>
      <c r="L156" s="105"/>
    </row>
    <row r="157" spans="1:12" s="63" customFormat="1" ht="18" customHeight="1" x14ac:dyDescent="0.2">
      <c r="A157" s="91">
        <v>49000</v>
      </c>
      <c r="B157" s="63" t="s">
        <v>430</v>
      </c>
      <c r="C157" s="36">
        <f t="shared" si="7"/>
        <v>0.37668768102506039</v>
      </c>
      <c r="D157" s="63" t="s">
        <v>125</v>
      </c>
      <c r="E157" s="63" t="s">
        <v>431</v>
      </c>
      <c r="F157" s="63" t="s">
        <v>21</v>
      </c>
      <c r="G157" s="29" t="s">
        <v>432</v>
      </c>
      <c r="H157" s="105" t="s">
        <v>433</v>
      </c>
      <c r="I157" s="105"/>
      <c r="J157" s="105"/>
      <c r="K157" s="105"/>
      <c r="L157" s="105"/>
    </row>
    <row r="158" spans="1:12" ht="18" customHeight="1" x14ac:dyDescent="0.2">
      <c r="A158" s="63" t="s">
        <v>434</v>
      </c>
      <c r="B158" s="63" t="s">
        <v>435</v>
      </c>
      <c r="C158" s="36">
        <f>2*'Stability Constants'!$C$13*('Stability Constants'!$C$4-'Stability Constants'!$C$3)*'Stability Constants'!$C$14*'Supersonic Stability'!C113</f>
        <v>64927.21432570774</v>
      </c>
      <c r="D158" s="63" t="s">
        <v>125</v>
      </c>
      <c r="E158" s="63" t="s">
        <v>224</v>
      </c>
      <c r="F158" s="63" t="s">
        <v>21</v>
      </c>
      <c r="G158" s="29" t="s">
        <v>437</v>
      </c>
      <c r="H158" s="105" t="s">
        <v>438</v>
      </c>
      <c r="I158" s="105"/>
      <c r="J158" s="105"/>
      <c r="K158" s="105"/>
      <c r="L158" s="105"/>
    </row>
    <row r="159" spans="1:12" ht="18" customHeight="1" x14ac:dyDescent="0.2">
      <c r="A159" s="91">
        <v>42000</v>
      </c>
      <c r="B159" s="63" t="s">
        <v>435</v>
      </c>
      <c r="C159" s="36">
        <f>2*'Stability Constants'!$C$13*('Stability Constants'!$C$4-'Stability Constants'!$C$3)*'Stability Constants'!$C$14*'Supersonic Stability'!C114</f>
        <v>68111.575803366053</v>
      </c>
      <c r="D159" s="63" t="s">
        <v>125</v>
      </c>
      <c r="E159" s="63" t="s">
        <v>224</v>
      </c>
      <c r="F159" s="63" t="s">
        <v>21</v>
      </c>
      <c r="G159" s="29" t="s">
        <v>437</v>
      </c>
      <c r="H159" s="105" t="s">
        <v>438</v>
      </c>
      <c r="I159" s="105"/>
      <c r="J159" s="105"/>
      <c r="K159" s="105"/>
      <c r="L159" s="105"/>
    </row>
    <row r="160" spans="1:12" ht="18" customHeight="1" x14ac:dyDescent="0.2">
      <c r="A160" s="91">
        <v>43000</v>
      </c>
      <c r="B160" s="63" t="s">
        <v>435</v>
      </c>
      <c r="C160" s="36">
        <f>2*'Stability Constants'!$C$13*('Stability Constants'!$C$4-'Stability Constants'!$C$3)*'Stability Constants'!$C$14*'Supersonic Stability'!C115</f>
        <v>71441.938809525222</v>
      </c>
      <c r="D160" s="63" t="s">
        <v>125</v>
      </c>
      <c r="E160" s="63" t="s">
        <v>224</v>
      </c>
      <c r="F160" s="63" t="s">
        <v>21</v>
      </c>
      <c r="G160" s="29" t="s">
        <v>437</v>
      </c>
      <c r="H160" s="105" t="s">
        <v>438</v>
      </c>
      <c r="I160" s="105"/>
      <c r="J160" s="105"/>
      <c r="K160" s="105"/>
      <c r="L160" s="105"/>
    </row>
    <row r="161" spans="1:12" ht="18" customHeight="1" x14ac:dyDescent="0.2">
      <c r="A161" s="91">
        <v>44000</v>
      </c>
      <c r="B161" s="63" t="s">
        <v>435</v>
      </c>
      <c r="C161" s="36">
        <f>2*'Stability Constants'!$C$13*('Stability Constants'!$C$4-'Stability Constants'!$C$3)*'Stability Constants'!$C$14*'Supersonic Stability'!C116</f>
        <v>74944.879792848835</v>
      </c>
      <c r="D161" s="63" t="s">
        <v>125</v>
      </c>
      <c r="E161" s="63" t="s">
        <v>224</v>
      </c>
      <c r="F161" s="63" t="s">
        <v>21</v>
      </c>
      <c r="G161" s="29" t="s">
        <v>437</v>
      </c>
      <c r="H161" s="105" t="s">
        <v>438</v>
      </c>
      <c r="I161" s="105"/>
      <c r="J161" s="105"/>
      <c r="K161" s="105"/>
      <c r="L161" s="105"/>
    </row>
    <row r="162" spans="1:12" ht="18" customHeight="1" x14ac:dyDescent="0.2">
      <c r="A162" s="91">
        <v>45000</v>
      </c>
      <c r="B162" s="63" t="s">
        <v>435</v>
      </c>
      <c r="C162" s="36">
        <f>2*'Stability Constants'!$C$13*('Stability Constants'!$C$4-'Stability Constants'!$C$3)*'Stability Constants'!$C$14*'Supersonic Stability'!C117</f>
        <v>78605.057291153629</v>
      </c>
      <c r="D162" s="63" t="s">
        <v>125</v>
      </c>
      <c r="E162" s="63" t="s">
        <v>224</v>
      </c>
      <c r="F162" s="63" t="s">
        <v>21</v>
      </c>
      <c r="G162" s="29" t="s">
        <v>437</v>
      </c>
      <c r="H162" s="105" t="s">
        <v>438</v>
      </c>
      <c r="I162" s="105"/>
      <c r="J162" s="105"/>
      <c r="K162" s="105"/>
      <c r="L162" s="105"/>
    </row>
    <row r="163" spans="1:12" ht="18" customHeight="1" x14ac:dyDescent="0.2">
      <c r="A163" s="91">
        <v>46000</v>
      </c>
      <c r="B163" s="63" t="s">
        <v>435</v>
      </c>
      <c r="C163" s="36">
        <f>2*'Stability Constants'!$C$13*('Stability Constants'!$C$4-'Stability Constants'!$C$3)*'Stability Constants'!$C$14*'Supersonic Stability'!C118</f>
        <v>82454.134231183139</v>
      </c>
      <c r="D163" s="63" t="s">
        <v>125</v>
      </c>
      <c r="E163" s="63" t="s">
        <v>224</v>
      </c>
      <c r="F163" s="63" t="s">
        <v>21</v>
      </c>
      <c r="G163" s="29" t="s">
        <v>437</v>
      </c>
      <c r="H163" s="105" t="s">
        <v>438</v>
      </c>
      <c r="I163" s="105"/>
      <c r="J163" s="105"/>
      <c r="K163" s="105"/>
      <c r="L163" s="105"/>
    </row>
    <row r="164" spans="1:12" ht="18" customHeight="1" x14ac:dyDescent="0.2">
      <c r="A164" s="91">
        <v>47000</v>
      </c>
      <c r="B164" s="63" t="s">
        <v>435</v>
      </c>
      <c r="C164" s="36">
        <f>2*'Stability Constants'!$C$13*('Stability Constants'!$C$4-'Stability Constants'!$C$3)*'Stability Constants'!$C$14*'Supersonic Stability'!C119</f>
        <v>86493.761298497149</v>
      </c>
      <c r="D164" s="63" t="s">
        <v>125</v>
      </c>
      <c r="E164" s="63" t="s">
        <v>224</v>
      </c>
      <c r="F164" s="63" t="s">
        <v>21</v>
      </c>
      <c r="G164" s="29" t="s">
        <v>437</v>
      </c>
      <c r="H164" s="105" t="s">
        <v>438</v>
      </c>
      <c r="I164" s="105"/>
      <c r="J164" s="105"/>
      <c r="K164" s="105"/>
      <c r="L164" s="105"/>
    </row>
    <row r="165" spans="1:12" ht="18" customHeight="1" x14ac:dyDescent="0.2">
      <c r="A165" s="91">
        <v>48000</v>
      </c>
      <c r="B165" s="63" t="s">
        <v>435</v>
      </c>
      <c r="C165" s="36">
        <f>2*'Stability Constants'!$C$13*('Stability Constants'!$C$4-'Stability Constants'!$C$3)*'Stability Constants'!$C$14*'Supersonic Stability'!C120</f>
        <v>90723.082354929007</v>
      </c>
      <c r="D165" s="63" t="s">
        <v>125</v>
      </c>
      <c r="E165" s="63" t="s">
        <v>224</v>
      </c>
      <c r="F165" s="63" t="s">
        <v>21</v>
      </c>
      <c r="G165" s="29" t="s">
        <v>437</v>
      </c>
      <c r="H165" s="105" t="s">
        <v>438</v>
      </c>
      <c r="I165" s="105"/>
      <c r="J165" s="105"/>
      <c r="K165" s="105"/>
      <c r="L165" s="105"/>
    </row>
    <row r="166" spans="1:12" ht="18" customHeight="1" x14ac:dyDescent="0.2">
      <c r="A166" s="91">
        <v>49000</v>
      </c>
      <c r="B166" s="63" t="s">
        <v>435</v>
      </c>
      <c r="C166" s="36">
        <f>2*'Stability Constants'!$C$13*('Stability Constants'!$C$4-'Stability Constants'!$C$3)*'Stability Constants'!$C$14*'Supersonic Stability'!C121</f>
        <v>95187.892065671505</v>
      </c>
      <c r="D166" s="63" t="s">
        <v>125</v>
      </c>
      <c r="E166" s="63" t="s">
        <v>224</v>
      </c>
      <c r="F166" s="63" t="s">
        <v>21</v>
      </c>
      <c r="G166" s="29" t="s">
        <v>437</v>
      </c>
      <c r="H166" s="105" t="s">
        <v>438</v>
      </c>
      <c r="I166" s="105"/>
      <c r="J166" s="105"/>
      <c r="K166" s="105"/>
      <c r="L166" s="105"/>
    </row>
    <row r="167" spans="1:12" ht="18" customHeight="1" x14ac:dyDescent="0.2">
      <c r="A167" s="63" t="s">
        <v>439</v>
      </c>
      <c r="B167" s="63" t="s">
        <v>440</v>
      </c>
      <c r="C167" s="36">
        <f>2*'Stability Constants'!$C$13*('Stability Constants'!$C$6-'Stability Constants'!$C$5)*'Stability Constants'!$C$15*'Supersonic Stability'!C113</f>
        <v>40617.428835380088</v>
      </c>
      <c r="D167" s="63" t="s">
        <v>125</v>
      </c>
      <c r="E167" s="63" t="s">
        <v>224</v>
      </c>
      <c r="F167" s="63" t="s">
        <v>21</v>
      </c>
      <c r="G167" s="29" t="s">
        <v>442</v>
      </c>
      <c r="H167" s="105" t="s">
        <v>438</v>
      </c>
      <c r="I167" s="105"/>
      <c r="J167" s="105"/>
      <c r="K167" s="105"/>
      <c r="L167" s="105"/>
    </row>
    <row r="168" spans="1:12" ht="18" customHeight="1" x14ac:dyDescent="0.2">
      <c r="A168" s="91">
        <v>42000</v>
      </c>
      <c r="B168" s="63" t="s">
        <v>440</v>
      </c>
      <c r="C168" s="36">
        <f>2*'Stability Constants'!$C$13*('Stability Constants'!$C$6-'Stability Constants'!$C$5)*'Stability Constants'!$C$15*'Supersonic Stability'!C114</f>
        <v>42609.514543170881</v>
      </c>
      <c r="D168" s="63" t="s">
        <v>125</v>
      </c>
      <c r="E168" s="63" t="s">
        <v>224</v>
      </c>
      <c r="F168" s="63" t="s">
        <v>21</v>
      </c>
      <c r="G168" s="29" t="s">
        <v>442</v>
      </c>
      <c r="H168" s="105" t="s">
        <v>438</v>
      </c>
      <c r="I168" s="105"/>
      <c r="J168" s="105"/>
      <c r="K168" s="105"/>
      <c r="L168" s="105"/>
    </row>
    <row r="169" spans="1:12" ht="18" customHeight="1" x14ac:dyDescent="0.2">
      <c r="A169" s="91">
        <v>43000</v>
      </c>
      <c r="B169" s="63" t="s">
        <v>440</v>
      </c>
      <c r="C169" s="36">
        <f>2*'Stability Constants'!$C$13*('Stability Constants'!$C$6-'Stability Constants'!$C$5)*'Stability Constants'!$C$15*'Supersonic Stability'!C115</f>
        <v>44692.9364765387</v>
      </c>
      <c r="D169" s="63" t="s">
        <v>125</v>
      </c>
      <c r="E169" s="63" t="s">
        <v>224</v>
      </c>
      <c r="F169" s="63" t="s">
        <v>21</v>
      </c>
      <c r="G169" s="29" t="s">
        <v>442</v>
      </c>
      <c r="H169" s="105" t="s">
        <v>438</v>
      </c>
      <c r="I169" s="105"/>
      <c r="J169" s="105"/>
      <c r="K169" s="105"/>
      <c r="L169" s="105"/>
    </row>
    <row r="170" spans="1:12" ht="18" customHeight="1" x14ac:dyDescent="0.2">
      <c r="A170" s="91">
        <v>44000</v>
      </c>
      <c r="B170" s="63" t="s">
        <v>440</v>
      </c>
      <c r="C170" s="36">
        <f>2*'Stability Constants'!$C$13*('Stability Constants'!$C$6-'Stability Constants'!$C$5)*'Stability Constants'!$C$15*'Supersonic Stability'!C116</f>
        <v>46884.320437522038</v>
      </c>
      <c r="D170" s="63" t="s">
        <v>125</v>
      </c>
      <c r="E170" s="63" t="s">
        <v>224</v>
      </c>
      <c r="F170" s="63" t="s">
        <v>21</v>
      </c>
      <c r="G170" s="29" t="s">
        <v>442</v>
      </c>
      <c r="H170" s="105" t="s">
        <v>438</v>
      </c>
      <c r="I170" s="105"/>
      <c r="J170" s="105"/>
      <c r="K170" s="105"/>
      <c r="L170" s="105"/>
    </row>
    <row r="171" spans="1:12" ht="18" customHeight="1" x14ac:dyDescent="0.2">
      <c r="A171" s="91">
        <v>45000</v>
      </c>
      <c r="B171" s="63" t="s">
        <v>440</v>
      </c>
      <c r="C171" s="36">
        <f>2*'Stability Constants'!$C$13*('Stability Constants'!$C$6-'Stability Constants'!$C$5)*'Stability Constants'!$C$15*'Supersonic Stability'!C117</f>
        <v>49174.069052278021</v>
      </c>
      <c r="D171" s="63" t="s">
        <v>125</v>
      </c>
      <c r="E171" s="63" t="s">
        <v>224</v>
      </c>
      <c r="F171" s="63" t="s">
        <v>21</v>
      </c>
      <c r="G171" s="29" t="s">
        <v>442</v>
      </c>
      <c r="H171" s="105" t="s">
        <v>438</v>
      </c>
      <c r="I171" s="105"/>
      <c r="J171" s="105"/>
      <c r="K171" s="105"/>
      <c r="L171" s="105"/>
    </row>
    <row r="172" spans="1:12" ht="18" customHeight="1" x14ac:dyDescent="0.2">
      <c r="A172" s="91">
        <v>46000</v>
      </c>
      <c r="B172" s="63" t="s">
        <v>440</v>
      </c>
      <c r="C172" s="36">
        <f>2*'Stability Constants'!$C$13*('Stability Constants'!$C$6-'Stability Constants'!$C$5)*'Stability Constants'!$C$15*'Supersonic Stability'!C118</f>
        <v>51581.99014233546</v>
      </c>
      <c r="D172" s="63" t="s">
        <v>125</v>
      </c>
      <c r="E172" s="63" t="s">
        <v>224</v>
      </c>
      <c r="F172" s="63" t="s">
        <v>21</v>
      </c>
      <c r="G172" s="29" t="s">
        <v>442</v>
      </c>
      <c r="H172" s="105" t="s">
        <v>438</v>
      </c>
      <c r="I172" s="105"/>
      <c r="J172" s="105"/>
      <c r="K172" s="105"/>
      <c r="L172" s="105"/>
    </row>
    <row r="173" spans="1:12" ht="18" customHeight="1" x14ac:dyDescent="0.2">
      <c r="A173" s="91">
        <v>47000</v>
      </c>
      <c r="B173" s="63" t="s">
        <v>440</v>
      </c>
      <c r="C173" s="36">
        <f>2*'Stability Constants'!$C$13*('Stability Constants'!$C$6-'Stability Constants'!$C$5)*'Stability Constants'!$C$15*'Supersonic Stability'!C119</f>
        <v>54109.11635023031</v>
      </c>
      <c r="D173" s="63" t="s">
        <v>125</v>
      </c>
      <c r="E173" s="63" t="s">
        <v>224</v>
      </c>
      <c r="F173" s="63" t="s">
        <v>21</v>
      </c>
      <c r="G173" s="29" t="s">
        <v>442</v>
      </c>
      <c r="H173" s="105" t="s">
        <v>438</v>
      </c>
      <c r="I173" s="105"/>
      <c r="J173" s="105"/>
      <c r="K173" s="105"/>
      <c r="L173" s="105"/>
    </row>
    <row r="174" spans="1:12" ht="18" customHeight="1" x14ac:dyDescent="0.2">
      <c r="A174" s="91">
        <v>48000</v>
      </c>
      <c r="B174" s="63" t="s">
        <v>440</v>
      </c>
      <c r="C174" s="36">
        <f>2*'Stability Constants'!$C$13*('Stability Constants'!$C$6-'Stability Constants'!$C$5)*'Stability Constants'!$C$15*'Supersonic Stability'!C120</f>
        <v>56754.912089592224</v>
      </c>
      <c r="D174" s="63" t="s">
        <v>125</v>
      </c>
      <c r="E174" s="63" t="s">
        <v>224</v>
      </c>
      <c r="F174" s="63" t="s">
        <v>21</v>
      </c>
      <c r="G174" s="29" t="s">
        <v>442</v>
      </c>
      <c r="H174" s="105" t="s">
        <v>438</v>
      </c>
      <c r="I174" s="105"/>
      <c r="J174" s="105"/>
      <c r="K174" s="105"/>
      <c r="L174" s="105"/>
    </row>
    <row r="175" spans="1:12" ht="18" customHeight="1" x14ac:dyDescent="0.2">
      <c r="A175" s="91">
        <v>49000</v>
      </c>
      <c r="B175" s="63" t="s">
        <v>440</v>
      </c>
      <c r="C175" s="36">
        <f>2*'Stability Constants'!$C$13*('Stability Constants'!$C$6-'Stability Constants'!$C$5)*'Stability Constants'!$C$15*'Supersonic Stability'!C121</f>
        <v>59548.025771935943</v>
      </c>
      <c r="D175" s="63" t="s">
        <v>125</v>
      </c>
      <c r="E175" s="63" t="s">
        <v>224</v>
      </c>
      <c r="F175" s="63" t="s">
        <v>21</v>
      </c>
      <c r="G175" s="29" t="s">
        <v>442</v>
      </c>
      <c r="H175" s="105" t="s">
        <v>438</v>
      </c>
      <c r="I175" s="105"/>
      <c r="J175" s="105"/>
      <c r="K175" s="105"/>
      <c r="L175" s="105"/>
    </row>
    <row r="176" spans="1:12" ht="18" customHeight="1" x14ac:dyDescent="0.2">
      <c r="A176" s="126" t="s">
        <v>502</v>
      </c>
      <c r="B176" s="116"/>
      <c r="C176" s="116"/>
      <c r="D176" s="116"/>
      <c r="E176" s="116"/>
      <c r="F176" s="116"/>
      <c r="G176" s="116"/>
      <c r="H176" s="116"/>
      <c r="I176" s="116"/>
      <c r="J176" s="116"/>
      <c r="K176" s="116"/>
      <c r="L176" s="120"/>
    </row>
    <row r="177" spans="1:12" ht="18" customHeight="1" x14ac:dyDescent="0.2">
      <c r="A177" s="23" t="s">
        <v>5</v>
      </c>
      <c r="B177" s="23" t="s">
        <v>96</v>
      </c>
      <c r="C177" s="64" t="s">
        <v>7</v>
      </c>
      <c r="D177" s="64" t="s">
        <v>125</v>
      </c>
      <c r="E177" s="64" t="s">
        <v>8</v>
      </c>
      <c r="F177" s="64" t="s">
        <v>9</v>
      </c>
      <c r="G177" s="31" t="s">
        <v>10</v>
      </c>
      <c r="H177" s="117" t="s">
        <v>11</v>
      </c>
      <c r="I177" s="118"/>
      <c r="J177" s="118"/>
      <c r="K177" s="118"/>
      <c r="L177" s="119"/>
    </row>
    <row r="178" spans="1:12" ht="18" customHeight="1" x14ac:dyDescent="0.2">
      <c r="A178" s="63" t="s">
        <v>379</v>
      </c>
      <c r="B178" s="63" t="s">
        <v>380</v>
      </c>
      <c r="C178" s="36">
        <v>1.8</v>
      </c>
      <c r="D178" s="63" t="s">
        <v>125</v>
      </c>
      <c r="E178" s="63" t="s">
        <v>137</v>
      </c>
      <c r="F178" s="63" t="s">
        <v>484</v>
      </c>
      <c r="G178" s="29" t="s">
        <v>137</v>
      </c>
      <c r="H178" s="121" t="s">
        <v>309</v>
      </c>
      <c r="I178" s="121"/>
      <c r="J178" s="121"/>
      <c r="K178" s="121"/>
      <c r="L178" s="121"/>
    </row>
    <row r="179" spans="1:12" ht="18" customHeight="1" x14ac:dyDescent="0.2">
      <c r="A179" s="63" t="s">
        <v>557</v>
      </c>
      <c r="B179" s="63" t="s">
        <v>406</v>
      </c>
      <c r="C179" s="36">
        <f>'Final Aircraft Checkouts'!C64</f>
        <v>7.9032070366304621E-2</v>
      </c>
      <c r="D179" s="63" t="s">
        <v>125</v>
      </c>
      <c r="E179" s="63" t="s">
        <v>137</v>
      </c>
      <c r="F179" s="63" t="s">
        <v>21</v>
      </c>
      <c r="G179" s="29" t="s">
        <v>550</v>
      </c>
      <c r="H179" s="122" t="s">
        <v>526</v>
      </c>
      <c r="I179" s="122"/>
      <c r="J179" s="122"/>
      <c r="K179" s="122"/>
      <c r="L179" s="122"/>
    </row>
    <row r="180" spans="1:12" ht="18" customHeight="1" x14ac:dyDescent="0.2">
      <c r="A180" s="91">
        <v>42000</v>
      </c>
      <c r="B180" s="63" t="s">
        <v>406</v>
      </c>
      <c r="C180" s="36">
        <f>'Final Aircraft Checkouts'!C65</f>
        <v>8.2912580567948493E-2</v>
      </c>
      <c r="D180" s="63" t="s">
        <v>125</v>
      </c>
      <c r="E180" s="63" t="s">
        <v>137</v>
      </c>
      <c r="F180" s="63" t="s">
        <v>21</v>
      </c>
      <c r="G180" s="29" t="s">
        <v>550</v>
      </c>
      <c r="H180" s="122" t="s">
        <v>526</v>
      </c>
      <c r="I180" s="122"/>
      <c r="J180" s="122"/>
      <c r="K180" s="122"/>
      <c r="L180" s="122"/>
    </row>
    <row r="181" spans="1:12" ht="18" customHeight="1" x14ac:dyDescent="0.2">
      <c r="A181" s="91">
        <v>43000</v>
      </c>
      <c r="B181" s="63" t="s">
        <v>406</v>
      </c>
      <c r="C181" s="36">
        <f>'Final Aircraft Checkouts'!C66</f>
        <v>8.6971010401134904E-2</v>
      </c>
      <c r="D181" s="63" t="s">
        <v>125</v>
      </c>
      <c r="E181" s="63" t="s">
        <v>137</v>
      </c>
      <c r="F181" s="63" t="s">
        <v>21</v>
      </c>
      <c r="G181" s="29" t="s">
        <v>550</v>
      </c>
      <c r="H181" s="122" t="s">
        <v>526</v>
      </c>
      <c r="I181" s="122"/>
      <c r="J181" s="122"/>
      <c r="K181" s="122"/>
      <c r="L181" s="122"/>
    </row>
    <row r="182" spans="1:12" ht="18" customHeight="1" x14ac:dyDescent="0.2">
      <c r="A182" s="91">
        <v>44000</v>
      </c>
      <c r="B182" s="63" t="s">
        <v>406</v>
      </c>
      <c r="C182" s="36">
        <f>'Final Aircraft Checkouts'!C67</f>
        <v>9.1239746321009105E-2</v>
      </c>
      <c r="D182" s="63" t="s">
        <v>125</v>
      </c>
      <c r="E182" s="63" t="s">
        <v>137</v>
      </c>
      <c r="F182" s="63" t="s">
        <v>21</v>
      </c>
      <c r="G182" s="29" t="s">
        <v>550</v>
      </c>
      <c r="H182" s="122" t="s">
        <v>526</v>
      </c>
      <c r="I182" s="122"/>
      <c r="J182" s="122"/>
      <c r="K182" s="122"/>
      <c r="L182" s="122"/>
    </row>
    <row r="183" spans="1:12" ht="18" customHeight="1" x14ac:dyDescent="0.2">
      <c r="A183" s="91">
        <v>45000</v>
      </c>
      <c r="B183" s="63" t="s">
        <v>406</v>
      </c>
      <c r="C183" s="36">
        <f>'Final Aircraft Checkouts'!C68</f>
        <v>9.5700092993851002E-2</v>
      </c>
      <c r="D183" s="63" t="s">
        <v>125</v>
      </c>
      <c r="E183" s="63" t="s">
        <v>137</v>
      </c>
      <c r="F183" s="63" t="s">
        <v>21</v>
      </c>
      <c r="G183" s="29" t="s">
        <v>550</v>
      </c>
      <c r="H183" s="122" t="s">
        <v>526</v>
      </c>
      <c r="I183" s="122"/>
      <c r="J183" s="122"/>
      <c r="K183" s="122"/>
      <c r="L183" s="122"/>
    </row>
    <row r="184" spans="1:12" ht="18" customHeight="1" x14ac:dyDescent="0.2">
      <c r="A184" s="91">
        <v>46000</v>
      </c>
      <c r="B184" s="63" t="s">
        <v>406</v>
      </c>
      <c r="C184" s="36">
        <f>'Final Aircraft Checkouts'!C69</f>
        <v>0.10039063533255575</v>
      </c>
      <c r="D184" s="63" t="s">
        <v>125</v>
      </c>
      <c r="E184" s="63" t="s">
        <v>137</v>
      </c>
      <c r="F184" s="63" t="s">
        <v>21</v>
      </c>
      <c r="G184" s="29" t="s">
        <v>550</v>
      </c>
      <c r="H184" s="122" t="s">
        <v>526</v>
      </c>
      <c r="I184" s="122"/>
      <c r="J184" s="122"/>
      <c r="K184" s="122"/>
      <c r="L184" s="122"/>
    </row>
    <row r="185" spans="1:12" ht="18" customHeight="1" x14ac:dyDescent="0.2">
      <c r="A185" s="91">
        <v>47000</v>
      </c>
      <c r="B185" s="63" t="s">
        <v>406</v>
      </c>
      <c r="C185" s="36">
        <f>'Final Aircraft Checkouts'!C70</f>
        <v>0.10531338488706812</v>
      </c>
      <c r="D185" s="63" t="s">
        <v>125</v>
      </c>
      <c r="E185" s="63" t="s">
        <v>137</v>
      </c>
      <c r="F185" s="63" t="s">
        <v>21</v>
      </c>
      <c r="G185" s="29" t="s">
        <v>550</v>
      </c>
      <c r="H185" s="122" t="s">
        <v>526</v>
      </c>
      <c r="I185" s="122"/>
      <c r="J185" s="122"/>
      <c r="K185" s="122"/>
      <c r="L185" s="122"/>
    </row>
    <row r="186" spans="1:12" ht="18" customHeight="1" x14ac:dyDescent="0.2">
      <c r="A186" s="91">
        <v>48000</v>
      </c>
      <c r="B186" s="63" t="s">
        <v>406</v>
      </c>
      <c r="C186" s="36">
        <f>'Final Aircraft Checkouts'!C71</f>
        <v>0.11046729835469993</v>
      </c>
      <c r="D186" s="63" t="s">
        <v>125</v>
      </c>
      <c r="E186" s="63" t="s">
        <v>137</v>
      </c>
      <c r="F186" s="63" t="s">
        <v>21</v>
      </c>
      <c r="G186" s="29" t="s">
        <v>550</v>
      </c>
      <c r="H186" s="122" t="s">
        <v>526</v>
      </c>
      <c r="I186" s="122"/>
      <c r="J186" s="122"/>
      <c r="K186" s="122"/>
      <c r="L186" s="122"/>
    </row>
    <row r="187" spans="1:12" ht="18" customHeight="1" x14ac:dyDescent="0.2">
      <c r="A187" s="91">
        <v>49000</v>
      </c>
      <c r="B187" s="63" t="s">
        <v>406</v>
      </c>
      <c r="C187" s="36">
        <f>'Final Aircraft Checkouts'!C72</f>
        <v>0.11590818179475326</v>
      </c>
      <c r="D187" s="63" t="s">
        <v>125</v>
      </c>
      <c r="E187" s="63" t="s">
        <v>137</v>
      </c>
      <c r="F187" s="63" t="s">
        <v>21</v>
      </c>
      <c r="G187" s="29" t="s">
        <v>550</v>
      </c>
      <c r="H187" s="122" t="s">
        <v>526</v>
      </c>
      <c r="I187" s="122"/>
      <c r="J187" s="122"/>
      <c r="K187" s="122"/>
      <c r="L187" s="122"/>
    </row>
    <row r="188" spans="1:12" ht="18" customHeight="1" x14ac:dyDescent="0.2">
      <c r="A188" s="63" t="s">
        <v>447</v>
      </c>
      <c r="B188" s="47" t="s">
        <v>448</v>
      </c>
      <c r="C188" s="48">
        <v>0.10158298411673315</v>
      </c>
      <c r="D188" s="63" t="s">
        <v>125</v>
      </c>
      <c r="E188" s="63" t="s">
        <v>137</v>
      </c>
      <c r="F188" s="63" t="s">
        <v>399</v>
      </c>
      <c r="G188" s="29" t="s">
        <v>137</v>
      </c>
      <c r="H188" s="122" t="s">
        <v>449</v>
      </c>
      <c r="I188" s="122"/>
      <c r="J188" s="122"/>
      <c r="K188" s="122"/>
      <c r="L188" s="122"/>
    </row>
    <row r="189" spans="1:12" ht="18" customHeight="1" x14ac:dyDescent="0.2">
      <c r="A189" s="63" t="s">
        <v>447</v>
      </c>
      <c r="B189" s="47" t="s">
        <v>448</v>
      </c>
      <c r="C189" s="48">
        <v>0.10158298411673315</v>
      </c>
      <c r="D189" s="63" t="s">
        <v>125</v>
      </c>
      <c r="E189" s="63" t="s">
        <v>137</v>
      </c>
      <c r="F189" s="63" t="s">
        <v>399</v>
      </c>
      <c r="G189" s="29" t="s">
        <v>137</v>
      </c>
      <c r="H189" s="122" t="s">
        <v>449</v>
      </c>
      <c r="I189" s="122"/>
      <c r="J189" s="122"/>
      <c r="K189" s="122"/>
      <c r="L189" s="122"/>
    </row>
    <row r="190" spans="1:12" ht="18" customHeight="1" x14ac:dyDescent="0.2">
      <c r="A190" s="63" t="s">
        <v>447</v>
      </c>
      <c r="B190" s="47" t="s">
        <v>448</v>
      </c>
      <c r="C190" s="48">
        <v>0.10158298411673315</v>
      </c>
      <c r="D190" s="63" t="s">
        <v>125</v>
      </c>
      <c r="E190" s="63" t="s">
        <v>137</v>
      </c>
      <c r="F190" s="63" t="s">
        <v>399</v>
      </c>
      <c r="G190" s="29" t="s">
        <v>137</v>
      </c>
      <c r="H190" s="122" t="s">
        <v>449</v>
      </c>
      <c r="I190" s="122"/>
      <c r="J190" s="122"/>
      <c r="K190" s="122"/>
      <c r="L190" s="122"/>
    </row>
    <row r="191" spans="1:12" ht="18" customHeight="1" x14ac:dyDescent="0.2">
      <c r="A191" s="63" t="s">
        <v>447</v>
      </c>
      <c r="B191" s="47" t="s">
        <v>448</v>
      </c>
      <c r="C191" s="48">
        <v>0.10158298411673315</v>
      </c>
      <c r="D191" s="63" t="s">
        <v>125</v>
      </c>
      <c r="E191" s="63" t="s">
        <v>137</v>
      </c>
      <c r="F191" s="63" t="s">
        <v>399</v>
      </c>
      <c r="G191" s="29" t="s">
        <v>137</v>
      </c>
      <c r="H191" s="122" t="s">
        <v>449</v>
      </c>
      <c r="I191" s="122"/>
      <c r="J191" s="122"/>
      <c r="K191" s="122"/>
      <c r="L191" s="122"/>
    </row>
    <row r="192" spans="1:12" ht="18" customHeight="1" x14ac:dyDescent="0.2">
      <c r="A192" s="63" t="s">
        <v>447</v>
      </c>
      <c r="B192" s="47" t="s">
        <v>448</v>
      </c>
      <c r="C192" s="48">
        <v>0.10158298411673315</v>
      </c>
      <c r="D192" s="63" t="s">
        <v>125</v>
      </c>
      <c r="E192" s="63" t="s">
        <v>137</v>
      </c>
      <c r="F192" s="63" t="s">
        <v>399</v>
      </c>
      <c r="G192" s="29" t="s">
        <v>137</v>
      </c>
      <c r="H192" s="122" t="s">
        <v>449</v>
      </c>
      <c r="I192" s="122"/>
      <c r="J192" s="122"/>
      <c r="K192" s="122"/>
      <c r="L192" s="122"/>
    </row>
    <row r="193" spans="1:12" ht="18" customHeight="1" x14ac:dyDescent="0.2">
      <c r="A193" s="63" t="s">
        <v>447</v>
      </c>
      <c r="B193" s="47" t="s">
        <v>448</v>
      </c>
      <c r="C193" s="48">
        <v>0.10158298411673315</v>
      </c>
      <c r="D193" s="63" t="s">
        <v>125</v>
      </c>
      <c r="E193" s="63" t="s">
        <v>137</v>
      </c>
      <c r="F193" s="63" t="s">
        <v>399</v>
      </c>
      <c r="G193" s="29" t="s">
        <v>137</v>
      </c>
      <c r="H193" s="122" t="s">
        <v>449</v>
      </c>
      <c r="I193" s="122"/>
      <c r="J193" s="122"/>
      <c r="K193" s="122"/>
      <c r="L193" s="122"/>
    </row>
    <row r="194" spans="1:12" ht="18" customHeight="1" x14ac:dyDescent="0.2">
      <c r="A194" s="63" t="s">
        <v>447</v>
      </c>
      <c r="B194" s="47" t="s">
        <v>448</v>
      </c>
      <c r="C194" s="48">
        <v>0.10158298411673315</v>
      </c>
      <c r="D194" s="63" t="s">
        <v>125</v>
      </c>
      <c r="E194" s="63" t="s">
        <v>137</v>
      </c>
      <c r="F194" s="63" t="s">
        <v>399</v>
      </c>
      <c r="G194" s="29" t="s">
        <v>137</v>
      </c>
      <c r="H194" s="122" t="s">
        <v>449</v>
      </c>
      <c r="I194" s="122"/>
      <c r="J194" s="122"/>
      <c r="K194" s="122"/>
      <c r="L194" s="122"/>
    </row>
    <row r="195" spans="1:12" ht="18" customHeight="1" x14ac:dyDescent="0.2">
      <c r="A195" s="63" t="s">
        <v>447</v>
      </c>
      <c r="B195" s="47" t="s">
        <v>448</v>
      </c>
      <c r="C195" s="48">
        <v>0.10158298411673315</v>
      </c>
      <c r="D195" s="63" t="s">
        <v>125</v>
      </c>
      <c r="E195" s="63" t="s">
        <v>137</v>
      </c>
      <c r="F195" s="63" t="s">
        <v>399</v>
      </c>
      <c r="G195" s="29" t="s">
        <v>137</v>
      </c>
      <c r="H195" s="122" t="s">
        <v>449</v>
      </c>
      <c r="I195" s="122"/>
      <c r="J195" s="122"/>
      <c r="K195" s="122"/>
      <c r="L195" s="122"/>
    </row>
    <row r="196" spans="1:12" ht="18" customHeight="1" x14ac:dyDescent="0.2">
      <c r="A196" s="63" t="s">
        <v>447</v>
      </c>
      <c r="B196" s="47" t="s">
        <v>448</v>
      </c>
      <c r="C196" s="48">
        <v>0.10158298411673315</v>
      </c>
      <c r="D196" s="63" t="s">
        <v>125</v>
      </c>
      <c r="E196" s="63" t="s">
        <v>137</v>
      </c>
      <c r="F196" s="63" t="s">
        <v>399</v>
      </c>
      <c r="G196" s="29" t="s">
        <v>137</v>
      </c>
      <c r="H196" s="122" t="s">
        <v>449</v>
      </c>
      <c r="I196" s="122"/>
      <c r="J196" s="122"/>
      <c r="K196" s="122"/>
      <c r="L196" s="122"/>
    </row>
    <row r="197" spans="1:12" ht="18" customHeight="1" x14ac:dyDescent="0.2">
      <c r="A197" s="63" t="s">
        <v>558</v>
      </c>
      <c r="B197" s="63" t="s">
        <v>436</v>
      </c>
      <c r="C197" s="36">
        <f xml:space="preserve"> ABS((C179-CFD!$B$33)/(CFD!$B$34-CFD!$B$33)*(CFD!$A$34-CFD!$A$33) + CFD!$A$33)*PI()/180</f>
        <v>3.1575807816073533E-2</v>
      </c>
      <c r="D197" s="63" t="s">
        <v>125</v>
      </c>
      <c r="E197" s="63" t="s">
        <v>407</v>
      </c>
      <c r="F197" s="63" t="s">
        <v>21</v>
      </c>
      <c r="G197" s="29" t="s">
        <v>550</v>
      </c>
      <c r="H197" s="122" t="s">
        <v>526</v>
      </c>
      <c r="I197" s="122"/>
      <c r="J197" s="122"/>
      <c r="K197" s="122"/>
      <c r="L197" s="122"/>
    </row>
    <row r="198" spans="1:12" ht="18" customHeight="1" x14ac:dyDescent="0.2">
      <c r="A198" s="91">
        <v>42000</v>
      </c>
      <c r="B198" s="63" t="s">
        <v>436</v>
      </c>
      <c r="C198" s="36">
        <f xml:space="preserve"> ABS((C180-CFD!$B$33)/(CFD!$B$34-CFD!$B$33)*(CFD!$A$34-CFD!$A$33) + CFD!$A$33)*PI()/180</f>
        <v>3.3158230238407992E-2</v>
      </c>
      <c r="D198" s="63"/>
      <c r="E198" s="63" t="s">
        <v>407</v>
      </c>
      <c r="F198" s="63" t="s">
        <v>21</v>
      </c>
      <c r="G198" s="29" t="s">
        <v>550</v>
      </c>
      <c r="H198" s="122" t="s">
        <v>526</v>
      </c>
      <c r="I198" s="122"/>
      <c r="J198" s="122"/>
      <c r="K198" s="122"/>
      <c r="L198" s="122"/>
    </row>
    <row r="199" spans="1:12" ht="18" customHeight="1" x14ac:dyDescent="0.2">
      <c r="A199" s="91">
        <v>43000</v>
      </c>
      <c r="B199" s="63" t="s">
        <v>436</v>
      </c>
      <c r="C199" s="36">
        <f xml:space="preserve"> ABS((C181-CFD!$B$33)/(CFD!$B$34-CFD!$B$33)*(CFD!$A$34-CFD!$A$33) + CFD!$A$33)*PI()/180</f>
        <v>3.4813206010610491E-2</v>
      </c>
      <c r="D199" s="63"/>
      <c r="E199" s="63" t="s">
        <v>407</v>
      </c>
      <c r="F199" s="63" t="s">
        <v>21</v>
      </c>
      <c r="G199" s="29" t="s">
        <v>550</v>
      </c>
      <c r="H199" s="122" t="s">
        <v>526</v>
      </c>
      <c r="I199" s="122"/>
      <c r="J199" s="122"/>
      <c r="K199" s="122"/>
      <c r="L199" s="122"/>
    </row>
    <row r="200" spans="1:12" ht="18" customHeight="1" x14ac:dyDescent="0.2">
      <c r="A200" s="91">
        <v>44000</v>
      </c>
      <c r="B200" s="63" t="s">
        <v>436</v>
      </c>
      <c r="C200" s="36">
        <f xml:space="preserve"> ABS((C182-CFD!$B$33)/(CFD!$B$34-CFD!$B$33)*(CFD!$A$34-CFD!$A$33) + CFD!$A$33)*PI()/180</f>
        <v>3.6553941914815015E-2</v>
      </c>
      <c r="D200" s="63"/>
      <c r="E200" s="63" t="s">
        <v>407</v>
      </c>
      <c r="F200" s="63" t="s">
        <v>21</v>
      </c>
      <c r="G200" s="29" t="s">
        <v>550</v>
      </c>
      <c r="H200" s="122" t="s">
        <v>526</v>
      </c>
      <c r="I200" s="122"/>
      <c r="J200" s="122"/>
      <c r="K200" s="122"/>
      <c r="L200" s="122"/>
    </row>
    <row r="201" spans="1:12" ht="18" customHeight="1" x14ac:dyDescent="0.2">
      <c r="A201" s="91">
        <v>45000</v>
      </c>
      <c r="B201" s="63" t="s">
        <v>436</v>
      </c>
      <c r="C201" s="36">
        <f xml:space="preserve"> ABS((C183-CFD!$B$33)/(CFD!$B$34-CFD!$B$33)*(CFD!$A$34-CFD!$A$33) + CFD!$A$33)*PI()/180</f>
        <v>3.8372814233073559E-2</v>
      </c>
      <c r="D201" s="63"/>
      <c r="E201" s="63" t="s">
        <v>407</v>
      </c>
      <c r="F201" s="63" t="s">
        <v>21</v>
      </c>
      <c r="G201" s="29" t="s">
        <v>550</v>
      </c>
      <c r="H201" s="122" t="s">
        <v>526</v>
      </c>
      <c r="I201" s="122"/>
      <c r="J201" s="122"/>
      <c r="K201" s="122"/>
      <c r="L201" s="122"/>
    </row>
    <row r="202" spans="1:12" ht="18" customHeight="1" x14ac:dyDescent="0.2">
      <c r="A202" s="91">
        <v>46000</v>
      </c>
      <c r="B202" s="63" t="s">
        <v>436</v>
      </c>
      <c r="C202" s="36">
        <f xml:space="preserve"> ABS((C184-CFD!$B$33)/(CFD!$B$34-CFD!$B$33)*(CFD!$A$34-CFD!$A$33) + CFD!$A$33)*PI()/180</f>
        <v>4.0285557399302369E-2</v>
      </c>
      <c r="D202" s="63"/>
      <c r="E202" s="63" t="s">
        <v>407</v>
      </c>
      <c r="F202" s="63" t="s">
        <v>21</v>
      </c>
      <c r="G202" s="29" t="s">
        <v>550</v>
      </c>
      <c r="H202" s="122" t="s">
        <v>526</v>
      </c>
      <c r="I202" s="122"/>
      <c r="J202" s="122"/>
      <c r="K202" s="122"/>
      <c r="L202" s="122"/>
    </row>
    <row r="203" spans="1:12" ht="18" customHeight="1" x14ac:dyDescent="0.2">
      <c r="A203" s="91">
        <v>47000</v>
      </c>
      <c r="B203" s="63" t="s">
        <v>436</v>
      </c>
      <c r="C203" s="36">
        <f xml:space="preserve"> ABS((C185-CFD!$B$33)/(CFD!$B$34-CFD!$B$33)*(CFD!$A$34-CFD!$A$33) + CFD!$A$33)*PI()/180</f>
        <v>4.2292991697837991E-2</v>
      </c>
      <c r="D203" s="63"/>
      <c r="E203" s="63" t="s">
        <v>407</v>
      </c>
      <c r="F203" s="63" t="s">
        <v>21</v>
      </c>
      <c r="G203" s="29" t="s">
        <v>550</v>
      </c>
      <c r="H203" s="122" t="s">
        <v>526</v>
      </c>
      <c r="I203" s="122"/>
      <c r="J203" s="122"/>
      <c r="K203" s="122"/>
      <c r="L203" s="122"/>
    </row>
    <row r="204" spans="1:12" ht="18" customHeight="1" x14ac:dyDescent="0.2">
      <c r="A204" s="91">
        <v>48000</v>
      </c>
      <c r="B204" s="63" t="s">
        <v>436</v>
      </c>
      <c r="C204" s="36">
        <f xml:space="preserve"> ABS((C186-CFD!$B$33)/(CFD!$B$34-CFD!$B$33)*(CFD!$A$34-CFD!$A$33) + CFD!$A$33)*PI()/180</f>
        <v>4.4394691683189706E-2</v>
      </c>
      <c r="D204" s="63"/>
      <c r="E204" s="63" t="s">
        <v>407</v>
      </c>
      <c r="F204" s="63" t="s">
        <v>21</v>
      </c>
      <c r="G204" s="29" t="s">
        <v>550</v>
      </c>
      <c r="H204" s="122" t="s">
        <v>526</v>
      </c>
      <c r="I204" s="122"/>
      <c r="J204" s="122"/>
      <c r="K204" s="122"/>
      <c r="L204" s="122"/>
    </row>
    <row r="205" spans="1:12" ht="18" customHeight="1" x14ac:dyDescent="0.2">
      <c r="A205" s="91">
        <v>49000</v>
      </c>
      <c r="B205" s="63" t="s">
        <v>436</v>
      </c>
      <c r="C205" s="36">
        <f xml:space="preserve"> ABS((C187-CFD!$B$33)/(CFD!$B$34-CFD!$B$33)*(CFD!$A$34-CFD!$A$33) + CFD!$A$33)*PI()/180</f>
        <v>4.6613414352492652E-2</v>
      </c>
      <c r="D205" s="63"/>
      <c r="E205" s="63" t="s">
        <v>407</v>
      </c>
      <c r="F205" s="63" t="s">
        <v>21</v>
      </c>
      <c r="G205" s="29" t="s">
        <v>550</v>
      </c>
      <c r="H205" s="122" t="s">
        <v>526</v>
      </c>
      <c r="I205" s="122"/>
      <c r="J205" s="122"/>
      <c r="K205" s="122"/>
      <c r="L205" s="122"/>
    </row>
    <row r="206" spans="1:12" ht="18" customHeight="1" x14ac:dyDescent="0.2">
      <c r="A206" s="63" t="s">
        <v>560</v>
      </c>
      <c r="B206" s="47" t="s">
        <v>481</v>
      </c>
      <c r="C206" s="48">
        <f>C188/C224</f>
        <v>4.0585609980689101E-2</v>
      </c>
      <c r="D206" s="63" t="s">
        <v>125</v>
      </c>
      <c r="E206" s="63" t="s">
        <v>407</v>
      </c>
      <c r="F206" s="63" t="s">
        <v>21</v>
      </c>
      <c r="G206" s="29" t="s">
        <v>482</v>
      </c>
      <c r="H206" s="122" t="s">
        <v>483</v>
      </c>
      <c r="I206" s="122"/>
      <c r="J206" s="122"/>
      <c r="K206" s="122"/>
      <c r="L206" s="122"/>
    </row>
    <row r="207" spans="1:12" ht="18" customHeight="1" x14ac:dyDescent="0.2">
      <c r="A207" s="91">
        <v>42000</v>
      </c>
      <c r="B207" s="47" t="s">
        <v>481</v>
      </c>
      <c r="C207" s="48">
        <f t="shared" ref="C207:C214" si="8">C189/C225</f>
        <v>4.0624859973894818E-2</v>
      </c>
      <c r="D207" s="63" t="s">
        <v>125</v>
      </c>
      <c r="E207" s="63" t="s">
        <v>407</v>
      </c>
      <c r="F207" s="63" t="s">
        <v>21</v>
      </c>
      <c r="G207" s="29" t="s">
        <v>482</v>
      </c>
      <c r="H207" s="122" t="s">
        <v>483</v>
      </c>
      <c r="I207" s="122"/>
      <c r="J207" s="122"/>
      <c r="K207" s="122"/>
      <c r="L207" s="122"/>
    </row>
    <row r="208" spans="1:12" s="63" customFormat="1" ht="18" customHeight="1" x14ac:dyDescent="0.2">
      <c r="A208" s="91">
        <v>43000</v>
      </c>
      <c r="B208" s="47" t="s">
        <v>481</v>
      </c>
      <c r="C208" s="48">
        <f t="shared" si="8"/>
        <v>4.0662162448353675E-2</v>
      </c>
      <c r="D208" s="63" t="s">
        <v>125</v>
      </c>
      <c r="E208" s="63" t="s">
        <v>407</v>
      </c>
      <c r="F208" s="63" t="s">
        <v>21</v>
      </c>
      <c r="G208" s="29" t="s">
        <v>482</v>
      </c>
      <c r="H208" s="122" t="s">
        <v>483</v>
      </c>
      <c r="I208" s="122"/>
      <c r="J208" s="122"/>
      <c r="K208" s="122"/>
      <c r="L208" s="122"/>
    </row>
    <row r="209" spans="1:12" s="63" customFormat="1" ht="18" customHeight="1" x14ac:dyDescent="0.2">
      <c r="A209" s="91">
        <v>44000</v>
      </c>
      <c r="B209" s="47" t="s">
        <v>481</v>
      </c>
      <c r="C209" s="48">
        <f t="shared" si="8"/>
        <v>4.069781702233443E-2</v>
      </c>
      <c r="D209" s="63" t="s">
        <v>125</v>
      </c>
      <c r="E209" s="63" t="s">
        <v>407</v>
      </c>
      <c r="F209" s="63" t="s">
        <v>21</v>
      </c>
      <c r="G209" s="29" t="s">
        <v>482</v>
      </c>
      <c r="H209" s="122" t="s">
        <v>483</v>
      </c>
      <c r="I209" s="122"/>
      <c r="J209" s="122"/>
      <c r="K209" s="122"/>
      <c r="L209" s="122"/>
    </row>
    <row r="210" spans="1:12" s="63" customFormat="1" ht="18" customHeight="1" x14ac:dyDescent="0.2">
      <c r="A210" s="91">
        <v>45000</v>
      </c>
      <c r="B210" s="47" t="s">
        <v>481</v>
      </c>
      <c r="C210" s="48">
        <f t="shared" si="8"/>
        <v>4.0731673886702721E-2</v>
      </c>
      <c r="D210" s="63" t="s">
        <v>125</v>
      </c>
      <c r="E210" s="63" t="s">
        <v>407</v>
      </c>
      <c r="F210" s="63" t="s">
        <v>21</v>
      </c>
      <c r="G210" s="29" t="s">
        <v>482</v>
      </c>
      <c r="H210" s="122" t="s">
        <v>483</v>
      </c>
      <c r="I210" s="122"/>
      <c r="J210" s="122"/>
      <c r="K210" s="122"/>
      <c r="L210" s="122"/>
    </row>
    <row r="211" spans="1:12" s="63" customFormat="1" ht="18" customHeight="1" x14ac:dyDescent="0.2">
      <c r="A211" s="91">
        <v>46000</v>
      </c>
      <c r="B211" s="47" t="s">
        <v>481</v>
      </c>
      <c r="C211" s="48">
        <f t="shared" si="8"/>
        <v>4.0764032659727285E-2</v>
      </c>
      <c r="D211" s="63" t="s">
        <v>125</v>
      </c>
      <c r="E211" s="63" t="s">
        <v>407</v>
      </c>
      <c r="F211" s="63" t="s">
        <v>21</v>
      </c>
      <c r="G211" s="29" t="s">
        <v>482</v>
      </c>
      <c r="H211" s="122" t="s">
        <v>483</v>
      </c>
      <c r="I211" s="122"/>
      <c r="J211" s="122"/>
      <c r="K211" s="122"/>
      <c r="L211" s="122"/>
    </row>
    <row r="212" spans="1:12" s="63" customFormat="1" ht="18" customHeight="1" x14ac:dyDescent="0.2">
      <c r="A212" s="91">
        <v>47000</v>
      </c>
      <c r="B212" s="47" t="s">
        <v>481</v>
      </c>
      <c r="C212" s="48">
        <f t="shared" si="8"/>
        <v>4.0794893341408095E-2</v>
      </c>
      <c r="D212" s="63" t="s">
        <v>125</v>
      </c>
      <c r="E212" s="63" t="s">
        <v>407</v>
      </c>
      <c r="F212" s="63" t="s">
        <v>21</v>
      </c>
      <c r="G212" s="29" t="s">
        <v>482</v>
      </c>
      <c r="H212" s="122" t="s">
        <v>483</v>
      </c>
      <c r="I212" s="122"/>
      <c r="J212" s="122"/>
      <c r="K212" s="122"/>
      <c r="L212" s="122"/>
    </row>
    <row r="213" spans="1:12" s="63" customFormat="1" ht="18" customHeight="1" x14ac:dyDescent="0.2">
      <c r="A213" s="91">
        <v>48000</v>
      </c>
      <c r="B213" s="47" t="s">
        <v>481</v>
      </c>
      <c r="C213" s="48">
        <f t="shared" si="8"/>
        <v>4.0824255931745206E-2</v>
      </c>
      <c r="D213" s="63" t="s">
        <v>125</v>
      </c>
      <c r="E213" s="63" t="s">
        <v>407</v>
      </c>
      <c r="F213" s="63" t="s">
        <v>21</v>
      </c>
      <c r="G213" s="29" t="s">
        <v>482</v>
      </c>
      <c r="H213" s="122" t="s">
        <v>483</v>
      </c>
      <c r="I213" s="122"/>
      <c r="J213" s="122"/>
      <c r="K213" s="122"/>
      <c r="L213" s="122"/>
    </row>
    <row r="214" spans="1:12" s="63" customFormat="1" ht="18" customHeight="1" x14ac:dyDescent="0.2">
      <c r="A214" s="91">
        <v>49000</v>
      </c>
      <c r="B214" s="47" t="s">
        <v>481</v>
      </c>
      <c r="C214" s="48">
        <f t="shared" si="8"/>
        <v>4.0852420049007312E-2</v>
      </c>
      <c r="D214" s="63" t="s">
        <v>125</v>
      </c>
      <c r="E214" s="63" t="s">
        <v>407</v>
      </c>
      <c r="F214" s="63" t="s">
        <v>21</v>
      </c>
      <c r="G214" s="29" t="s">
        <v>482</v>
      </c>
      <c r="H214" s="122" t="s">
        <v>483</v>
      </c>
      <c r="I214" s="122"/>
      <c r="J214" s="122"/>
      <c r="K214" s="122"/>
      <c r="L214" s="122"/>
    </row>
    <row r="215" spans="1:12" s="63" customFormat="1" ht="18" customHeight="1" x14ac:dyDescent="0.2">
      <c r="A215" s="63" t="s">
        <v>559</v>
      </c>
      <c r="B215" s="63" t="s">
        <v>420</v>
      </c>
      <c r="C215" s="36">
        <f t="shared" ref="C215:C223" si="9">C179/C197</f>
        <v>2.5029310675647602</v>
      </c>
      <c r="D215" s="63" t="s">
        <v>125</v>
      </c>
      <c r="E215" s="63" t="s">
        <v>421</v>
      </c>
      <c r="F215" s="63" t="s">
        <v>21</v>
      </c>
      <c r="G215" s="29" t="s">
        <v>422</v>
      </c>
      <c r="H215" s="105" t="s">
        <v>423</v>
      </c>
      <c r="I215" s="105"/>
      <c r="J215" s="105"/>
      <c r="K215" s="105"/>
      <c r="L215" s="105"/>
    </row>
    <row r="216" spans="1:12" s="63" customFormat="1" ht="18" customHeight="1" x14ac:dyDescent="0.2">
      <c r="A216" s="91">
        <v>42000</v>
      </c>
      <c r="B216" s="63" t="s">
        <v>420</v>
      </c>
      <c r="C216" s="36">
        <f t="shared" si="9"/>
        <v>2.5005128431706471</v>
      </c>
      <c r="D216" s="63" t="s">
        <v>125</v>
      </c>
      <c r="E216" s="63" t="s">
        <v>421</v>
      </c>
      <c r="F216" s="63" t="s">
        <v>21</v>
      </c>
      <c r="G216" s="29" t="s">
        <v>422</v>
      </c>
      <c r="H216" s="105" t="s">
        <v>423</v>
      </c>
      <c r="I216" s="105"/>
      <c r="J216" s="105"/>
      <c r="K216" s="105"/>
      <c r="L216" s="105"/>
    </row>
    <row r="217" spans="1:12" s="63" customFormat="1" ht="18" customHeight="1" x14ac:dyDescent="0.2">
      <c r="A217" s="91">
        <v>43000</v>
      </c>
      <c r="B217" s="63" t="s">
        <v>420</v>
      </c>
      <c r="C217" s="36">
        <f t="shared" si="9"/>
        <v>2.498218933775521</v>
      </c>
      <c r="D217" s="63" t="s">
        <v>125</v>
      </c>
      <c r="E217" s="63" t="s">
        <v>421</v>
      </c>
      <c r="F217" s="63" t="s">
        <v>21</v>
      </c>
      <c r="G217" s="29" t="s">
        <v>422</v>
      </c>
      <c r="H217" s="105" t="s">
        <v>423</v>
      </c>
      <c r="I217" s="105"/>
      <c r="J217" s="105"/>
      <c r="K217" s="105"/>
      <c r="L217" s="105"/>
    </row>
    <row r="218" spans="1:12" s="63" customFormat="1" ht="18" customHeight="1" x14ac:dyDescent="0.2">
      <c r="A218" s="91">
        <v>44000</v>
      </c>
      <c r="B218" s="63" t="s">
        <v>420</v>
      </c>
      <c r="C218" s="36">
        <f t="shared" si="9"/>
        <v>2.4960302922632369</v>
      </c>
      <c r="D218" s="63" t="s">
        <v>125</v>
      </c>
      <c r="E218" s="63" t="s">
        <v>421</v>
      </c>
      <c r="F218" s="63" t="s">
        <v>21</v>
      </c>
      <c r="G218" s="29" t="s">
        <v>422</v>
      </c>
      <c r="H218" s="105" t="s">
        <v>423</v>
      </c>
      <c r="I218" s="105"/>
      <c r="J218" s="105"/>
      <c r="K218" s="105"/>
      <c r="L218" s="105"/>
    </row>
    <row r="219" spans="1:12" s="63" customFormat="1" ht="18" customHeight="1" x14ac:dyDescent="0.2">
      <c r="A219" s="91">
        <v>45000</v>
      </c>
      <c r="B219" s="63" t="s">
        <v>420</v>
      </c>
      <c r="C219" s="36">
        <f t="shared" si="9"/>
        <v>2.4939555491701992</v>
      </c>
      <c r="D219" s="63" t="s">
        <v>125</v>
      </c>
      <c r="E219" s="63" t="s">
        <v>421</v>
      </c>
      <c r="F219" s="63" t="s">
        <v>21</v>
      </c>
      <c r="G219" s="29" t="s">
        <v>422</v>
      </c>
      <c r="H219" s="105" t="s">
        <v>423</v>
      </c>
      <c r="I219" s="105"/>
      <c r="J219" s="105"/>
      <c r="K219" s="105"/>
      <c r="L219" s="105"/>
    </row>
    <row r="220" spans="1:12" s="63" customFormat="1" ht="18" customHeight="1" x14ac:dyDescent="0.2">
      <c r="A220" s="91">
        <v>46000</v>
      </c>
      <c r="B220" s="63" t="s">
        <v>420</v>
      </c>
      <c r="C220" s="36">
        <f t="shared" si="9"/>
        <v>2.4919758298862269</v>
      </c>
      <c r="D220" s="63" t="s">
        <v>125</v>
      </c>
      <c r="E220" s="63" t="s">
        <v>421</v>
      </c>
      <c r="F220" s="63" t="s">
        <v>21</v>
      </c>
      <c r="G220" s="29" t="s">
        <v>422</v>
      </c>
      <c r="H220" s="105" t="s">
        <v>423</v>
      </c>
      <c r="I220" s="105"/>
      <c r="J220" s="105"/>
      <c r="K220" s="105"/>
      <c r="L220" s="105"/>
    </row>
    <row r="221" spans="1:12" s="63" customFormat="1" ht="18" customHeight="1" x14ac:dyDescent="0.2">
      <c r="A221" s="91">
        <v>47000</v>
      </c>
      <c r="B221" s="63" t="s">
        <v>420</v>
      </c>
      <c r="C221" s="36">
        <f t="shared" si="9"/>
        <v>2.4900906901899713</v>
      </c>
      <c r="D221" s="63" t="s">
        <v>125</v>
      </c>
      <c r="E221" s="63" t="s">
        <v>421</v>
      </c>
      <c r="F221" s="63" t="s">
        <v>21</v>
      </c>
      <c r="G221" s="29" t="s">
        <v>422</v>
      </c>
      <c r="H221" s="105" t="s">
        <v>423</v>
      </c>
      <c r="I221" s="105"/>
      <c r="J221" s="105"/>
      <c r="K221" s="105"/>
      <c r="L221" s="105"/>
    </row>
    <row r="222" spans="1:12" s="63" customFormat="1" ht="18" customHeight="1" x14ac:dyDescent="0.2">
      <c r="A222" s="91">
        <v>48000</v>
      </c>
      <c r="B222" s="63" t="s">
        <v>420</v>
      </c>
      <c r="C222" s="36">
        <f t="shared" si="9"/>
        <v>2.4882997080601186</v>
      </c>
      <c r="D222" s="63" t="s">
        <v>125</v>
      </c>
      <c r="E222" s="63" t="s">
        <v>421</v>
      </c>
      <c r="F222" s="63" t="s">
        <v>21</v>
      </c>
      <c r="G222" s="29" t="s">
        <v>422</v>
      </c>
      <c r="H222" s="105" t="s">
        <v>423</v>
      </c>
      <c r="I222" s="105"/>
      <c r="J222" s="105"/>
      <c r="K222" s="105"/>
      <c r="L222" s="105"/>
    </row>
    <row r="223" spans="1:12" s="63" customFormat="1" ht="18" customHeight="1" x14ac:dyDescent="0.2">
      <c r="A223" s="91">
        <v>49000</v>
      </c>
      <c r="B223" s="63" t="s">
        <v>420</v>
      </c>
      <c r="C223" s="36">
        <f t="shared" si="9"/>
        <v>2.4865842462912195</v>
      </c>
      <c r="D223" s="63" t="s">
        <v>125</v>
      </c>
      <c r="E223" s="63" t="s">
        <v>421</v>
      </c>
      <c r="F223" s="63" t="s">
        <v>21</v>
      </c>
      <c r="G223" s="29" t="s">
        <v>422</v>
      </c>
      <c r="H223" s="105" t="s">
        <v>423</v>
      </c>
      <c r="I223" s="105"/>
      <c r="J223" s="105"/>
      <c r="K223" s="105"/>
      <c r="L223" s="105"/>
    </row>
    <row r="224" spans="1:12" s="63" customFormat="1" ht="18" customHeight="1" x14ac:dyDescent="0.2">
      <c r="A224" s="63" t="s">
        <v>425</v>
      </c>
      <c r="B224" s="63" t="s">
        <v>426</v>
      </c>
      <c r="C224" s="36">
        <f>C215</f>
        <v>2.5029310675647602</v>
      </c>
      <c r="D224" s="63" t="s">
        <v>125</v>
      </c>
      <c r="E224" s="63" t="s">
        <v>421</v>
      </c>
      <c r="F224" s="63" t="s">
        <v>21</v>
      </c>
      <c r="G224" s="29" t="s">
        <v>427</v>
      </c>
      <c r="H224" s="105" t="s">
        <v>428</v>
      </c>
      <c r="I224" s="105"/>
      <c r="J224" s="105"/>
      <c r="K224" s="105"/>
      <c r="L224" s="105"/>
    </row>
    <row r="225" spans="1:12" ht="18" customHeight="1" x14ac:dyDescent="0.2">
      <c r="A225" s="91">
        <v>42000</v>
      </c>
      <c r="B225" s="63" t="s">
        <v>426</v>
      </c>
      <c r="C225" s="36">
        <f t="shared" ref="C225:C232" si="10">C216</f>
        <v>2.5005128431706471</v>
      </c>
      <c r="D225" s="63" t="s">
        <v>125</v>
      </c>
      <c r="E225" s="63" t="s">
        <v>421</v>
      </c>
      <c r="F225" s="63" t="s">
        <v>21</v>
      </c>
      <c r="G225" s="29" t="s">
        <v>427</v>
      </c>
      <c r="H225" s="105" t="s">
        <v>428</v>
      </c>
      <c r="I225" s="105"/>
      <c r="J225" s="105"/>
      <c r="K225" s="105"/>
      <c r="L225" s="105"/>
    </row>
    <row r="226" spans="1:12" ht="18" customHeight="1" x14ac:dyDescent="0.2">
      <c r="A226" s="91">
        <v>43000</v>
      </c>
      <c r="B226" s="63" t="s">
        <v>426</v>
      </c>
      <c r="C226" s="36">
        <f t="shared" si="10"/>
        <v>2.498218933775521</v>
      </c>
      <c r="D226" s="63" t="s">
        <v>125</v>
      </c>
      <c r="E226" s="63" t="s">
        <v>421</v>
      </c>
      <c r="F226" s="63" t="s">
        <v>21</v>
      </c>
      <c r="G226" s="29" t="s">
        <v>427</v>
      </c>
      <c r="H226" s="105" t="s">
        <v>428</v>
      </c>
      <c r="I226" s="105"/>
      <c r="J226" s="105"/>
      <c r="K226" s="105"/>
      <c r="L226" s="105"/>
    </row>
    <row r="227" spans="1:12" ht="18" customHeight="1" x14ac:dyDescent="0.2">
      <c r="A227" s="91">
        <v>44000</v>
      </c>
      <c r="B227" s="63" t="s">
        <v>426</v>
      </c>
      <c r="C227" s="36">
        <f t="shared" si="10"/>
        <v>2.4960302922632369</v>
      </c>
      <c r="D227" s="63" t="s">
        <v>125</v>
      </c>
      <c r="E227" s="63" t="s">
        <v>421</v>
      </c>
      <c r="F227" s="63" t="s">
        <v>21</v>
      </c>
      <c r="G227" s="29" t="s">
        <v>427</v>
      </c>
      <c r="H227" s="105" t="s">
        <v>428</v>
      </c>
      <c r="I227" s="105"/>
      <c r="J227" s="105"/>
      <c r="K227" s="105"/>
      <c r="L227" s="105"/>
    </row>
    <row r="228" spans="1:12" ht="18" customHeight="1" x14ac:dyDescent="0.2">
      <c r="A228" s="91">
        <v>45000</v>
      </c>
      <c r="B228" s="63" t="s">
        <v>426</v>
      </c>
      <c r="C228" s="36">
        <f t="shared" si="10"/>
        <v>2.4939555491701992</v>
      </c>
      <c r="D228" s="63" t="s">
        <v>125</v>
      </c>
      <c r="E228" s="63" t="s">
        <v>421</v>
      </c>
      <c r="F228" s="63" t="s">
        <v>21</v>
      </c>
      <c r="G228" s="29" t="s">
        <v>427</v>
      </c>
      <c r="H228" s="105" t="s">
        <v>428</v>
      </c>
      <c r="I228" s="105"/>
      <c r="J228" s="105"/>
      <c r="K228" s="105"/>
      <c r="L228" s="105"/>
    </row>
    <row r="229" spans="1:12" ht="18" customHeight="1" x14ac:dyDescent="0.2">
      <c r="A229" s="91">
        <v>46000</v>
      </c>
      <c r="B229" s="63" t="s">
        <v>426</v>
      </c>
      <c r="C229" s="36">
        <f t="shared" si="10"/>
        <v>2.4919758298862269</v>
      </c>
      <c r="D229" s="63" t="s">
        <v>125</v>
      </c>
      <c r="E229" s="63" t="s">
        <v>421</v>
      </c>
      <c r="F229" s="63" t="s">
        <v>21</v>
      </c>
      <c r="G229" s="29" t="s">
        <v>427</v>
      </c>
      <c r="H229" s="105" t="s">
        <v>428</v>
      </c>
      <c r="I229" s="105"/>
      <c r="J229" s="105"/>
      <c r="K229" s="105"/>
      <c r="L229" s="105"/>
    </row>
    <row r="230" spans="1:12" ht="18" customHeight="1" x14ac:dyDescent="0.2">
      <c r="A230" s="91">
        <v>47000</v>
      </c>
      <c r="B230" s="63" t="s">
        <v>426</v>
      </c>
      <c r="C230" s="36">
        <f t="shared" si="10"/>
        <v>2.4900906901899713</v>
      </c>
      <c r="D230" s="63" t="s">
        <v>125</v>
      </c>
      <c r="E230" s="63" t="s">
        <v>421</v>
      </c>
      <c r="F230" s="63" t="s">
        <v>21</v>
      </c>
      <c r="G230" s="29" t="s">
        <v>427</v>
      </c>
      <c r="H230" s="105" t="s">
        <v>428</v>
      </c>
      <c r="I230" s="105"/>
      <c r="J230" s="105"/>
      <c r="K230" s="105"/>
      <c r="L230" s="105"/>
    </row>
    <row r="231" spans="1:12" ht="18" customHeight="1" x14ac:dyDescent="0.2">
      <c r="A231" s="91">
        <v>48000</v>
      </c>
      <c r="B231" s="63" t="s">
        <v>426</v>
      </c>
      <c r="C231" s="36">
        <f t="shared" si="10"/>
        <v>2.4882997080601186</v>
      </c>
      <c r="D231" s="63" t="s">
        <v>125</v>
      </c>
      <c r="E231" s="63" t="s">
        <v>421</v>
      </c>
      <c r="F231" s="63" t="s">
        <v>21</v>
      </c>
      <c r="G231" s="29" t="s">
        <v>427</v>
      </c>
      <c r="H231" s="105" t="s">
        <v>428</v>
      </c>
      <c r="I231" s="105"/>
      <c r="J231" s="105"/>
      <c r="K231" s="105"/>
      <c r="L231" s="105"/>
    </row>
    <row r="232" spans="1:12" ht="18" customHeight="1" x14ac:dyDescent="0.2">
      <c r="A232" s="91">
        <v>49000</v>
      </c>
      <c r="B232" s="63" t="s">
        <v>426</v>
      </c>
      <c r="C232" s="36">
        <f t="shared" si="10"/>
        <v>2.4865842462912195</v>
      </c>
      <c r="D232" s="63" t="s">
        <v>125</v>
      </c>
      <c r="E232" s="63" t="s">
        <v>421</v>
      </c>
      <c r="F232" s="63" t="s">
        <v>21</v>
      </c>
      <c r="G232" s="29" t="s">
        <v>427</v>
      </c>
      <c r="H232" s="105" t="s">
        <v>428</v>
      </c>
      <c r="I232" s="105"/>
      <c r="J232" s="105"/>
      <c r="K232" s="105"/>
      <c r="L232" s="105"/>
    </row>
    <row r="233" spans="1:12" ht="18" customHeight="1" x14ac:dyDescent="0.2">
      <c r="A233" s="65" t="s">
        <v>429</v>
      </c>
      <c r="B233" s="63" t="s">
        <v>430</v>
      </c>
      <c r="C233" s="36">
        <f>$C$7/C197</f>
        <v>0.57980609903750358</v>
      </c>
      <c r="D233" s="63" t="s">
        <v>125</v>
      </c>
      <c r="E233" s="63" t="s">
        <v>431</v>
      </c>
      <c r="F233" s="63" t="s">
        <v>21</v>
      </c>
      <c r="G233" s="29" t="s">
        <v>432</v>
      </c>
      <c r="H233" s="105" t="s">
        <v>433</v>
      </c>
      <c r="I233" s="105"/>
      <c r="J233" s="105"/>
      <c r="K233" s="105"/>
      <c r="L233" s="105"/>
    </row>
    <row r="234" spans="1:12" ht="18" customHeight="1" x14ac:dyDescent="0.2">
      <c r="A234" s="91">
        <v>42000</v>
      </c>
      <c r="B234" s="63" t="s">
        <v>430</v>
      </c>
      <c r="C234" s="36">
        <f t="shared" ref="C234:C241" si="11">$C$7/C198</f>
        <v>0.55213579923180234</v>
      </c>
      <c r="D234" s="63" t="s">
        <v>125</v>
      </c>
      <c r="E234" s="63" t="s">
        <v>431</v>
      </c>
      <c r="F234" s="63" t="s">
        <v>21</v>
      </c>
      <c r="G234" s="29" t="s">
        <v>432</v>
      </c>
      <c r="H234" s="105" t="s">
        <v>433</v>
      </c>
      <c r="I234" s="105"/>
      <c r="J234" s="105"/>
      <c r="K234" s="105"/>
      <c r="L234" s="105"/>
    </row>
    <row r="235" spans="1:12" ht="18" customHeight="1" x14ac:dyDescent="0.2">
      <c r="A235" s="91">
        <v>43000</v>
      </c>
      <c r="B235" s="63" t="s">
        <v>430</v>
      </c>
      <c r="C235" s="36">
        <f t="shared" si="11"/>
        <v>0.52588796183309239</v>
      </c>
      <c r="D235" s="63" t="s">
        <v>125</v>
      </c>
      <c r="E235" s="63" t="s">
        <v>431</v>
      </c>
      <c r="F235" s="63" t="s">
        <v>21</v>
      </c>
      <c r="G235" s="29" t="s">
        <v>432</v>
      </c>
      <c r="H235" s="105" t="s">
        <v>433</v>
      </c>
      <c r="I235" s="105"/>
      <c r="J235" s="105"/>
      <c r="K235" s="105"/>
      <c r="L235" s="105"/>
    </row>
    <row r="236" spans="1:12" ht="18" customHeight="1" x14ac:dyDescent="0.2">
      <c r="A236" s="91">
        <v>44000</v>
      </c>
      <c r="B236" s="63" t="s">
        <v>430</v>
      </c>
      <c r="C236" s="36">
        <f t="shared" si="11"/>
        <v>0.5008446420487277</v>
      </c>
      <c r="D236" s="63" t="s">
        <v>125</v>
      </c>
      <c r="E236" s="63" t="s">
        <v>431</v>
      </c>
      <c r="F236" s="63" t="s">
        <v>21</v>
      </c>
      <c r="G236" s="29" t="s">
        <v>432</v>
      </c>
      <c r="H236" s="105" t="s">
        <v>433</v>
      </c>
      <c r="I236" s="105"/>
      <c r="J236" s="105"/>
      <c r="K236" s="105"/>
      <c r="L236" s="105"/>
    </row>
    <row r="237" spans="1:12" ht="18" customHeight="1" x14ac:dyDescent="0.2">
      <c r="A237" s="91">
        <v>45000</v>
      </c>
      <c r="B237" s="63" t="s">
        <v>430</v>
      </c>
      <c r="C237" s="36">
        <f t="shared" si="11"/>
        <v>0.47710459396058486</v>
      </c>
      <c r="D237" s="63" t="s">
        <v>125</v>
      </c>
      <c r="E237" s="63" t="s">
        <v>431</v>
      </c>
      <c r="F237" s="63" t="s">
        <v>21</v>
      </c>
      <c r="G237" s="29" t="s">
        <v>432</v>
      </c>
      <c r="H237" s="105" t="s">
        <v>433</v>
      </c>
      <c r="I237" s="105"/>
      <c r="J237" s="105"/>
      <c r="K237" s="105"/>
      <c r="L237" s="105"/>
    </row>
    <row r="238" spans="1:12" ht="18" customHeight="1" x14ac:dyDescent="0.2">
      <c r="A238" s="91">
        <v>46000</v>
      </c>
      <c r="B238" s="63" t="s">
        <v>430</v>
      </c>
      <c r="C238" s="36">
        <f t="shared" si="11"/>
        <v>0.45445184665888599</v>
      </c>
      <c r="D238" s="63" t="s">
        <v>125</v>
      </c>
      <c r="E238" s="63" t="s">
        <v>431</v>
      </c>
      <c r="F238" s="63" t="s">
        <v>21</v>
      </c>
      <c r="G238" s="29" t="s">
        <v>432</v>
      </c>
      <c r="H238" s="105" t="s">
        <v>433</v>
      </c>
      <c r="I238" s="105"/>
      <c r="J238" s="105"/>
      <c r="K238" s="105"/>
      <c r="L238" s="105"/>
    </row>
    <row r="239" spans="1:12" ht="22" customHeight="1" x14ac:dyDescent="0.2">
      <c r="A239" s="91">
        <v>47000</v>
      </c>
      <c r="B239" s="63" t="s">
        <v>430</v>
      </c>
      <c r="C239" s="36">
        <f t="shared" si="11"/>
        <v>0.43288131718360812</v>
      </c>
      <c r="D239" s="63" t="s">
        <v>125</v>
      </c>
      <c r="E239" s="63" t="s">
        <v>431</v>
      </c>
      <c r="F239" s="63" t="s">
        <v>21</v>
      </c>
      <c r="G239" s="29" t="s">
        <v>432</v>
      </c>
      <c r="H239" s="105" t="s">
        <v>433</v>
      </c>
      <c r="I239" s="105"/>
      <c r="J239" s="105"/>
      <c r="K239" s="105"/>
      <c r="L239" s="105"/>
    </row>
    <row r="240" spans="1:12" ht="18" customHeight="1" x14ac:dyDescent="0.2">
      <c r="A240" s="91">
        <v>48000</v>
      </c>
      <c r="B240" s="63" t="s">
        <v>430</v>
      </c>
      <c r="C240" s="36">
        <f t="shared" si="11"/>
        <v>0.41238817659652488</v>
      </c>
      <c r="D240" s="63" t="s">
        <v>125</v>
      </c>
      <c r="E240" s="63" t="s">
        <v>431</v>
      </c>
      <c r="F240" s="63" t="s">
        <v>21</v>
      </c>
      <c r="G240" s="29" t="s">
        <v>432</v>
      </c>
      <c r="H240" s="105" t="s">
        <v>433</v>
      </c>
      <c r="I240" s="105"/>
      <c r="J240" s="105"/>
      <c r="K240" s="105"/>
      <c r="L240" s="105"/>
    </row>
    <row r="241" spans="1:12" ht="18" customHeight="1" x14ac:dyDescent="0.2">
      <c r="A241" s="91">
        <v>49000</v>
      </c>
      <c r="B241" s="63" t="s">
        <v>430</v>
      </c>
      <c r="C241" s="36">
        <f t="shared" si="11"/>
        <v>0.39275917046862924</v>
      </c>
      <c r="D241" s="63" t="s">
        <v>125</v>
      </c>
      <c r="E241" s="63" t="s">
        <v>431</v>
      </c>
      <c r="F241" s="63" t="s">
        <v>21</v>
      </c>
      <c r="G241" s="29" t="s">
        <v>432</v>
      </c>
      <c r="H241" s="105" t="s">
        <v>433</v>
      </c>
      <c r="I241" s="105"/>
      <c r="J241" s="105"/>
      <c r="K241" s="105"/>
      <c r="L241" s="105"/>
    </row>
    <row r="242" spans="1:12" ht="18" customHeight="1" x14ac:dyDescent="0.2">
      <c r="A242" s="63" t="s">
        <v>434</v>
      </c>
      <c r="B242" s="63" t="s">
        <v>435</v>
      </c>
      <c r="C242" s="36">
        <f>2*'Stability Constants'!$C$13*('Stability Constants'!$C$4-'Stability Constants'!$C$3)*'Stability Constants'!$C$14*'Supersonic Stability'!C197</f>
        <v>61841.547343851358</v>
      </c>
      <c r="D242" s="63" t="s">
        <v>125</v>
      </c>
      <c r="E242" s="63" t="s">
        <v>224</v>
      </c>
      <c r="F242" s="63" t="s">
        <v>21</v>
      </c>
      <c r="G242" s="29" t="s">
        <v>437</v>
      </c>
      <c r="H242" s="105" t="s">
        <v>438</v>
      </c>
      <c r="I242" s="105"/>
      <c r="J242" s="105"/>
      <c r="K242" s="105"/>
      <c r="L242" s="105"/>
    </row>
    <row r="243" spans="1:12" ht="18" customHeight="1" x14ac:dyDescent="0.2">
      <c r="A243" s="91">
        <v>42000</v>
      </c>
      <c r="B243" s="63" t="s">
        <v>435</v>
      </c>
      <c r="C243" s="36">
        <f>2*'Stability Constants'!$C$13*('Stability Constants'!$C$4-'Stability Constants'!$C$3)*'Stability Constants'!$C$14*'Supersonic Stability'!C198</f>
        <v>64940.738082495052</v>
      </c>
      <c r="D243" s="63" t="s">
        <v>125</v>
      </c>
      <c r="E243" s="63" t="s">
        <v>224</v>
      </c>
      <c r="F243" s="63" t="s">
        <v>21</v>
      </c>
      <c r="G243" s="29" t="s">
        <v>437</v>
      </c>
      <c r="H243" s="105" t="s">
        <v>438</v>
      </c>
      <c r="I243" s="105"/>
      <c r="J243" s="105"/>
      <c r="K243" s="105"/>
      <c r="L243" s="105"/>
    </row>
    <row r="244" spans="1:12" ht="18" customHeight="1" x14ac:dyDescent="0.2">
      <c r="A244" s="91">
        <v>43000</v>
      </c>
      <c r="B244" s="63" t="s">
        <v>435</v>
      </c>
      <c r="C244" s="36">
        <f>2*'Stability Constants'!$C$13*('Stability Constants'!$C$4-'Stability Constants'!$C$3)*'Stability Constants'!$C$14*'Supersonic Stability'!C199</f>
        <v>68182.02530991126</v>
      </c>
      <c r="D244" s="63" t="s">
        <v>125</v>
      </c>
      <c r="E244" s="63" t="s">
        <v>224</v>
      </c>
      <c r="F244" s="63" t="s">
        <v>21</v>
      </c>
      <c r="G244" s="29" t="s">
        <v>437</v>
      </c>
      <c r="H244" s="105" t="s">
        <v>438</v>
      </c>
      <c r="I244" s="105"/>
      <c r="J244" s="105"/>
      <c r="K244" s="105"/>
      <c r="L244" s="105"/>
    </row>
    <row r="245" spans="1:12" ht="18" customHeight="1" x14ac:dyDescent="0.2">
      <c r="A245" s="91">
        <v>44000</v>
      </c>
      <c r="B245" s="63" t="s">
        <v>435</v>
      </c>
      <c r="C245" s="36">
        <f>2*'Stability Constants'!$C$13*('Stability Constants'!$C$4-'Stability Constants'!$C$3)*'Stability Constants'!$C$14*'Supersonic Stability'!C200</f>
        <v>71591.274645987069</v>
      </c>
      <c r="D245" s="63" t="s">
        <v>125</v>
      </c>
      <c r="E245" s="63" t="s">
        <v>224</v>
      </c>
      <c r="F245" s="63" t="s">
        <v>21</v>
      </c>
      <c r="G245" s="29" t="s">
        <v>437</v>
      </c>
      <c r="H245" s="105" t="s">
        <v>438</v>
      </c>
      <c r="I245" s="105"/>
      <c r="J245" s="105"/>
      <c r="K245" s="105"/>
      <c r="L245" s="105"/>
    </row>
    <row r="246" spans="1:12" ht="18" customHeight="1" x14ac:dyDescent="0.2">
      <c r="A246" s="91">
        <v>45000</v>
      </c>
      <c r="B246" s="63" t="s">
        <v>435</v>
      </c>
      <c r="C246" s="36">
        <f>2*'Stability Constants'!$C$13*('Stability Constants'!$C$4-'Stability Constants'!$C$3)*'Stability Constants'!$C$14*'Supersonic Stability'!C201</f>
        <v>75153.554959992136</v>
      </c>
      <c r="D246" s="63" t="s">
        <v>125</v>
      </c>
      <c r="E246" s="63" t="s">
        <v>224</v>
      </c>
      <c r="F246" s="63" t="s">
        <v>21</v>
      </c>
      <c r="G246" s="29" t="s">
        <v>437</v>
      </c>
      <c r="H246" s="105" t="s">
        <v>438</v>
      </c>
      <c r="I246" s="105"/>
      <c r="J246" s="105"/>
      <c r="K246" s="105"/>
      <c r="L246" s="105"/>
    </row>
    <row r="247" spans="1:12" ht="18" customHeight="1" x14ac:dyDescent="0.2">
      <c r="A247" s="91">
        <v>46000</v>
      </c>
      <c r="B247" s="63" t="s">
        <v>435</v>
      </c>
      <c r="C247" s="36">
        <f>2*'Stability Constants'!$C$13*('Stability Constants'!$C$4-'Stability Constants'!$C$3)*'Stability Constants'!$C$14*'Supersonic Stability'!C202</f>
        <v>78899.68230406451</v>
      </c>
      <c r="D247" s="63" t="s">
        <v>125</v>
      </c>
      <c r="E247" s="63" t="s">
        <v>224</v>
      </c>
      <c r="F247" s="63" t="s">
        <v>21</v>
      </c>
      <c r="G247" s="29" t="s">
        <v>437</v>
      </c>
      <c r="H247" s="105" t="s">
        <v>438</v>
      </c>
      <c r="I247" s="105"/>
      <c r="J247" s="105"/>
      <c r="K247" s="105"/>
      <c r="L247" s="105"/>
    </row>
    <row r="248" spans="1:12" ht="18" customHeight="1" x14ac:dyDescent="0.2">
      <c r="A248" s="91">
        <v>47000</v>
      </c>
      <c r="B248" s="63" t="s">
        <v>435</v>
      </c>
      <c r="C248" s="36">
        <f>2*'Stability Constants'!$C$13*('Stability Constants'!$C$4-'Stability Constants'!$C$3)*'Stability Constants'!$C$14*'Supersonic Stability'!C203</f>
        <v>82831.263213591301</v>
      </c>
      <c r="D248" s="63" t="s">
        <v>125</v>
      </c>
      <c r="E248" s="63" t="s">
        <v>224</v>
      </c>
      <c r="F248" s="63" t="s">
        <v>21</v>
      </c>
      <c r="G248" s="29" t="s">
        <v>437</v>
      </c>
      <c r="H248" s="105" t="s">
        <v>438</v>
      </c>
      <c r="I248" s="105"/>
      <c r="J248" s="105"/>
      <c r="K248" s="105"/>
      <c r="L248" s="105"/>
    </row>
    <row r="249" spans="1:12" ht="18" customHeight="1" x14ac:dyDescent="0.2">
      <c r="A249" s="91">
        <v>48000</v>
      </c>
      <c r="B249" s="63" t="s">
        <v>435</v>
      </c>
      <c r="C249" s="36">
        <f>2*'Stability Constants'!$C$13*('Stability Constants'!$C$4-'Stability Constants'!$C$3)*'Stability Constants'!$C$14*'Supersonic Stability'!C204</f>
        <v>86947.464449163119</v>
      </c>
      <c r="D249" s="63" t="s">
        <v>125</v>
      </c>
      <c r="E249" s="63" t="s">
        <v>224</v>
      </c>
      <c r="F249" s="63" t="s">
        <v>21</v>
      </c>
      <c r="G249" s="29" t="s">
        <v>437</v>
      </c>
      <c r="H249" s="105" t="s">
        <v>438</v>
      </c>
      <c r="I249" s="105"/>
      <c r="J249" s="105"/>
      <c r="K249" s="105"/>
      <c r="L249" s="105"/>
    </row>
    <row r="250" spans="1:12" ht="18" customHeight="1" x14ac:dyDescent="0.2">
      <c r="A250" s="91">
        <v>49000</v>
      </c>
      <c r="B250" s="63" t="s">
        <v>435</v>
      </c>
      <c r="C250" s="36">
        <f>2*'Stability Constants'!$C$13*('Stability Constants'!$C$4-'Stability Constants'!$C$3)*'Stability Constants'!$C$14*'Supersonic Stability'!C205</f>
        <v>91292.855825871724</v>
      </c>
      <c r="D250" s="63" t="s">
        <v>125</v>
      </c>
      <c r="E250" s="63" t="s">
        <v>224</v>
      </c>
      <c r="F250" s="63" t="s">
        <v>21</v>
      </c>
      <c r="G250" s="29" t="s">
        <v>437</v>
      </c>
      <c r="H250" s="105" t="s">
        <v>438</v>
      </c>
      <c r="I250" s="105"/>
      <c r="J250" s="105"/>
      <c r="K250" s="105"/>
      <c r="L250" s="105"/>
    </row>
    <row r="251" spans="1:12" ht="18" customHeight="1" x14ac:dyDescent="0.2">
      <c r="A251" s="63" t="s">
        <v>439</v>
      </c>
      <c r="B251" s="63" t="s">
        <v>440</v>
      </c>
      <c r="C251" s="36">
        <f>2*'Stability Constants'!$C$13*('Stability Constants'!$C$6-'Stability Constants'!$C$5)*'Stability Constants'!$C$15*'Supersonic Stability'!C197</f>
        <v>38687.084828681975</v>
      </c>
      <c r="D251" s="63" t="s">
        <v>125</v>
      </c>
      <c r="E251" s="63" t="s">
        <v>224</v>
      </c>
      <c r="F251" s="63" t="s">
        <v>21</v>
      </c>
      <c r="G251" s="29" t="s">
        <v>442</v>
      </c>
      <c r="H251" s="105" t="s">
        <v>438</v>
      </c>
      <c r="I251" s="105"/>
      <c r="J251" s="105"/>
      <c r="K251" s="105"/>
      <c r="L251" s="105"/>
    </row>
    <row r="252" spans="1:12" ht="18" customHeight="1" x14ac:dyDescent="0.2">
      <c r="A252" s="91">
        <v>42000</v>
      </c>
      <c r="B252" s="63" t="s">
        <v>440</v>
      </c>
      <c r="C252" s="36">
        <f>2*'Stability Constants'!$C$13*('Stability Constants'!$C$6-'Stability Constants'!$C$5)*'Stability Constants'!$C$15*'Supersonic Stability'!C198</f>
        <v>40625.889081743655</v>
      </c>
      <c r="D252" s="63" t="s">
        <v>125</v>
      </c>
      <c r="E252" s="63" t="s">
        <v>224</v>
      </c>
      <c r="F252" s="63" t="s">
        <v>21</v>
      </c>
      <c r="G252" s="29" t="s">
        <v>442</v>
      </c>
      <c r="H252" s="105" t="s">
        <v>438</v>
      </c>
      <c r="I252" s="105"/>
      <c r="J252" s="105"/>
      <c r="K252" s="105"/>
      <c r="L252" s="105"/>
    </row>
    <row r="253" spans="1:12" ht="18" customHeight="1" x14ac:dyDescent="0.2">
      <c r="A253" s="91">
        <v>43000</v>
      </c>
      <c r="B253" s="63" t="s">
        <v>440</v>
      </c>
      <c r="C253" s="36">
        <f>2*'Stability Constants'!$C$13*('Stability Constants'!$C$6-'Stability Constants'!$C$5)*'Stability Constants'!$C$15*'Supersonic Stability'!C199</f>
        <v>42653.586629865269</v>
      </c>
      <c r="D253" s="63" t="s">
        <v>125</v>
      </c>
      <c r="E253" s="63" t="s">
        <v>224</v>
      </c>
      <c r="F253" s="63" t="s">
        <v>21</v>
      </c>
      <c r="G253" s="29" t="s">
        <v>442</v>
      </c>
      <c r="H253" s="105" t="s">
        <v>438</v>
      </c>
      <c r="I253" s="105"/>
      <c r="J253" s="105"/>
      <c r="K253" s="105"/>
      <c r="L253" s="105"/>
    </row>
    <row r="254" spans="1:12" ht="18" customHeight="1" x14ac:dyDescent="0.2">
      <c r="A254" s="91">
        <v>44000</v>
      </c>
      <c r="B254" s="63" t="s">
        <v>440</v>
      </c>
      <c r="C254" s="36">
        <f>2*'Stability Constants'!$C$13*('Stability Constants'!$C$6-'Stability Constants'!$C$5)*'Stability Constants'!$C$15*'Supersonic Stability'!C200</f>
        <v>44786.358591949851</v>
      </c>
      <c r="D254" s="63" t="s">
        <v>125</v>
      </c>
      <c r="E254" s="63" t="s">
        <v>224</v>
      </c>
      <c r="F254" s="63" t="s">
        <v>21</v>
      </c>
      <c r="G254" s="29" t="s">
        <v>442</v>
      </c>
      <c r="H254" s="105" t="s">
        <v>438</v>
      </c>
      <c r="I254" s="105"/>
      <c r="J254" s="105"/>
      <c r="K254" s="105"/>
      <c r="L254" s="105"/>
    </row>
    <row r="255" spans="1:12" ht="18" customHeight="1" x14ac:dyDescent="0.2">
      <c r="A255" s="91">
        <v>45000</v>
      </c>
      <c r="B255" s="63" t="s">
        <v>440</v>
      </c>
      <c r="C255" s="36">
        <f>2*'Stability Constants'!$C$13*('Stability Constants'!$C$6-'Stability Constants'!$C$5)*'Stability Constants'!$C$15*'Supersonic Stability'!C201</f>
        <v>47014.86429096129</v>
      </c>
      <c r="D255" s="63" t="s">
        <v>125</v>
      </c>
      <c r="E255" s="63" t="s">
        <v>224</v>
      </c>
      <c r="F255" s="63" t="s">
        <v>21</v>
      </c>
      <c r="G255" s="29" t="s">
        <v>442</v>
      </c>
      <c r="H255" s="105" t="s">
        <v>438</v>
      </c>
      <c r="I255" s="105"/>
      <c r="J255" s="105"/>
      <c r="K255" s="105"/>
      <c r="L255" s="105"/>
    </row>
    <row r="256" spans="1:12" ht="18" customHeight="1" x14ac:dyDescent="0.2">
      <c r="A256" s="91">
        <v>46000</v>
      </c>
      <c r="B256" s="63" t="s">
        <v>440</v>
      </c>
      <c r="C256" s="36">
        <f>2*'Stability Constants'!$C$13*('Stability Constants'!$C$6-'Stability Constants'!$C$5)*'Stability Constants'!$C$15*'Supersonic Stability'!C202</f>
        <v>49358.381757194002</v>
      </c>
      <c r="D256" s="63" t="s">
        <v>125</v>
      </c>
      <c r="E256" s="63" t="s">
        <v>224</v>
      </c>
      <c r="F256" s="63" t="s">
        <v>21</v>
      </c>
      <c r="G256" s="29" t="s">
        <v>442</v>
      </c>
      <c r="H256" s="105" t="s">
        <v>438</v>
      </c>
      <c r="I256" s="105"/>
      <c r="J256" s="105"/>
      <c r="K256" s="105"/>
      <c r="L256" s="105"/>
    </row>
    <row r="257" spans="1:12" ht="18" customHeight="1" x14ac:dyDescent="0.2">
      <c r="A257" s="91">
        <v>47000</v>
      </c>
      <c r="B257" s="63" t="s">
        <v>440</v>
      </c>
      <c r="C257" s="36">
        <f>2*'Stability Constants'!$C$13*('Stability Constants'!$C$6-'Stability Constants'!$C$5)*'Stability Constants'!$C$15*'Supersonic Stability'!C203</f>
        <v>51817.916013540715</v>
      </c>
      <c r="D257" s="63" t="s">
        <v>125</v>
      </c>
      <c r="E257" s="63" t="s">
        <v>224</v>
      </c>
      <c r="F257" s="63" t="s">
        <v>21</v>
      </c>
      <c r="G257" s="29" t="s">
        <v>442</v>
      </c>
      <c r="H257" s="105" t="s">
        <v>438</v>
      </c>
      <c r="I257" s="105"/>
      <c r="J257" s="105"/>
      <c r="K257" s="105"/>
      <c r="L257" s="105"/>
    </row>
    <row r="258" spans="1:12" ht="18" customHeight="1" x14ac:dyDescent="0.2">
      <c r="A258" s="91">
        <v>48000</v>
      </c>
      <c r="B258" s="63" t="s">
        <v>440</v>
      </c>
      <c r="C258" s="36">
        <f>2*'Stability Constants'!$C$13*('Stability Constants'!$C$6-'Stability Constants'!$C$5)*'Stability Constants'!$C$15*'Supersonic Stability'!C204</f>
        <v>54392.945798728084</v>
      </c>
      <c r="D258" s="63" t="s">
        <v>125</v>
      </c>
      <c r="E258" s="63" t="s">
        <v>224</v>
      </c>
      <c r="F258" s="63" t="s">
        <v>21</v>
      </c>
      <c r="G258" s="29" t="s">
        <v>442</v>
      </c>
      <c r="H258" s="105" t="s">
        <v>438</v>
      </c>
      <c r="I258" s="105"/>
      <c r="J258" s="105"/>
      <c r="K258" s="105"/>
      <c r="L258" s="105"/>
    </row>
    <row r="259" spans="1:12" ht="18" customHeight="1" x14ac:dyDescent="0.2">
      <c r="A259" s="91">
        <v>49000</v>
      </c>
      <c r="B259" s="63" t="s">
        <v>440</v>
      </c>
      <c r="C259" s="36">
        <f>2*'Stability Constants'!$C$13*('Stability Constants'!$C$6-'Stability Constants'!$C$5)*'Stability Constants'!$C$15*'Supersonic Stability'!C205</f>
        <v>57111.353277600196</v>
      </c>
      <c r="D259" s="63" t="s">
        <v>125</v>
      </c>
      <c r="E259" s="63" t="s">
        <v>224</v>
      </c>
      <c r="F259" s="63" t="s">
        <v>21</v>
      </c>
      <c r="G259" s="29" t="s">
        <v>442</v>
      </c>
      <c r="H259" s="105" t="s">
        <v>438</v>
      </c>
      <c r="I259" s="105"/>
      <c r="J259" s="105"/>
      <c r="K259" s="105"/>
      <c r="L259" s="105"/>
    </row>
    <row r="260" spans="1:12" ht="18" customHeight="1" x14ac:dyDescent="0.2">
      <c r="A260" s="126" t="s">
        <v>496</v>
      </c>
      <c r="B260" s="116"/>
      <c r="C260" s="116"/>
      <c r="D260" s="116"/>
      <c r="E260" s="116"/>
      <c r="F260" s="116"/>
      <c r="G260" s="116"/>
      <c r="H260" s="116"/>
      <c r="I260" s="116"/>
      <c r="J260" s="116"/>
      <c r="K260" s="116"/>
      <c r="L260" s="120"/>
    </row>
    <row r="261" spans="1:12" ht="18" customHeight="1" x14ac:dyDescent="0.2">
      <c r="A261" s="23" t="s">
        <v>5</v>
      </c>
      <c r="B261" s="23" t="s">
        <v>96</v>
      </c>
      <c r="C261" s="64" t="s">
        <v>7</v>
      </c>
      <c r="D261" s="64" t="s">
        <v>125</v>
      </c>
      <c r="E261" s="64" t="s">
        <v>8</v>
      </c>
      <c r="F261" s="64" t="s">
        <v>9</v>
      </c>
      <c r="G261" s="31" t="s">
        <v>459</v>
      </c>
      <c r="H261" s="117" t="s">
        <v>11</v>
      </c>
      <c r="I261" s="118"/>
      <c r="J261" s="118"/>
      <c r="K261" s="118"/>
      <c r="L261" s="119"/>
    </row>
    <row r="262" spans="1:12" ht="18" customHeight="1" x14ac:dyDescent="0.2">
      <c r="A262" s="63" t="s">
        <v>563</v>
      </c>
      <c r="B262" s="47" t="s">
        <v>446</v>
      </c>
      <c r="C262" s="48">
        <f>(C11 + C20* 'Stability Constants'!$C$16*'Supersonic Stability'!$C$4/'Initial Estimates'!$C$5)*'Stability Constants'!$C$8/'Initial Estimates'!$C$10 - 'Supersonic Stability'!C20*'Stability Constants'!$C$16*'Supersonic Stability'!$C$4/'Initial Estimates'!$C$5*'Stability Constants'!$C$10/'Initial Estimates'!$C$10+'Supersonic Stability'!$C$5+('Supersonic Stability'!C74+'Stability Constants'!$C$11*'Supersonic Stability'!C83)/('Stability Constants'!$C$13*'Initial Estimates'!$C$5*'Initial Estimates'!$C$10)</f>
        <v>-4.0441321036338365E-2</v>
      </c>
      <c r="D262" s="63" t="s">
        <v>125</v>
      </c>
      <c r="E262" s="63" t="s">
        <v>137</v>
      </c>
      <c r="F262" s="63" t="s">
        <v>21</v>
      </c>
      <c r="G262" s="29" t="s">
        <v>460</v>
      </c>
      <c r="H262" s="121" t="s">
        <v>438</v>
      </c>
      <c r="I262" s="121"/>
      <c r="J262" s="121"/>
      <c r="K262" s="121"/>
      <c r="L262" s="121"/>
    </row>
    <row r="263" spans="1:12" ht="18" customHeight="1" x14ac:dyDescent="0.2">
      <c r="A263" s="91">
        <v>42000</v>
      </c>
      <c r="B263" s="47" t="s">
        <v>446</v>
      </c>
      <c r="C263" s="48">
        <f>(C12 + C21* 'Stability Constants'!$C$16*'Supersonic Stability'!$C$4/'Initial Estimates'!$C$5)*'Stability Constants'!$C$8/'Initial Estimates'!$C$10 - 'Supersonic Stability'!C21*'Stability Constants'!$C$16*'Supersonic Stability'!$C$4/'Initial Estimates'!$C$5*'Stability Constants'!$C$10/'Initial Estimates'!$C$10+'Supersonic Stability'!$C$5+('Supersonic Stability'!C75+'Stability Constants'!$C$11*'Supersonic Stability'!C84)/('Stability Constants'!$C$13*'Initial Estimates'!$C$5*'Initial Estimates'!$C$10)</f>
        <v>-4.144522877016156E-2</v>
      </c>
      <c r="D263" s="63"/>
      <c r="E263" s="63"/>
      <c r="F263" s="63"/>
      <c r="H263" s="63"/>
      <c r="I263" s="63"/>
      <c r="J263" s="63"/>
      <c r="K263" s="63"/>
      <c r="L263" s="63"/>
    </row>
    <row r="264" spans="1:12" ht="18" customHeight="1" x14ac:dyDescent="0.2">
      <c r="A264" s="91">
        <v>43000</v>
      </c>
      <c r="B264" s="47" t="s">
        <v>446</v>
      </c>
      <c r="C264" s="48">
        <f>(C13 + C22* 'Stability Constants'!$C$16*'Supersonic Stability'!$C$4/'Initial Estimates'!$C$5)*'Stability Constants'!$C$8/'Initial Estimates'!$C$10 - 'Supersonic Stability'!C22*'Stability Constants'!$C$16*'Supersonic Stability'!$C$4/'Initial Estimates'!$C$5*'Stability Constants'!$C$10/'Initial Estimates'!$C$10+'Supersonic Stability'!$C$5+('Supersonic Stability'!C76+'Stability Constants'!$C$11*'Supersonic Stability'!C85)/('Stability Constants'!$C$13*'Initial Estimates'!$C$5*'Initial Estimates'!$C$10)</f>
        <v>-4.2495165217948425E-2</v>
      </c>
      <c r="D264" s="63"/>
      <c r="E264" s="63"/>
      <c r="F264" s="63"/>
      <c r="H264" s="63"/>
      <c r="I264" s="63"/>
      <c r="J264" s="63"/>
      <c r="K264" s="63"/>
      <c r="L264" s="63"/>
    </row>
    <row r="265" spans="1:12" ht="18" customHeight="1" x14ac:dyDescent="0.2">
      <c r="A265" s="91">
        <v>44000</v>
      </c>
      <c r="B265" s="47" t="s">
        <v>446</v>
      </c>
      <c r="C265" s="48">
        <f>(C14 + C23* 'Stability Constants'!$C$16*'Supersonic Stability'!$C$4/'Initial Estimates'!$C$5)*'Stability Constants'!$C$8/'Initial Estimates'!$C$10 - 'Supersonic Stability'!C23*'Stability Constants'!$C$16*'Supersonic Stability'!$C$4/'Initial Estimates'!$C$5*'Stability Constants'!$C$10/'Initial Estimates'!$C$10+'Supersonic Stability'!$C$5+('Supersonic Stability'!C77+'Stability Constants'!$C$11*'Supersonic Stability'!C86)/('Stability Constants'!$C$13*'Initial Estimates'!$C$5*'Initial Estimates'!$C$10)</f>
        <v>-4.3599508920432503E-2</v>
      </c>
      <c r="D265" s="63"/>
      <c r="E265" s="63"/>
      <c r="F265" s="63"/>
      <c r="H265" s="63"/>
      <c r="I265" s="63"/>
      <c r="J265" s="63"/>
      <c r="K265" s="63"/>
      <c r="L265" s="63"/>
    </row>
    <row r="266" spans="1:12" ht="18" customHeight="1" x14ac:dyDescent="0.2">
      <c r="A266" s="91">
        <v>45000</v>
      </c>
      <c r="B266" s="47" t="s">
        <v>446</v>
      </c>
      <c r="C266" s="48">
        <f>(C15 + C24* 'Stability Constants'!$C$16*'Supersonic Stability'!$C$4/'Initial Estimates'!$C$5)*'Stability Constants'!$C$8/'Initial Estimates'!$C$10 - 'Supersonic Stability'!C24*'Stability Constants'!$C$16*'Supersonic Stability'!$C$4/'Initial Estimates'!$C$5*'Stability Constants'!$C$10/'Initial Estimates'!$C$10+'Supersonic Stability'!$C$5+('Supersonic Stability'!C78+'Stability Constants'!$C$11*'Supersonic Stability'!C87)/('Stability Constants'!$C$13*'Initial Estimates'!$C$5*'Initial Estimates'!$C$10)</f>
        <v>-4.4753423299655551E-2</v>
      </c>
      <c r="D266" s="63"/>
      <c r="E266" s="63"/>
      <c r="F266" s="63"/>
      <c r="H266" s="63"/>
      <c r="I266" s="63"/>
      <c r="J266" s="63"/>
      <c r="K266" s="63"/>
      <c r="L266" s="63"/>
    </row>
    <row r="267" spans="1:12" ht="18" customHeight="1" x14ac:dyDescent="0.2">
      <c r="A267" s="91">
        <v>46000</v>
      </c>
      <c r="B267" s="47" t="s">
        <v>446</v>
      </c>
      <c r="C267" s="48">
        <f>(C16 + C25* 'Stability Constants'!$C$16*'Supersonic Stability'!$C$4/'Initial Estimates'!$C$5)*'Stability Constants'!$C$8/'Initial Estimates'!$C$10 - 'Supersonic Stability'!C25*'Stability Constants'!$C$16*'Supersonic Stability'!$C$4/'Initial Estimates'!$C$5*'Stability Constants'!$C$10/'Initial Estimates'!$C$10+'Supersonic Stability'!$C$5+('Supersonic Stability'!C79+'Stability Constants'!$C$11*'Supersonic Stability'!C88)/('Stability Constants'!$C$13*'Initial Estimates'!$C$5*'Initial Estimates'!$C$10)</f>
        <v>-4.5966890468909768E-2</v>
      </c>
      <c r="D267" s="63"/>
      <c r="E267" s="63"/>
      <c r="F267" s="63"/>
      <c r="H267" s="63"/>
      <c r="I267" s="63"/>
      <c r="J267" s="63"/>
      <c r="K267" s="63"/>
      <c r="L267" s="63"/>
    </row>
    <row r="268" spans="1:12" ht="18" customHeight="1" x14ac:dyDescent="0.2">
      <c r="A268" s="91">
        <v>47000</v>
      </c>
      <c r="B268" s="47" t="s">
        <v>446</v>
      </c>
      <c r="C268" s="48">
        <f>(C17 + C26* 'Stability Constants'!$C$16*'Supersonic Stability'!$C$4/'Initial Estimates'!$C$5)*'Stability Constants'!$C$8/'Initial Estimates'!$C$10 - 'Supersonic Stability'!C26*'Stability Constants'!$C$16*'Supersonic Stability'!$C$4/'Initial Estimates'!$C$5*'Stability Constants'!$C$10/'Initial Estimates'!$C$10+'Supersonic Stability'!$C$5+('Supersonic Stability'!C80+'Stability Constants'!$C$11*'Supersonic Stability'!C89)/('Stability Constants'!$C$13*'Initial Estimates'!$C$5*'Initial Estimates'!$C$10)</f>
        <v>-4.7240430826400948E-2</v>
      </c>
      <c r="D268" s="63"/>
      <c r="E268" s="63"/>
      <c r="F268" s="63"/>
      <c r="H268" s="63"/>
      <c r="I268" s="63"/>
      <c r="J268" s="63"/>
      <c r="K268" s="63"/>
      <c r="L268" s="63"/>
    </row>
    <row r="269" spans="1:12" ht="18" customHeight="1" x14ac:dyDescent="0.2">
      <c r="A269" s="91">
        <v>48000</v>
      </c>
      <c r="B269" s="47" t="s">
        <v>446</v>
      </c>
      <c r="C269" s="48">
        <f>(C18 + C27* 'Stability Constants'!$C$16*'Supersonic Stability'!$C$4/'Initial Estimates'!$C$5)*'Stability Constants'!$C$8/'Initial Estimates'!$C$10 - 'Supersonic Stability'!C27*'Stability Constants'!$C$16*'Supersonic Stability'!$C$4/'Initial Estimates'!$C$5*'Stability Constants'!$C$10/'Initial Estimates'!$C$10+'Supersonic Stability'!$C$5+('Supersonic Stability'!C81+'Stability Constants'!$C$11*'Supersonic Stability'!C90)/('Stability Constants'!$C$13*'Initial Estimates'!$C$5*'Initial Estimates'!$C$10)</f>
        <v>-4.8573774464415152E-2</v>
      </c>
      <c r="D269" s="63"/>
      <c r="E269" s="63"/>
      <c r="F269" s="63"/>
      <c r="H269" s="63"/>
      <c r="I269" s="63"/>
      <c r="J269" s="63"/>
      <c r="K269" s="63"/>
      <c r="L269" s="63"/>
    </row>
    <row r="270" spans="1:12" ht="18" customHeight="1" x14ac:dyDescent="0.2">
      <c r="A270" s="91">
        <v>49000</v>
      </c>
      <c r="B270" s="47" t="s">
        <v>446</v>
      </c>
      <c r="C270" s="48">
        <f>(C19 + C28* 'Stability Constants'!$C$16*'Supersonic Stability'!$C$4/'Initial Estimates'!$C$5)*'Stability Constants'!$C$8/'Initial Estimates'!$C$10 - 'Supersonic Stability'!C28*'Stability Constants'!$C$16*'Supersonic Stability'!$C$4/'Initial Estimates'!$C$5*'Stability Constants'!$C$10/'Initial Estimates'!$C$10+'Supersonic Stability'!$C$5+('Supersonic Stability'!C82+'Stability Constants'!$C$11*'Supersonic Stability'!C91)/('Stability Constants'!$C$13*'Initial Estimates'!$C$5*'Initial Estimates'!$C$10)</f>
        <v>-4.9981358694444068E-2</v>
      </c>
      <c r="D270" s="63"/>
      <c r="E270" s="63"/>
      <c r="F270" s="63"/>
      <c r="H270" s="63"/>
      <c r="I270" s="63"/>
      <c r="J270" s="63"/>
      <c r="K270" s="63"/>
      <c r="L270" s="63"/>
    </row>
    <row r="271" spans="1:12" ht="18" customHeight="1" x14ac:dyDescent="0.2">
      <c r="A271" s="63" t="s">
        <v>506</v>
      </c>
      <c r="B271" s="47" t="s">
        <v>453</v>
      </c>
      <c r="C271" s="48">
        <f xml:space="preserve"> ( C47 + C56*(1 - C65)*'Stability Constants'!$C$16*('Supersonic Stability'!$C$4/'Initial Estimates'!$C$5))*('Stability Constants'!$C$8/'Initial Estimates'!$C$10) - C56*(1 -C65)*'Stability Constants'!$C$16*'Supersonic Stability'!$C$3 + 2*('Stability Constants'!$C$4-'Stability Constants'!$C$3)*'Stability Constants'!$C$14/('Initial Estimates'!$C$10*'Initial Estimates'!$C$5) + 2*'Stability Constants'!$C$11*('Stability Constants'!$C$6-'Stability Constants'!$C$5)*'Stability Constants'!$C$15/('Initial Estimates'!$C$10*'Initial Estimates'!$C$5)</f>
        <v>-0.85098300682796235</v>
      </c>
      <c r="D271" s="63" t="s">
        <v>125</v>
      </c>
      <c r="E271" s="63" t="s">
        <v>421</v>
      </c>
      <c r="F271" s="63" t="s">
        <v>21</v>
      </c>
      <c r="G271" s="29" t="s">
        <v>458</v>
      </c>
      <c r="H271" s="105" t="s">
        <v>438</v>
      </c>
      <c r="I271" s="105"/>
      <c r="J271" s="105"/>
      <c r="K271" s="105"/>
      <c r="L271" s="105"/>
    </row>
    <row r="272" spans="1:12" ht="18" customHeight="1" x14ac:dyDescent="0.2">
      <c r="A272" s="91">
        <v>42000</v>
      </c>
      <c r="B272" s="47" t="s">
        <v>453</v>
      </c>
      <c r="C272" s="48">
        <f xml:space="preserve"> ( C48 + C57*(1 - C66)*'Stability Constants'!$C$16*('Supersonic Stability'!$C$4/'Initial Estimates'!$C$5))*('Stability Constants'!$C$8/'Initial Estimates'!$C$10) - C57*(1 -C66)*'Stability Constants'!$C$16*'Supersonic Stability'!$C$3 + 2*('Stability Constants'!$C$4-'Stability Constants'!$C$3)*'Stability Constants'!$C$14/('Initial Estimates'!$C$10*'Initial Estimates'!$C$5) + 2*'Stability Constants'!$C$11*('Stability Constants'!$C$6-'Stability Constants'!$C$5)*'Stability Constants'!$C$15/('Initial Estimates'!$C$10*'Initial Estimates'!$C$5)</f>
        <v>-0.86515822209813831</v>
      </c>
      <c r="D272" s="63"/>
      <c r="E272" s="63"/>
      <c r="F272" s="63"/>
      <c r="H272" s="63"/>
      <c r="I272" s="63"/>
      <c r="J272" s="63"/>
      <c r="K272" s="63"/>
      <c r="L272" s="63"/>
    </row>
    <row r="273" spans="1:12" ht="18" customHeight="1" x14ac:dyDescent="0.2">
      <c r="A273" s="91">
        <v>43000</v>
      </c>
      <c r="B273" s="47" t="s">
        <v>453</v>
      </c>
      <c r="C273" s="48">
        <f xml:space="preserve"> ( C49 + C58*(1 - C67)*'Stability Constants'!$C$16*('Supersonic Stability'!$C$4/'Initial Estimates'!$C$5))*('Stability Constants'!$C$8/'Initial Estimates'!$C$10) - C58*(1 -C67)*'Stability Constants'!$C$16*'Supersonic Stability'!$C$3 + 2*('Stability Constants'!$C$4-'Stability Constants'!$C$3)*'Stability Constants'!$C$14/('Initial Estimates'!$C$10*'Initial Estimates'!$C$5) + 2*'Stability Constants'!$C$11*('Stability Constants'!$C$6-'Stability Constants'!$C$5)*'Stability Constants'!$C$15/('Initial Estimates'!$C$10*'Initial Estimates'!$C$5)</f>
        <v>-0.87864456099982802</v>
      </c>
      <c r="D273" s="63"/>
      <c r="E273" s="63"/>
      <c r="F273" s="63"/>
      <c r="H273" s="63"/>
      <c r="I273" s="63"/>
      <c r="J273" s="63"/>
      <c r="K273" s="63"/>
      <c r="L273" s="63"/>
    </row>
    <row r="274" spans="1:12" ht="18" customHeight="1" x14ac:dyDescent="0.2">
      <c r="A274" s="91">
        <v>44000</v>
      </c>
      <c r="B274" s="47" t="s">
        <v>453</v>
      </c>
      <c r="C274" s="48">
        <f xml:space="preserve"> ( C50 + C59*(1 - C68)*'Stability Constants'!$C$16*('Supersonic Stability'!$C$4/'Initial Estimates'!$C$5))*('Stability Constants'!$C$8/'Initial Estimates'!$C$10) - C59*(1 -C68)*'Stability Constants'!$C$16*'Supersonic Stability'!$C$3 + 2*('Stability Constants'!$C$4-'Stability Constants'!$C$3)*'Stability Constants'!$C$14/('Initial Estimates'!$C$10*'Initial Estimates'!$C$5) + 2*'Stability Constants'!$C$11*('Stability Constants'!$C$6-'Stability Constants'!$C$5)*'Stability Constants'!$C$15/('Initial Estimates'!$C$10*'Initial Estimates'!$C$5)</f>
        <v>-0.89154831840930615</v>
      </c>
      <c r="D274" s="63"/>
      <c r="E274" s="63"/>
      <c r="F274" s="63"/>
      <c r="H274" s="63"/>
      <c r="I274" s="63"/>
      <c r="J274" s="63"/>
      <c r="K274" s="63"/>
      <c r="L274" s="63"/>
    </row>
    <row r="275" spans="1:12" ht="18" customHeight="1" x14ac:dyDescent="0.2">
      <c r="A275" s="91">
        <v>45000</v>
      </c>
      <c r="B275" s="47" t="s">
        <v>453</v>
      </c>
      <c r="C275" s="48">
        <f xml:space="preserve"> ( C51 + C60*(1 - C69)*'Stability Constants'!$C$16*('Supersonic Stability'!$C$4/'Initial Estimates'!$C$5))*('Stability Constants'!$C$8/'Initial Estimates'!$C$10) - C60*(1 -C69)*'Stability Constants'!$C$16*'Supersonic Stability'!$C$3 + 2*('Stability Constants'!$C$4-'Stability Constants'!$C$3)*'Stability Constants'!$C$14/('Initial Estimates'!$C$10*'Initial Estimates'!$C$5) + 2*'Stability Constants'!$C$11*('Stability Constants'!$C$6-'Stability Constants'!$C$5)*'Stability Constants'!$C$15/('Initial Estimates'!$C$10*'Initial Estimates'!$C$5)</f>
        <v>-0.90381342273179566</v>
      </c>
      <c r="D275" s="63"/>
      <c r="E275" s="63"/>
      <c r="F275" s="63"/>
      <c r="H275" s="63"/>
      <c r="I275" s="63"/>
      <c r="J275" s="63"/>
      <c r="K275" s="63"/>
      <c r="L275" s="63"/>
    </row>
    <row r="276" spans="1:12" ht="18" customHeight="1" x14ac:dyDescent="0.2">
      <c r="A276" s="91">
        <v>46000</v>
      </c>
      <c r="B276" s="47" t="s">
        <v>453</v>
      </c>
      <c r="C276" s="48">
        <f xml:space="preserve"> ( C52 + C61*(1 - C70)*'Stability Constants'!$C$16*('Supersonic Stability'!$C$4/'Initial Estimates'!$C$5))*('Stability Constants'!$C$8/'Initial Estimates'!$C$10) - C61*(1 -C70)*'Stability Constants'!$C$16*'Supersonic Stability'!$C$3 + 2*('Stability Constants'!$C$4-'Stability Constants'!$C$3)*'Stability Constants'!$C$14/('Initial Estimates'!$C$10*'Initial Estimates'!$C$5) + 2*'Stability Constants'!$C$11*('Stability Constants'!$C$6-'Stability Constants'!$C$5)*'Stability Constants'!$C$15/('Initial Estimates'!$C$10*'Initial Estimates'!$C$5)</f>
        <v>-0.9155467207706135</v>
      </c>
      <c r="D276" s="63"/>
      <c r="E276" s="63"/>
      <c r="F276" s="63"/>
      <c r="H276" s="63"/>
      <c r="I276" s="63"/>
      <c r="J276" s="63"/>
      <c r="K276" s="63"/>
      <c r="L276" s="63"/>
    </row>
    <row r="277" spans="1:12" ht="18" customHeight="1" x14ac:dyDescent="0.2">
      <c r="A277" s="91">
        <v>47000</v>
      </c>
      <c r="B277" s="47" t="s">
        <v>453</v>
      </c>
      <c r="C277" s="48">
        <f xml:space="preserve"> ( C53 + C62*(1 - C71)*'Stability Constants'!$C$16*('Supersonic Stability'!$C$4/'Initial Estimates'!$C$5))*('Stability Constants'!$C$8/'Initial Estimates'!$C$10) - C62*(1 -C71)*'Stability Constants'!$C$16*'Supersonic Stability'!$C$3 + 2*('Stability Constants'!$C$4-'Stability Constants'!$C$3)*'Stability Constants'!$C$14/('Initial Estimates'!$C$10*'Initial Estimates'!$C$5) + 2*'Stability Constants'!$C$11*('Stability Constants'!$C$6-'Stability Constants'!$C$5)*'Stability Constants'!$C$15/('Initial Estimates'!$C$10*'Initial Estimates'!$C$5)</f>
        <v>-0.92674674347497132</v>
      </c>
      <c r="D277" s="63"/>
      <c r="E277" s="63"/>
      <c r="F277" s="63"/>
      <c r="H277" s="63"/>
      <c r="I277" s="63"/>
      <c r="J277" s="63"/>
      <c r="K277" s="63"/>
      <c r="L277" s="63"/>
    </row>
    <row r="278" spans="1:12" ht="18" customHeight="1" x14ac:dyDescent="0.2">
      <c r="A278" s="91">
        <v>48000</v>
      </c>
      <c r="B278" s="47" t="s">
        <v>453</v>
      </c>
      <c r="C278" s="48">
        <f xml:space="preserve"> ( C54 + C63*(1 - C72)*'Stability Constants'!$C$16*('Supersonic Stability'!$C$4/'Initial Estimates'!$C$5))*('Stability Constants'!$C$8/'Initial Estimates'!$C$10) - C63*(1 -C72)*'Stability Constants'!$C$16*'Supersonic Stability'!$C$3 + 2*('Stability Constants'!$C$4-'Stability Constants'!$C$3)*'Stability Constants'!$C$14/('Initial Estimates'!$C$10*'Initial Estimates'!$C$5) + 2*'Stability Constants'!$C$11*('Stability Constants'!$C$6-'Stability Constants'!$C$5)*'Stability Constants'!$C$15/('Initial Estimates'!$C$10*'Initial Estimates'!$C$5)</f>
        <v>-0.93741208744576043</v>
      </c>
      <c r="D278" s="63"/>
      <c r="E278" s="63"/>
      <c r="F278" s="63"/>
      <c r="H278" s="63"/>
      <c r="I278" s="63"/>
      <c r="J278" s="63"/>
      <c r="K278" s="63"/>
      <c r="L278" s="63"/>
    </row>
    <row r="279" spans="1:12" ht="18" customHeight="1" x14ac:dyDescent="0.2">
      <c r="A279" s="91">
        <v>49000</v>
      </c>
      <c r="B279" s="47" t="s">
        <v>453</v>
      </c>
      <c r="C279" s="48">
        <f xml:space="preserve"> ( C55 + C64*(1 - C73)*'Stability Constants'!$C$16*('Supersonic Stability'!$C$4/'Initial Estimates'!$C$5))*('Stability Constants'!$C$8/'Initial Estimates'!$C$10) - C64*(1 -C73)*'Stability Constants'!$C$16*'Supersonic Stability'!$C$3 + 2*('Stability Constants'!$C$4-'Stability Constants'!$C$3)*'Stability Constants'!$C$14/('Initial Estimates'!$C$10*'Initial Estimates'!$C$5) + 2*'Stability Constants'!$C$11*('Stability Constants'!$C$6-'Stability Constants'!$C$5)*'Stability Constants'!$C$15/('Initial Estimates'!$C$10*'Initial Estimates'!$C$5)</f>
        <v>-0.94765037584196044</v>
      </c>
      <c r="D279" s="63"/>
      <c r="E279" s="63"/>
      <c r="F279" s="63"/>
      <c r="H279" s="63"/>
      <c r="I279" s="63"/>
      <c r="J279" s="63"/>
      <c r="K279" s="63"/>
      <c r="L279" s="63"/>
    </row>
    <row r="280" spans="1:12" ht="18" customHeight="1" x14ac:dyDescent="0.2">
      <c r="A280" s="63" t="s">
        <v>562</v>
      </c>
      <c r="B280" s="47" t="s">
        <v>446</v>
      </c>
      <c r="C280" s="48">
        <f>(C95 + C104* 'Stability Constants'!$C$16*'Supersonic Stability'!$C$4/'Initial Estimates'!$C$5)*'Stability Constants'!$C$8/'Initial Estimates'!$C$10 - 'Supersonic Stability'!C104*'Stability Constants'!$C$16*'Supersonic Stability'!$C$4/'Initial Estimates'!$C$5*'Stability Constants'!$C$10/'Initial Estimates'!$C$10+'Supersonic Stability'!$C$5+('Supersonic Stability'!C158+'Stability Constants'!$C$11*'Supersonic Stability'!C167)/('Stability Constants'!$C$13*'Initial Estimates'!$C$5*'Initial Estimates'!$C$10)</f>
        <v>-3.6949220937869807E-2</v>
      </c>
      <c r="D280" s="63" t="s">
        <v>125</v>
      </c>
      <c r="E280" s="63" t="s">
        <v>421</v>
      </c>
      <c r="F280" s="63" t="s">
        <v>21</v>
      </c>
      <c r="G280" s="29" t="s">
        <v>458</v>
      </c>
      <c r="H280" s="105" t="s">
        <v>438</v>
      </c>
      <c r="I280" s="105"/>
      <c r="J280" s="105"/>
      <c r="K280" s="105"/>
      <c r="L280" s="105"/>
    </row>
    <row r="281" spans="1:12" ht="18" customHeight="1" x14ac:dyDescent="0.2">
      <c r="A281" s="91">
        <v>42000</v>
      </c>
      <c r="B281" s="47" t="s">
        <v>446</v>
      </c>
      <c r="C281" s="48">
        <f>(C96 + C105* 'Stability Constants'!$C$16*'Supersonic Stability'!$C$4/'Initial Estimates'!$C$5)*'Stability Constants'!$C$8/'Initial Estimates'!$C$10 - 'Supersonic Stability'!C105*'Stability Constants'!$C$16*'Supersonic Stability'!$C$4/'Initial Estimates'!$C$5*'Stability Constants'!$C$10/'Initial Estimates'!$C$10+'Supersonic Stability'!$C$5+('Supersonic Stability'!C159+'Stability Constants'!$C$11*'Supersonic Stability'!C168)/('Stability Constants'!$C$13*'Initial Estimates'!$C$5*'Initial Estimates'!$C$10)</f>
        <v>-3.7777112392367987E-2</v>
      </c>
      <c r="D281" s="63"/>
      <c r="E281" s="63"/>
      <c r="F281" s="63"/>
      <c r="H281" s="63"/>
      <c r="I281" s="63"/>
      <c r="J281" s="63"/>
      <c r="K281" s="63"/>
      <c r="L281" s="63"/>
    </row>
    <row r="282" spans="1:12" ht="18" customHeight="1" x14ac:dyDescent="0.2">
      <c r="A282" s="91">
        <v>43000</v>
      </c>
      <c r="B282" s="47" t="s">
        <v>446</v>
      </c>
      <c r="C282" s="48">
        <f>(C97 + C106* 'Stability Constants'!$C$16*'Supersonic Stability'!$C$4/'Initial Estimates'!$C$5)*'Stability Constants'!$C$8/'Initial Estimates'!$C$10 - 'Supersonic Stability'!C106*'Stability Constants'!$C$16*'Supersonic Stability'!$C$4/'Initial Estimates'!$C$5*'Stability Constants'!$C$10/'Initial Estimates'!$C$10+'Supersonic Stability'!$C$5+('Supersonic Stability'!C160+'Stability Constants'!$C$11*'Supersonic Stability'!C169)/('Stability Constants'!$C$13*'Initial Estimates'!$C$5*'Initial Estimates'!$C$10)</f>
        <v>-3.864296229430926E-2</v>
      </c>
      <c r="D282" s="63"/>
      <c r="E282" s="63"/>
      <c r="F282" s="63"/>
      <c r="H282" s="63"/>
      <c r="I282" s="63"/>
      <c r="J282" s="63"/>
      <c r="K282" s="63"/>
      <c r="L282" s="63"/>
    </row>
    <row r="283" spans="1:12" ht="18" customHeight="1" x14ac:dyDescent="0.2">
      <c r="A283" s="91">
        <v>44000</v>
      </c>
      <c r="B283" s="47" t="s">
        <v>446</v>
      </c>
      <c r="C283" s="48">
        <f>(C98 + C107* 'Stability Constants'!$C$16*'Supersonic Stability'!$C$4/'Initial Estimates'!$C$5)*'Stability Constants'!$C$8/'Initial Estimates'!$C$10 - 'Supersonic Stability'!C107*'Stability Constants'!$C$16*'Supersonic Stability'!$C$4/'Initial Estimates'!$C$5*'Stability Constants'!$C$10/'Initial Estimates'!$C$10+'Supersonic Stability'!$C$5+('Supersonic Stability'!C161+'Stability Constants'!$C$11*'Supersonic Stability'!C170)/('Stability Constants'!$C$13*'Initial Estimates'!$C$5*'Initial Estimates'!$C$10)</f>
        <v>-3.9553680165396447E-2</v>
      </c>
      <c r="D283" s="63"/>
      <c r="E283" s="63"/>
      <c r="F283" s="63"/>
      <c r="H283" s="63"/>
      <c r="I283" s="63"/>
      <c r="J283" s="63"/>
      <c r="K283" s="63"/>
      <c r="L283" s="63"/>
    </row>
    <row r="284" spans="1:12" ht="18" customHeight="1" x14ac:dyDescent="0.2">
      <c r="A284" s="91">
        <v>45000</v>
      </c>
      <c r="B284" s="47" t="s">
        <v>446</v>
      </c>
      <c r="C284" s="48">
        <f>(C99 + C108* 'Stability Constants'!$C$16*'Supersonic Stability'!$C$4/'Initial Estimates'!$C$5)*'Stability Constants'!$C$8/'Initial Estimates'!$C$10 - 'Supersonic Stability'!C108*'Stability Constants'!$C$16*'Supersonic Stability'!$C$4/'Initial Estimates'!$C$5*'Stability Constants'!$C$10/'Initial Estimates'!$C$10+'Supersonic Stability'!$C$5+('Supersonic Stability'!C162+'Stability Constants'!$C$11*'Supersonic Stability'!C171)/('Stability Constants'!$C$13*'Initial Estimates'!$C$5*'Initial Estimates'!$C$10)</f>
        <v>-4.0505277430359393E-2</v>
      </c>
      <c r="D284" s="63"/>
      <c r="E284" s="63"/>
      <c r="F284" s="63"/>
      <c r="H284" s="63"/>
      <c r="I284" s="63"/>
      <c r="J284" s="63"/>
      <c r="K284" s="63"/>
      <c r="L284" s="63"/>
    </row>
    <row r="285" spans="1:12" ht="18" customHeight="1" x14ac:dyDescent="0.2">
      <c r="A285" s="91">
        <v>46000</v>
      </c>
      <c r="B285" s="47" t="s">
        <v>446</v>
      </c>
      <c r="C285" s="48">
        <f>(C100 + C109* 'Stability Constants'!$C$16*'Supersonic Stability'!$C$4/'Initial Estimates'!$C$5)*'Stability Constants'!$C$8/'Initial Estimates'!$C$10 - 'Supersonic Stability'!C109*'Stability Constants'!$C$16*'Supersonic Stability'!$C$4/'Initial Estimates'!$C$5*'Stability Constants'!$C$10/'Initial Estimates'!$C$10+'Supersonic Stability'!$C$5+('Supersonic Stability'!C163+'Stability Constants'!$C$11*'Supersonic Stability'!C172)/('Stability Constants'!$C$13*'Initial Estimates'!$C$5*'Initial Estimates'!$C$10)</f>
        <v>-4.1505986027267724E-2</v>
      </c>
      <c r="D285" s="63"/>
      <c r="E285" s="63"/>
      <c r="F285" s="63"/>
      <c r="H285" s="63"/>
      <c r="I285" s="63"/>
      <c r="J285" s="63"/>
      <c r="K285" s="63"/>
      <c r="L285" s="63"/>
    </row>
    <row r="286" spans="1:12" ht="18" customHeight="1" x14ac:dyDescent="0.2">
      <c r="A286" s="91">
        <v>47000</v>
      </c>
      <c r="B286" s="47" t="s">
        <v>446</v>
      </c>
      <c r="C286" s="48">
        <f>(C101 + C110* 'Stability Constants'!$C$16*'Supersonic Stability'!$C$4/'Initial Estimates'!$C$5)*'Stability Constants'!$C$8/'Initial Estimates'!$C$10 - 'Supersonic Stability'!C110*'Stability Constants'!$C$16*'Supersonic Stability'!$C$4/'Initial Estimates'!$C$5*'Stability Constants'!$C$10/'Initial Estimates'!$C$10+'Supersonic Stability'!$C$5+('Supersonic Stability'!C164+'Stability Constants'!$C$11*'Supersonic Stability'!C173)/('Stability Constants'!$C$13*'Initial Estimates'!$C$5*'Initial Estimates'!$C$10)</f>
        <v>-4.2556235112320769E-2</v>
      </c>
      <c r="D286" s="63"/>
      <c r="E286" s="63"/>
      <c r="F286" s="63"/>
      <c r="H286" s="63"/>
      <c r="I286" s="63"/>
      <c r="J286" s="63"/>
      <c r="K286" s="63"/>
      <c r="L286" s="63"/>
    </row>
    <row r="287" spans="1:12" ht="18" customHeight="1" x14ac:dyDescent="0.2">
      <c r="A287" s="91">
        <v>48000</v>
      </c>
      <c r="B287" s="47" t="s">
        <v>446</v>
      </c>
      <c r="C287" s="48">
        <f>(C102 + C111* 'Stability Constants'!$C$16*'Supersonic Stability'!$C$4/'Initial Estimates'!$C$5)*'Stability Constants'!$C$8/'Initial Estimates'!$C$10 - 'Supersonic Stability'!C111*'Stability Constants'!$C$16*'Supersonic Stability'!$C$4/'Initial Estimates'!$C$5*'Stability Constants'!$C$10/'Initial Estimates'!$C$10+'Supersonic Stability'!$C$5+('Supersonic Stability'!C165+'Stability Constants'!$C$11*'Supersonic Stability'!C174)/('Stability Constants'!$C$13*'Initial Estimates'!$C$5*'Initial Estimates'!$C$10)</f>
        <v>-4.3655802101029602E-2</v>
      </c>
      <c r="D287" s="63"/>
      <c r="E287" s="63"/>
      <c r="F287" s="63"/>
      <c r="H287" s="63"/>
      <c r="I287" s="63"/>
      <c r="J287" s="63"/>
      <c r="K287" s="63"/>
      <c r="L287" s="63"/>
    </row>
    <row r="288" spans="1:12" ht="18" customHeight="1" x14ac:dyDescent="0.2">
      <c r="A288" s="91">
        <v>49000</v>
      </c>
      <c r="B288" s="47" t="s">
        <v>446</v>
      </c>
      <c r="C288" s="48">
        <f>(C103 + C112* 'Stability Constants'!$C$16*'Supersonic Stability'!$C$4/'Initial Estimates'!$C$5)*'Stability Constants'!$C$8/'Initial Estimates'!$C$10 - 'Supersonic Stability'!C112*'Stability Constants'!$C$16*'Supersonic Stability'!$C$4/'Initial Estimates'!$C$5*'Stability Constants'!$C$10/'Initial Estimates'!$C$10+'Supersonic Stability'!$C$5+('Supersonic Stability'!C166+'Stability Constants'!$C$11*'Supersonic Stability'!C175)/('Stability Constants'!$C$13*'Initial Estimates'!$C$5*'Initial Estimates'!$C$10)</f>
        <v>-4.4816592994719948E-2</v>
      </c>
      <c r="D288" s="63"/>
      <c r="E288" s="63"/>
      <c r="F288" s="63"/>
      <c r="H288" s="63"/>
      <c r="I288" s="63"/>
      <c r="J288" s="63"/>
      <c r="K288" s="63"/>
      <c r="L288" s="63"/>
    </row>
    <row r="289" spans="1:12" ht="18" customHeight="1" x14ac:dyDescent="0.2">
      <c r="A289" s="63" t="s">
        <v>507</v>
      </c>
      <c r="B289" s="47" t="s">
        <v>453</v>
      </c>
      <c r="C289" s="48">
        <f xml:space="preserve"> ( C131 + C140*(1 - C149)*'Stability Constants'!$C$16*('Supersonic Stability'!$C$4/'Initial Estimates'!$C$5))*('Stability Constants'!$C$8/'Initial Estimates'!$C$10) - C140*(1 -C149)*'Stability Constants'!$C$16*'Supersonic Stability'!$C$3 + 2*('Stability Constants'!$C$4-'Stability Constants'!$C$3)*'Stability Constants'!$C$14/('Initial Estimates'!$C$10*'Initial Estimates'!$C$5) + 2*'Stability Constants'!$C$11*('Stability Constants'!$C$6-'Stability Constants'!$C$5)*'Stability Constants'!$C$15/('Initial Estimates'!$C$10*'Initial Estimates'!$C$5)</f>
        <v>-0.74488751526675345</v>
      </c>
      <c r="D289" s="63"/>
      <c r="E289" s="63"/>
      <c r="F289" s="63"/>
      <c r="H289" s="63"/>
      <c r="I289" s="63"/>
      <c r="J289" s="63"/>
      <c r="K289" s="63"/>
      <c r="L289" s="63"/>
    </row>
    <row r="290" spans="1:12" ht="18" customHeight="1" x14ac:dyDescent="0.2">
      <c r="A290" s="91">
        <v>42000</v>
      </c>
      <c r="B290" s="47" t="s">
        <v>453</v>
      </c>
      <c r="C290" s="48">
        <f xml:space="preserve"> ( C132 + C141*(1 - C150)*'Stability Constants'!$C$16*('Supersonic Stability'!$C$4/'Initial Estimates'!$C$5))*('Stability Constants'!$C$8/'Initial Estimates'!$C$10) - C141*(1 -C150)*'Stability Constants'!$C$16*'Supersonic Stability'!$C$3 + 2*('Stability Constants'!$C$4-'Stability Constants'!$C$3)*'Stability Constants'!$C$14/('Initial Estimates'!$C$10*'Initial Estimates'!$C$5) + 2*'Stability Constants'!$C$11*('Stability Constants'!$C$6-'Stability Constants'!$C$5)*'Stability Constants'!$C$15/('Initial Estimates'!$C$10*'Initial Estimates'!$C$5)</f>
        <v>-0.75861581897217867</v>
      </c>
      <c r="D290" s="63"/>
      <c r="E290" s="63"/>
      <c r="F290" s="63"/>
      <c r="H290" s="63"/>
      <c r="I290" s="63"/>
      <c r="J290" s="63"/>
      <c r="K290" s="63"/>
      <c r="L290" s="63"/>
    </row>
    <row r="291" spans="1:12" ht="18" customHeight="1" x14ac:dyDescent="0.2">
      <c r="A291" s="91">
        <v>43000</v>
      </c>
      <c r="B291" s="47" t="s">
        <v>453</v>
      </c>
      <c r="C291" s="48">
        <f xml:space="preserve"> ( C133 + C142*(1 - C151)*'Stability Constants'!$C$16*('Supersonic Stability'!$C$4/'Initial Estimates'!$C$5))*('Stability Constants'!$C$8/'Initial Estimates'!$C$10) - C142*(1 -C151)*'Stability Constants'!$C$16*'Supersonic Stability'!$C$3 + 2*('Stability Constants'!$C$4-'Stability Constants'!$C$3)*'Stability Constants'!$C$14/('Initial Estimates'!$C$10*'Initial Estimates'!$C$5) + 2*'Stability Constants'!$C$11*('Stability Constants'!$C$6-'Stability Constants'!$C$5)*'Stability Constants'!$C$15/('Initial Estimates'!$C$10*'Initial Estimates'!$C$5)</f>
        <v>-0.77166562630544233</v>
      </c>
      <c r="D291" s="63"/>
      <c r="E291" s="63"/>
      <c r="F291" s="63"/>
      <c r="H291" s="63"/>
      <c r="I291" s="63"/>
      <c r="J291" s="63"/>
      <c r="K291" s="63"/>
      <c r="L291" s="63"/>
    </row>
    <row r="292" spans="1:12" ht="18" customHeight="1" x14ac:dyDescent="0.2">
      <c r="A292" s="91">
        <v>44000</v>
      </c>
      <c r="B292" s="47" t="s">
        <v>453</v>
      </c>
      <c r="C292" s="48">
        <f xml:space="preserve"> ( C134 + C143*(1 - C152)*'Stability Constants'!$C$16*('Supersonic Stability'!$C$4/'Initial Estimates'!$C$5))*('Stability Constants'!$C$8/'Initial Estimates'!$C$10) - C143*(1 -C152)*'Stability Constants'!$C$16*'Supersonic Stability'!$C$3 + 2*('Stability Constants'!$C$4-'Stability Constants'!$C$3)*'Stability Constants'!$C$14/('Initial Estimates'!$C$10*'Initial Estimates'!$C$5) + 2*'Stability Constants'!$C$11*('Stability Constants'!$C$6-'Stability Constants'!$C$5)*'Stability Constants'!$C$15/('Initial Estimates'!$C$10*'Initial Estimates'!$C$5)</f>
        <v>-0.78414137706530596</v>
      </c>
      <c r="D292" s="63"/>
      <c r="E292" s="63"/>
      <c r="F292" s="63"/>
      <c r="H292" s="63"/>
      <c r="I292" s="63"/>
      <c r="J292" s="63"/>
      <c r="K292" s="63"/>
      <c r="L292" s="63"/>
    </row>
    <row r="293" spans="1:12" ht="18" customHeight="1" x14ac:dyDescent="0.2">
      <c r="A293" s="91">
        <v>45000</v>
      </c>
      <c r="B293" s="47" t="s">
        <v>453</v>
      </c>
      <c r="C293" s="48">
        <f xml:space="preserve"> ( C135 + C144*(1 - C153)*'Stability Constants'!$C$16*('Supersonic Stability'!$C$4/'Initial Estimates'!$C$5))*('Stability Constants'!$C$8/'Initial Estimates'!$C$10) - C144*(1 -C153)*'Stability Constants'!$C$16*'Supersonic Stability'!$C$3 + 2*('Stability Constants'!$C$4-'Stability Constants'!$C$3)*'Stability Constants'!$C$14/('Initial Estimates'!$C$10*'Initial Estimates'!$C$5) + 2*'Stability Constants'!$C$11*('Stability Constants'!$C$6-'Stability Constants'!$C$5)*'Stability Constants'!$C$15/('Initial Estimates'!$C$10*'Initial Estimates'!$C$5)</f>
        <v>-0.79599030724915132</v>
      </c>
      <c r="D293" s="63"/>
      <c r="E293" s="63"/>
      <c r="F293" s="63"/>
      <c r="H293" s="63"/>
      <c r="I293" s="63"/>
      <c r="J293" s="63"/>
      <c r="K293" s="63"/>
      <c r="L293" s="63"/>
    </row>
    <row r="294" spans="1:12" ht="18" customHeight="1" x14ac:dyDescent="0.2">
      <c r="A294" s="91">
        <v>46000</v>
      </c>
      <c r="B294" s="47" t="s">
        <v>453</v>
      </c>
      <c r="C294" s="48">
        <f xml:space="preserve"> ( C136 + C145*(1 - C154)*'Stability Constants'!$C$16*('Supersonic Stability'!$C$4/'Initial Estimates'!$C$5))*('Stability Constants'!$C$8/'Initial Estimates'!$C$10) - C145*(1 -C154)*'Stability Constants'!$C$16*'Supersonic Stability'!$C$3 + 2*('Stability Constants'!$C$4-'Stability Constants'!$C$3)*'Stability Constants'!$C$14/('Initial Estimates'!$C$10*'Initial Estimates'!$C$5) + 2*'Stability Constants'!$C$11*('Stability Constants'!$C$6-'Stability Constants'!$C$5)*'Stability Constants'!$C$15/('Initial Estimates'!$C$10*'Initial Estimates'!$C$5)</f>
        <v>-0.80731695993895214</v>
      </c>
      <c r="D294" s="63"/>
      <c r="E294" s="63"/>
      <c r="F294" s="63"/>
      <c r="H294" s="63"/>
      <c r="I294" s="63"/>
      <c r="J294" s="63"/>
      <c r="K294" s="63"/>
      <c r="L294" s="63"/>
    </row>
    <row r="295" spans="1:12" ht="18" customHeight="1" x14ac:dyDescent="0.2">
      <c r="A295" s="91">
        <v>47000</v>
      </c>
      <c r="B295" s="47" t="s">
        <v>453</v>
      </c>
      <c r="C295" s="48">
        <f xml:space="preserve"> ( C137 + C146*(1 - C155)*'Stability Constants'!$C$16*('Supersonic Stability'!$C$4/'Initial Estimates'!$C$5))*('Stability Constants'!$C$8/'Initial Estimates'!$C$10) - C146*(1 -C155)*'Stability Constants'!$C$16*'Supersonic Stability'!$C$3 + 2*('Stability Constants'!$C$4-'Stability Constants'!$C$3)*'Stability Constants'!$C$14/('Initial Estimates'!$C$10*'Initial Estimates'!$C$5) + 2*'Stability Constants'!$C$11*('Stability Constants'!$C$6-'Stability Constants'!$C$5)*'Stability Constants'!$C$15/('Initial Estimates'!$C$10*'Initial Estimates'!$C$5)</f>
        <v>-0.81812106244522276</v>
      </c>
      <c r="D295" s="63"/>
      <c r="E295" s="63"/>
      <c r="F295" s="63"/>
      <c r="H295" s="63"/>
      <c r="I295" s="63"/>
      <c r="J295" s="63"/>
      <c r="K295" s="63"/>
      <c r="L295" s="63"/>
    </row>
    <row r="296" spans="1:12" ht="18" customHeight="1" x14ac:dyDescent="0.2">
      <c r="A296" s="91">
        <v>48000</v>
      </c>
      <c r="B296" s="47" t="s">
        <v>453</v>
      </c>
      <c r="C296" s="48">
        <f xml:space="preserve"> ( C138 + C147*(1 - C156)*'Stability Constants'!$C$16*('Supersonic Stability'!$C$4/'Initial Estimates'!$C$5))*('Stability Constants'!$C$8/'Initial Estimates'!$C$10) - C147*(1 -C156)*'Stability Constants'!$C$16*'Supersonic Stability'!$C$3 + 2*('Stability Constants'!$C$4-'Stability Constants'!$C$3)*'Stability Constants'!$C$14/('Initial Estimates'!$C$10*'Initial Estimates'!$C$5) + 2*'Stability Constants'!$C$11*('Stability Constants'!$C$6-'Stability Constants'!$C$5)*'Stability Constants'!$C$15/('Initial Estimates'!$C$10*'Initial Estimates'!$C$5)</f>
        <v>-0.8284023546201188</v>
      </c>
      <c r="D296" s="63"/>
      <c r="E296" s="63"/>
      <c r="F296" s="63"/>
      <c r="H296" s="63"/>
      <c r="I296" s="63"/>
      <c r="J296" s="63"/>
      <c r="K296" s="63"/>
      <c r="L296" s="63"/>
    </row>
    <row r="297" spans="1:12" ht="18" customHeight="1" x14ac:dyDescent="0.2">
      <c r="A297" s="91">
        <v>49000</v>
      </c>
      <c r="B297" s="47" t="s">
        <v>453</v>
      </c>
      <c r="C297" s="48">
        <f xml:space="preserve"> ( C139 + C148*(1 - C157)*'Stability Constants'!$C$16*('Supersonic Stability'!$C$4/'Initial Estimates'!$C$5))*('Stability Constants'!$C$8/'Initial Estimates'!$C$10) - C148*(1 -C157)*'Stability Constants'!$C$16*'Supersonic Stability'!$C$3 + 2*('Stability Constants'!$C$4-'Stability Constants'!$C$3)*'Stability Constants'!$C$14/('Initial Estimates'!$C$10*'Initial Estimates'!$C$5) + 2*'Stability Constants'!$C$11*('Stability Constants'!$C$6-'Stability Constants'!$C$5)*'Stability Constants'!$C$15/('Initial Estimates'!$C$10*'Initial Estimates'!$C$5)</f>
        <v>-0.83826552404629473</v>
      </c>
      <c r="D297" s="63"/>
      <c r="E297" s="63"/>
      <c r="F297" s="63"/>
      <c r="H297" s="63"/>
      <c r="I297" s="63"/>
      <c r="J297" s="63"/>
      <c r="K297" s="63"/>
      <c r="L297" s="63"/>
    </row>
    <row r="298" spans="1:12" ht="18" customHeight="1" x14ac:dyDescent="0.2">
      <c r="A298" s="63" t="s">
        <v>565</v>
      </c>
      <c r="B298" s="47" t="s">
        <v>446</v>
      </c>
      <c r="C298" s="48">
        <f>(C179 + C188* 'Stability Constants'!$C$16*'Supersonic Stability'!$C$4/'Initial Estimates'!$C$5)*'Stability Constants'!$C$8/'Initial Estimates'!$C$10 - 'Supersonic Stability'!C188*'Stability Constants'!$C$16*'Supersonic Stability'!$C$4/'Initial Estimates'!$C$5*'Stability Constants'!$C$10/'Initial Estimates'!$C$10+'Supersonic Stability'!$C$5+('Supersonic Stability'!C242+'Stability Constants'!$C$11*'Supersonic Stability'!C251)/('Stability Constants'!$C$13*'Initial Estimates'!$C$5*'Initial Estimates'!$C$10)</f>
        <v>-3.4043951094569064E-2</v>
      </c>
      <c r="D298" s="63" t="s">
        <v>125</v>
      </c>
      <c r="E298" s="63" t="s">
        <v>421</v>
      </c>
      <c r="F298" s="63" t="s">
        <v>21</v>
      </c>
      <c r="G298" s="29" t="s">
        <v>458</v>
      </c>
      <c r="H298" s="105" t="s">
        <v>438</v>
      </c>
      <c r="I298" s="105"/>
      <c r="J298" s="105"/>
      <c r="K298" s="105"/>
      <c r="L298" s="105"/>
    </row>
    <row r="299" spans="1:12" s="63" customFormat="1" ht="18" customHeight="1" x14ac:dyDescent="0.2">
      <c r="A299" s="91">
        <v>42000</v>
      </c>
      <c r="B299" s="47" t="s">
        <v>446</v>
      </c>
      <c r="C299" s="48">
        <f>(C180 + C189* 'Stability Constants'!$C$16*'Supersonic Stability'!$C$4/'Initial Estimates'!$C$5)*'Stability Constants'!$C$8/'Initial Estimates'!$C$10 - 'Supersonic Stability'!C189*'Stability Constants'!$C$16*'Supersonic Stability'!$C$4/'Initial Estimates'!$C$5*'Stability Constants'!$C$10/'Initial Estimates'!$C$10+'Supersonic Stability'!$C$5+('Supersonic Stability'!C243+'Stability Constants'!$C$11*'Supersonic Stability'!C252)/('Stability Constants'!$C$13*'Initial Estimates'!$C$5*'Initial Estimates'!$C$10)</f>
        <v>-3.4710851700059484E-2</v>
      </c>
      <c r="G299" s="29"/>
    </row>
    <row r="300" spans="1:12" s="63" customFormat="1" ht="18" customHeight="1" x14ac:dyDescent="0.2">
      <c r="A300" s="91">
        <v>43000</v>
      </c>
      <c r="B300" s="47" t="s">
        <v>446</v>
      </c>
      <c r="C300" s="48">
        <f>(C181 + C190* 'Stability Constants'!$C$16*'Supersonic Stability'!$C$4/'Initial Estimates'!$C$5)*'Stability Constants'!$C$8/'Initial Estimates'!$C$10 - 'Supersonic Stability'!C190*'Stability Constants'!$C$16*'Supersonic Stability'!$C$4/'Initial Estimates'!$C$5*'Stability Constants'!$C$10/'Initial Estimates'!$C$10+'Supersonic Stability'!$C$5+('Supersonic Stability'!C244+'Stability Constants'!$C$11*'Supersonic Stability'!C253)/('Stability Constants'!$C$13*'Initial Estimates'!$C$5*'Initial Estimates'!$C$10)</f>
        <v>-3.5408329395633084E-2</v>
      </c>
      <c r="G300" s="29"/>
    </row>
    <row r="301" spans="1:12" s="63" customFormat="1" ht="18" customHeight="1" x14ac:dyDescent="0.2">
      <c r="A301" s="91">
        <v>44000</v>
      </c>
      <c r="B301" s="47" t="s">
        <v>446</v>
      </c>
      <c r="C301" s="48">
        <f>(C182 + C191* 'Stability Constants'!$C$16*'Supersonic Stability'!$C$4/'Initial Estimates'!$C$5)*'Stability Constants'!$C$8/'Initial Estimates'!$C$10 - 'Supersonic Stability'!C191*'Stability Constants'!$C$16*'Supersonic Stability'!$C$4/'Initial Estimates'!$C$5*'Stability Constants'!$C$10/'Initial Estimates'!$C$10+'Supersonic Stability'!$C$5+('Supersonic Stability'!C245+'Stability Constants'!$C$11*'Supersonic Stability'!C254)/('Stability Constants'!$C$13*'Initial Estimates'!$C$5*'Initial Estimates'!$C$10)</f>
        <v>-3.6141950085107587E-2</v>
      </c>
      <c r="G301" s="29"/>
    </row>
    <row r="302" spans="1:12" s="63" customFormat="1" ht="18" customHeight="1" x14ac:dyDescent="0.2">
      <c r="A302" s="91">
        <v>45000</v>
      </c>
      <c r="B302" s="47" t="s">
        <v>446</v>
      </c>
      <c r="C302" s="48">
        <f>(C183 + C192* 'Stability Constants'!$C$16*'Supersonic Stability'!$C$4/'Initial Estimates'!$C$5)*'Stability Constants'!$C$8/'Initial Estimates'!$C$10 - 'Supersonic Stability'!C192*'Stability Constants'!$C$16*'Supersonic Stability'!$C$4/'Initial Estimates'!$C$5*'Stability Constants'!$C$10/'Initial Estimates'!$C$10+'Supersonic Stability'!$C$5+('Supersonic Stability'!C246+'Stability Constants'!$C$11*'Supersonic Stability'!C255)/('Stability Constants'!$C$13*'Initial Estimates'!$C$5*'Initial Estimates'!$C$10)</f>
        <v>-3.6908500807111957E-2</v>
      </c>
      <c r="G302" s="29"/>
    </row>
    <row r="303" spans="1:12" s="63" customFormat="1" ht="18" customHeight="1" x14ac:dyDescent="0.2">
      <c r="A303" s="91">
        <v>46000</v>
      </c>
      <c r="B303" s="47" t="s">
        <v>446</v>
      </c>
      <c r="C303" s="48">
        <f>(C184 + C193* 'Stability Constants'!$C$16*'Supersonic Stability'!$C$4/'Initial Estimates'!$C$5)*'Stability Constants'!$C$8/'Initial Estimates'!$C$10 - 'Supersonic Stability'!C193*'Stability Constants'!$C$16*'Supersonic Stability'!$C$4/'Initial Estimates'!$C$5*'Stability Constants'!$C$10/'Initial Estimates'!$C$10+'Supersonic Stability'!$C$5+('Supersonic Stability'!C247+'Stability Constants'!$C$11*'Supersonic Stability'!C256)/('Stability Constants'!$C$13*'Initial Estimates'!$C$5*'Initial Estimates'!$C$10)</f>
        <v>-3.7714612726218746E-2</v>
      </c>
      <c r="G303" s="29"/>
    </row>
    <row r="304" spans="1:12" s="63" customFormat="1" ht="18" customHeight="1" x14ac:dyDescent="0.2">
      <c r="A304" s="91">
        <v>47000</v>
      </c>
      <c r="B304" s="47" t="s">
        <v>446</v>
      </c>
      <c r="C304" s="48">
        <f>(C185 + C194* 'Stability Constants'!$C$16*'Supersonic Stability'!$C$4/'Initial Estimates'!$C$5)*'Stability Constants'!$C$8/'Initial Estimates'!$C$10 - 'Supersonic Stability'!C194*'Stability Constants'!$C$16*'Supersonic Stability'!$C$4/'Initial Estimates'!$C$5*'Stability Constants'!$C$10/'Initial Estimates'!$C$10+'Supersonic Stability'!$C$5+('Supersonic Stability'!C248+'Stability Constants'!$C$11*'Supersonic Stability'!C257)/('Stability Constants'!$C$13*'Initial Estimates'!$C$5*'Initial Estimates'!$C$10)</f>
        <v>-3.8560631545391369E-2</v>
      </c>
      <c r="G304" s="29"/>
    </row>
    <row r="305" spans="1:15" s="63" customFormat="1" ht="18" customHeight="1" x14ac:dyDescent="0.2">
      <c r="A305" s="91">
        <v>48000</v>
      </c>
      <c r="B305" s="47" t="s">
        <v>446</v>
      </c>
      <c r="C305" s="48">
        <f>(C186 + C195* 'Stability Constants'!$C$16*'Supersonic Stability'!$C$4/'Initial Estimates'!$C$5)*'Stability Constants'!$C$8/'Initial Estimates'!$C$10 - 'Supersonic Stability'!C195*'Stability Constants'!$C$16*'Supersonic Stability'!$C$4/'Initial Estimates'!$C$5*'Stability Constants'!$C$10/'Initial Estimates'!$C$10+'Supersonic Stability'!$C$5+('Supersonic Stability'!C249+'Stability Constants'!$C$11*'Supersonic Stability'!C258)/('Stability Constants'!$C$13*'Initial Estimates'!$C$5*'Initial Estimates'!$C$10)</f>
        <v>-3.9446377963672341E-2</v>
      </c>
      <c r="G305" s="29"/>
    </row>
    <row r="306" spans="1:15" s="63" customFormat="1" ht="18" customHeight="1" x14ac:dyDescent="0.2">
      <c r="A306" s="91">
        <v>49000</v>
      </c>
      <c r="B306" s="47" t="s">
        <v>446</v>
      </c>
      <c r="C306" s="48">
        <f>(C187 + C196* 'Stability Constants'!$C$16*'Supersonic Stability'!$C$4/'Initial Estimates'!$C$5)*'Stability Constants'!$C$8/'Initial Estimates'!$C$10 - 'Supersonic Stability'!C196*'Stability Constants'!$C$16*'Supersonic Stability'!$C$4/'Initial Estimates'!$C$5*'Stability Constants'!$C$10/'Initial Estimates'!$C$10+'Supersonic Stability'!$C$5+('Supersonic Stability'!C250+'Stability Constants'!$C$11*'Supersonic Stability'!C259)/('Stability Constants'!$C$13*'Initial Estimates'!$C$5*'Initial Estimates'!$C$10)</f>
        <v>-4.03814427546468E-2</v>
      </c>
      <c r="G306" s="29"/>
    </row>
    <row r="307" spans="1:15" s="63" customFormat="1" ht="18" customHeight="1" x14ac:dyDescent="0.2">
      <c r="A307" s="63" t="s">
        <v>505</v>
      </c>
      <c r="B307" s="47" t="s">
        <v>453</v>
      </c>
      <c r="C307" s="48">
        <f xml:space="preserve"> ( C131 + C140*(1 - C149)*'Stability Constants'!$C$16*('Supersonic Stability'!$C$4/'Initial Estimates'!$C$5))*('Stability Constants'!$C$8/'Initial Estimates'!$C$10) - C140*(1 -C149)*'Stability Constants'!$C$16*'Supersonic Stability'!$C$3 + 2*('Stability Constants'!$C$4-'Stability Constants'!$C$3)*'Stability Constants'!$C$14/('Initial Estimates'!$C$10*'Initial Estimates'!$C$5) + 2*'Stability Constants'!$C$11*('Stability Constants'!$C$6-'Stability Constants'!$C$5)*'Stability Constants'!$C$15/('Initial Estimates'!$C$10*'Initial Estimates'!$C$5)</f>
        <v>-0.74488751526675345</v>
      </c>
      <c r="G307" s="29"/>
      <c r="I307"/>
      <c r="J307"/>
      <c r="K307"/>
      <c r="L307"/>
      <c r="M307"/>
      <c r="N307"/>
      <c r="O307"/>
    </row>
    <row r="308" spans="1:15" s="63" customFormat="1" ht="18" customHeight="1" x14ac:dyDescent="0.2">
      <c r="A308" s="91">
        <v>42000</v>
      </c>
      <c r="B308" s="47" t="s">
        <v>453</v>
      </c>
      <c r="C308" s="48">
        <f xml:space="preserve"> ( C132 + C141*(1 - C150)*'Stability Constants'!$C$16*('Supersonic Stability'!$C$4/'Initial Estimates'!$C$5))*('Stability Constants'!$C$8/'Initial Estimates'!$C$10) - C141*(1 -C150)*'Stability Constants'!$C$16*'Supersonic Stability'!$C$3 + 2*('Stability Constants'!$C$4-'Stability Constants'!$C$3)*'Stability Constants'!$C$14/('Initial Estimates'!$C$10*'Initial Estimates'!$C$5) + 2*'Stability Constants'!$C$11*('Stability Constants'!$C$6-'Stability Constants'!$C$5)*'Stability Constants'!$C$15/('Initial Estimates'!$C$10*'Initial Estimates'!$C$5)</f>
        <v>-0.75861581897217867</v>
      </c>
      <c r="G308" s="29"/>
      <c r="I308"/>
      <c r="J308"/>
      <c r="K308"/>
      <c r="L308"/>
      <c r="M308"/>
      <c r="N308"/>
      <c r="O308"/>
    </row>
    <row r="309" spans="1:15" s="63" customFormat="1" ht="18" customHeight="1" x14ac:dyDescent="0.2">
      <c r="A309" s="91">
        <v>43000</v>
      </c>
      <c r="B309" s="47" t="s">
        <v>453</v>
      </c>
      <c r="C309" s="48">
        <f xml:space="preserve"> ( C133 + C142*(1 - C151)*'Stability Constants'!$C$16*('Supersonic Stability'!$C$4/'Initial Estimates'!$C$5))*('Stability Constants'!$C$8/'Initial Estimates'!$C$10) - C142*(1 -C151)*'Stability Constants'!$C$16*'Supersonic Stability'!$C$3 + 2*('Stability Constants'!$C$4-'Stability Constants'!$C$3)*'Stability Constants'!$C$14/('Initial Estimates'!$C$10*'Initial Estimates'!$C$5) + 2*'Stability Constants'!$C$11*('Stability Constants'!$C$6-'Stability Constants'!$C$5)*'Stability Constants'!$C$15/('Initial Estimates'!$C$10*'Initial Estimates'!$C$5)</f>
        <v>-0.77166562630544233</v>
      </c>
      <c r="G309" s="29"/>
      <c r="I309"/>
      <c r="J309"/>
      <c r="K309"/>
      <c r="L309"/>
      <c r="M309"/>
      <c r="N309"/>
      <c r="O309"/>
    </row>
    <row r="310" spans="1:15" s="63" customFormat="1" ht="18" customHeight="1" x14ac:dyDescent="0.2">
      <c r="A310" s="91">
        <v>44000</v>
      </c>
      <c r="B310" s="47" t="s">
        <v>453</v>
      </c>
      <c r="C310" s="48">
        <f xml:space="preserve"> ( C134 + C143*(1 - C152)*'Stability Constants'!$C$16*('Supersonic Stability'!$C$4/'Initial Estimates'!$C$5))*('Stability Constants'!$C$8/'Initial Estimates'!$C$10) - C143*(1 -C152)*'Stability Constants'!$C$16*'Supersonic Stability'!$C$3 + 2*('Stability Constants'!$C$4-'Stability Constants'!$C$3)*'Stability Constants'!$C$14/('Initial Estimates'!$C$10*'Initial Estimates'!$C$5) + 2*'Stability Constants'!$C$11*('Stability Constants'!$C$6-'Stability Constants'!$C$5)*'Stability Constants'!$C$15/('Initial Estimates'!$C$10*'Initial Estimates'!$C$5)</f>
        <v>-0.78414137706530596</v>
      </c>
      <c r="G310" s="29"/>
      <c r="I310"/>
      <c r="J310"/>
      <c r="K310"/>
      <c r="L310"/>
      <c r="M310"/>
      <c r="N310"/>
      <c r="O310"/>
    </row>
    <row r="311" spans="1:15" s="63" customFormat="1" ht="18" customHeight="1" x14ac:dyDescent="0.2">
      <c r="A311" s="91">
        <v>45000</v>
      </c>
      <c r="B311" s="47" t="s">
        <v>453</v>
      </c>
      <c r="C311" s="48">
        <f xml:space="preserve"> ( C135 + C144*(1 - C153)*'Stability Constants'!$C$16*('Supersonic Stability'!$C$4/'Initial Estimates'!$C$5))*('Stability Constants'!$C$8/'Initial Estimates'!$C$10) - C144*(1 -C153)*'Stability Constants'!$C$16*'Supersonic Stability'!$C$3 + 2*('Stability Constants'!$C$4-'Stability Constants'!$C$3)*'Stability Constants'!$C$14/('Initial Estimates'!$C$10*'Initial Estimates'!$C$5) + 2*'Stability Constants'!$C$11*('Stability Constants'!$C$6-'Stability Constants'!$C$5)*'Stability Constants'!$C$15/('Initial Estimates'!$C$10*'Initial Estimates'!$C$5)</f>
        <v>-0.79599030724915132</v>
      </c>
      <c r="G311" s="29"/>
      <c r="I311"/>
      <c r="J311"/>
      <c r="K311"/>
      <c r="L311"/>
      <c r="M311"/>
      <c r="N311"/>
      <c r="O311"/>
    </row>
    <row r="312" spans="1:15" s="63" customFormat="1" ht="18" customHeight="1" x14ac:dyDescent="0.2">
      <c r="A312" s="91">
        <v>46000</v>
      </c>
      <c r="B312" s="47" t="s">
        <v>453</v>
      </c>
      <c r="C312" s="48">
        <f xml:space="preserve"> ( C136 + C145*(1 - C154)*'Stability Constants'!$C$16*('Supersonic Stability'!$C$4/'Initial Estimates'!$C$5))*('Stability Constants'!$C$8/'Initial Estimates'!$C$10) - C145*(1 -C154)*'Stability Constants'!$C$16*'Supersonic Stability'!$C$3 + 2*('Stability Constants'!$C$4-'Stability Constants'!$C$3)*'Stability Constants'!$C$14/('Initial Estimates'!$C$10*'Initial Estimates'!$C$5) + 2*'Stability Constants'!$C$11*('Stability Constants'!$C$6-'Stability Constants'!$C$5)*'Stability Constants'!$C$15/('Initial Estimates'!$C$10*'Initial Estimates'!$C$5)</f>
        <v>-0.80731695993895214</v>
      </c>
      <c r="G312" s="29"/>
      <c r="I312"/>
      <c r="J312"/>
      <c r="K312"/>
      <c r="L312"/>
      <c r="M312"/>
      <c r="N312"/>
      <c r="O312"/>
    </row>
    <row r="313" spans="1:15" s="63" customFormat="1" ht="18" customHeight="1" x14ac:dyDescent="0.2">
      <c r="A313" s="91">
        <v>47000</v>
      </c>
      <c r="B313" s="47" t="s">
        <v>453</v>
      </c>
      <c r="C313" s="48">
        <f xml:space="preserve"> ( C137 + C146*(1 - C155)*'Stability Constants'!$C$16*('Supersonic Stability'!$C$4/'Initial Estimates'!$C$5))*('Stability Constants'!$C$8/'Initial Estimates'!$C$10) - C146*(1 -C155)*'Stability Constants'!$C$16*'Supersonic Stability'!$C$3 + 2*('Stability Constants'!$C$4-'Stability Constants'!$C$3)*'Stability Constants'!$C$14/('Initial Estimates'!$C$10*'Initial Estimates'!$C$5) + 2*'Stability Constants'!$C$11*('Stability Constants'!$C$6-'Stability Constants'!$C$5)*'Stability Constants'!$C$15/('Initial Estimates'!$C$10*'Initial Estimates'!$C$5)</f>
        <v>-0.81812106244522276</v>
      </c>
      <c r="G313" s="29"/>
      <c r="I313"/>
      <c r="J313"/>
      <c r="K313"/>
      <c r="L313"/>
      <c r="M313"/>
      <c r="N313"/>
      <c r="O313"/>
    </row>
    <row r="314" spans="1:15" s="63" customFormat="1" ht="18" customHeight="1" x14ac:dyDescent="0.2">
      <c r="A314" s="91">
        <v>48000</v>
      </c>
      <c r="B314" s="47" t="s">
        <v>453</v>
      </c>
      <c r="C314" s="48">
        <f xml:space="preserve"> ( C138 + C147*(1 - C156)*'Stability Constants'!$C$16*('Supersonic Stability'!$C$4/'Initial Estimates'!$C$5))*('Stability Constants'!$C$8/'Initial Estimates'!$C$10) - C147*(1 -C156)*'Stability Constants'!$C$16*'Supersonic Stability'!$C$3 + 2*('Stability Constants'!$C$4-'Stability Constants'!$C$3)*'Stability Constants'!$C$14/('Initial Estimates'!$C$10*'Initial Estimates'!$C$5) + 2*'Stability Constants'!$C$11*('Stability Constants'!$C$6-'Stability Constants'!$C$5)*'Stability Constants'!$C$15/('Initial Estimates'!$C$10*'Initial Estimates'!$C$5)</f>
        <v>-0.8284023546201188</v>
      </c>
      <c r="G314" s="29"/>
      <c r="I314"/>
      <c r="J314"/>
      <c r="K314"/>
      <c r="L314"/>
      <c r="M314"/>
      <c r="N314"/>
      <c r="O314"/>
    </row>
    <row r="315" spans="1:15" s="63" customFormat="1" ht="18" customHeight="1" x14ac:dyDescent="0.2">
      <c r="A315" s="91">
        <v>49000</v>
      </c>
      <c r="B315" s="47" t="s">
        <v>453</v>
      </c>
      <c r="C315" s="48">
        <f xml:space="preserve"> ( C139 + C148*(1 - C157)*'Stability Constants'!$C$16*('Supersonic Stability'!$C$4/'Initial Estimates'!$C$5))*('Stability Constants'!$C$8/'Initial Estimates'!$C$10) - C148*(1 -C157)*'Stability Constants'!$C$16*'Supersonic Stability'!$C$3 + 2*('Stability Constants'!$C$4-'Stability Constants'!$C$3)*'Stability Constants'!$C$14/('Initial Estimates'!$C$10*'Initial Estimates'!$C$5) + 2*'Stability Constants'!$C$11*('Stability Constants'!$C$6-'Stability Constants'!$C$5)*'Stability Constants'!$C$15/('Initial Estimates'!$C$10*'Initial Estimates'!$C$5)</f>
        <v>-0.83826552404629473</v>
      </c>
      <c r="G315" s="29"/>
      <c r="I315"/>
      <c r="J315"/>
      <c r="K315"/>
      <c r="L315"/>
      <c r="M315"/>
      <c r="N315"/>
      <c r="O315"/>
    </row>
    <row r="316" spans="1:15" ht="18" customHeight="1" x14ac:dyDescent="0.2">
      <c r="A316" s="124"/>
      <c r="B316" s="124"/>
      <c r="C316" s="124"/>
      <c r="D316" s="124"/>
      <c r="E316" s="124"/>
      <c r="F316" s="124"/>
      <c r="G316" s="124"/>
      <c r="H316" s="124"/>
      <c r="I316" s="124"/>
      <c r="J316" s="124"/>
      <c r="K316" s="124"/>
      <c r="L316" s="124"/>
    </row>
    <row r="317" spans="1:15" ht="18" customHeight="1" x14ac:dyDescent="0.2">
      <c r="A317" s="125"/>
      <c r="B317" s="125"/>
      <c r="C317" s="125"/>
      <c r="D317" s="125"/>
      <c r="E317" s="125"/>
      <c r="F317" s="125"/>
      <c r="G317" s="125"/>
      <c r="H317" s="125"/>
      <c r="I317" s="125"/>
      <c r="J317" s="125"/>
      <c r="K317" s="125"/>
      <c r="L317" s="125"/>
    </row>
    <row r="318" spans="1:15" ht="18" customHeight="1" x14ac:dyDescent="0.2">
      <c r="A318" s="113" t="s">
        <v>508</v>
      </c>
      <c r="B318" s="114"/>
      <c r="C318" s="114"/>
      <c r="D318" s="114"/>
      <c r="E318" s="114"/>
      <c r="F318" s="114"/>
      <c r="G318" s="114"/>
      <c r="H318" s="114"/>
      <c r="I318" s="114"/>
      <c r="J318" s="114"/>
      <c r="K318" s="114"/>
      <c r="L318" s="115"/>
    </row>
    <row r="319" spans="1:15" ht="18" customHeight="1" x14ac:dyDescent="0.2">
      <c r="A319" s="23" t="s">
        <v>5</v>
      </c>
      <c r="B319" s="23" t="s">
        <v>96</v>
      </c>
      <c r="C319" s="64" t="s">
        <v>7</v>
      </c>
      <c r="D319" s="64" t="s">
        <v>125</v>
      </c>
      <c r="E319" s="64" t="s">
        <v>8</v>
      </c>
      <c r="F319" s="64" t="s">
        <v>9</v>
      </c>
      <c r="G319" s="31" t="s">
        <v>10</v>
      </c>
      <c r="H319" s="117" t="s">
        <v>11</v>
      </c>
      <c r="I319" s="118"/>
      <c r="J319" s="118"/>
      <c r="K319" s="118"/>
      <c r="L319" s="119"/>
    </row>
    <row r="320" spans="1:15" ht="18" customHeight="1" x14ac:dyDescent="0.2">
      <c r="A320" s="65" t="s">
        <v>410</v>
      </c>
      <c r="B320" s="63" t="s">
        <v>411</v>
      </c>
      <c r="C320" s="13">
        <v>0.5</v>
      </c>
      <c r="D320" s="63" t="s">
        <v>125</v>
      </c>
      <c r="E320" s="63" t="s">
        <v>137</v>
      </c>
      <c r="F320" s="63" t="s">
        <v>14</v>
      </c>
      <c r="G320" s="29" t="s">
        <v>137</v>
      </c>
      <c r="H320" s="127" t="s">
        <v>412</v>
      </c>
      <c r="I320" s="127"/>
      <c r="J320" s="127"/>
      <c r="K320" s="127"/>
      <c r="L320" s="127"/>
    </row>
    <row r="321" spans="1:12" ht="18" customHeight="1" x14ac:dyDescent="0.2">
      <c r="A321" s="65" t="s">
        <v>375</v>
      </c>
      <c r="B321" s="63" t="s">
        <v>376</v>
      </c>
      <c r="C321" s="13">
        <f>'Initial Estimates'!$C$5*'Initial Estimates'!$C$10/'Stability Constants'!$C$9</f>
        <v>1010.3597808100012</v>
      </c>
      <c r="D321" s="63" t="s">
        <v>125</v>
      </c>
      <c r="E321" s="63" t="s">
        <v>222</v>
      </c>
      <c r="F321" s="63" t="s">
        <v>21</v>
      </c>
      <c r="G321" s="29" t="s">
        <v>456</v>
      </c>
      <c r="H321" s="123" t="s">
        <v>382</v>
      </c>
      <c r="I321" s="123"/>
      <c r="J321" s="123"/>
      <c r="K321" s="123"/>
      <c r="L321" s="123"/>
    </row>
    <row r="322" spans="1:12" ht="18" customHeight="1" x14ac:dyDescent="0.2">
      <c r="A322" s="65" t="s">
        <v>353</v>
      </c>
      <c r="B322" s="63" t="s">
        <v>354</v>
      </c>
      <c r="C322" s="13">
        <v>0</v>
      </c>
      <c r="D322" s="63" t="s">
        <v>125</v>
      </c>
      <c r="E322" s="63" t="s">
        <v>137</v>
      </c>
      <c r="F322" s="63" t="s">
        <v>14</v>
      </c>
      <c r="G322" s="29" t="s">
        <v>355</v>
      </c>
      <c r="H322" s="105" t="s">
        <v>413</v>
      </c>
      <c r="I322" s="105"/>
      <c r="J322" s="105"/>
      <c r="K322" s="105"/>
      <c r="L322" s="105"/>
    </row>
    <row r="323" spans="1:12" ht="18" customHeight="1" x14ac:dyDescent="0.2">
      <c r="A323" s="65" t="s">
        <v>339</v>
      </c>
      <c r="B323" s="63" t="s">
        <v>340</v>
      </c>
      <c r="C323" s="13">
        <v>0</v>
      </c>
      <c r="D323" s="13" t="s">
        <v>125</v>
      </c>
      <c r="E323" s="63" t="s">
        <v>137</v>
      </c>
      <c r="F323" s="63" t="s">
        <v>14</v>
      </c>
      <c r="G323" s="29" t="s">
        <v>418</v>
      </c>
      <c r="H323" s="122" t="s">
        <v>341</v>
      </c>
      <c r="I323" s="122"/>
      <c r="J323" s="122"/>
      <c r="K323" s="122"/>
      <c r="L323" s="122"/>
    </row>
    <row r="324" spans="1:12" ht="18" customHeight="1" x14ac:dyDescent="0.2">
      <c r="A324" s="65" t="s">
        <v>414</v>
      </c>
      <c r="B324" s="63" t="s">
        <v>415</v>
      </c>
      <c r="C324" s="13">
        <f>2*C328/(PI()*'Initial Estimates'!C59)*(1+C323)</f>
        <v>3.9088454023369495E-3</v>
      </c>
      <c r="D324" s="63" t="s">
        <v>125</v>
      </c>
      <c r="E324" s="63" t="s">
        <v>137</v>
      </c>
      <c r="F324" s="63" t="s">
        <v>14</v>
      </c>
      <c r="G324" s="29" t="s">
        <v>416</v>
      </c>
      <c r="H324" s="105" t="s">
        <v>417</v>
      </c>
      <c r="I324" s="105"/>
      <c r="J324" s="105"/>
      <c r="K324" s="105"/>
      <c r="L324" s="105"/>
    </row>
    <row r="325" spans="1:12" ht="18" customHeight="1" x14ac:dyDescent="0.2">
      <c r="A325" s="126" t="s">
        <v>501</v>
      </c>
      <c r="B325" s="116"/>
      <c r="C325" s="116"/>
      <c r="D325" s="116"/>
      <c r="E325" s="116"/>
      <c r="F325" s="116"/>
      <c r="G325" s="116"/>
      <c r="H325" s="116"/>
      <c r="I325" s="116"/>
      <c r="J325" s="116"/>
      <c r="K325" s="116"/>
      <c r="L325" s="120"/>
    </row>
    <row r="326" spans="1:12" ht="18" customHeight="1" x14ac:dyDescent="0.2">
      <c r="A326" s="23" t="s">
        <v>5</v>
      </c>
      <c r="B326" s="23" t="s">
        <v>96</v>
      </c>
      <c r="C326" s="64" t="s">
        <v>7</v>
      </c>
      <c r="D326" s="64" t="s">
        <v>125</v>
      </c>
      <c r="E326" s="64" t="s">
        <v>8</v>
      </c>
      <c r="F326" s="64" t="s">
        <v>9</v>
      </c>
      <c r="G326" s="31" t="s">
        <v>10</v>
      </c>
      <c r="H326" s="117" t="s">
        <v>11</v>
      </c>
      <c r="I326" s="118"/>
      <c r="J326" s="118"/>
      <c r="K326" s="118"/>
      <c r="L326" s="119"/>
    </row>
    <row r="327" spans="1:12" ht="18" customHeight="1" x14ac:dyDescent="0.2">
      <c r="A327" s="63" t="s">
        <v>379</v>
      </c>
      <c r="B327" s="63" t="s">
        <v>380</v>
      </c>
      <c r="C327" s="36">
        <v>1.6</v>
      </c>
      <c r="D327" s="63" t="s">
        <v>125</v>
      </c>
      <c r="E327" s="63" t="s">
        <v>137</v>
      </c>
      <c r="F327" s="63" t="s">
        <v>484</v>
      </c>
      <c r="G327" s="29" t="s">
        <v>137</v>
      </c>
      <c r="H327" s="121" t="s">
        <v>309</v>
      </c>
      <c r="I327" s="121"/>
      <c r="J327" s="121"/>
      <c r="K327" s="121"/>
      <c r="L327" s="121"/>
    </row>
    <row r="328" spans="1:12" ht="18" customHeight="1" x14ac:dyDescent="0.2">
      <c r="A328" s="63" t="s">
        <v>405</v>
      </c>
      <c r="B328" s="63" t="s">
        <v>406</v>
      </c>
      <c r="C328" s="36">
        <v>0.1535</v>
      </c>
      <c r="D328" s="63" t="s">
        <v>125</v>
      </c>
      <c r="E328" s="63" t="s">
        <v>137</v>
      </c>
      <c r="F328" s="63" t="s">
        <v>399</v>
      </c>
      <c r="G328" s="29" t="s">
        <v>485</v>
      </c>
      <c r="H328" s="122" t="s">
        <v>486</v>
      </c>
      <c r="I328" s="122"/>
      <c r="J328" s="122"/>
      <c r="K328" s="122"/>
      <c r="L328" s="122"/>
    </row>
    <row r="329" spans="1:12" ht="18" customHeight="1" x14ac:dyDescent="0.2">
      <c r="A329" s="63" t="s">
        <v>447</v>
      </c>
      <c r="B329" s="47" t="s">
        <v>448</v>
      </c>
      <c r="C329" s="48">
        <v>7.4071346879138633E-2</v>
      </c>
      <c r="D329" s="63" t="s">
        <v>125</v>
      </c>
      <c r="E329" s="63" t="s">
        <v>137</v>
      </c>
      <c r="F329" s="63" t="s">
        <v>399</v>
      </c>
      <c r="G329" s="29" t="s">
        <v>137</v>
      </c>
      <c r="H329" s="122" t="s">
        <v>449</v>
      </c>
      <c r="I329" s="122"/>
      <c r="J329" s="122"/>
      <c r="K329" s="122"/>
      <c r="L329" s="122"/>
    </row>
    <row r="330" spans="1:12" ht="18" customHeight="1" x14ac:dyDescent="0.2">
      <c r="A330" s="63" t="s">
        <v>403</v>
      </c>
      <c r="B330" s="63" t="s">
        <v>436</v>
      </c>
      <c r="C330" s="36">
        <f>2.8*PI()/180</f>
        <v>4.8869219055841226E-2</v>
      </c>
      <c r="D330" s="63" t="s">
        <v>125</v>
      </c>
      <c r="E330" s="63" t="s">
        <v>407</v>
      </c>
      <c r="F330" s="63" t="s">
        <v>9</v>
      </c>
      <c r="G330" s="29" t="s">
        <v>137</v>
      </c>
      <c r="H330" s="122" t="s">
        <v>409</v>
      </c>
      <c r="I330" s="122"/>
      <c r="J330" s="122"/>
      <c r="K330" s="122"/>
      <c r="L330" s="122"/>
    </row>
    <row r="331" spans="1:12" ht="18" customHeight="1" x14ac:dyDescent="0.2">
      <c r="A331" s="63" t="s">
        <v>480</v>
      </c>
      <c r="B331" s="47" t="s">
        <v>481</v>
      </c>
      <c r="C331" s="48">
        <f>C329/C333</f>
        <v>2.3581816784350666E-2</v>
      </c>
      <c r="D331" s="63" t="s">
        <v>125</v>
      </c>
      <c r="E331" s="63" t="s">
        <v>407</v>
      </c>
      <c r="F331" s="63" t="s">
        <v>21</v>
      </c>
      <c r="G331" s="29" t="s">
        <v>482</v>
      </c>
      <c r="H331" s="122" t="s">
        <v>483</v>
      </c>
      <c r="I331" s="122"/>
      <c r="J331" s="122"/>
      <c r="K331" s="122"/>
      <c r="L331" s="122"/>
    </row>
    <row r="332" spans="1:12" ht="18" customHeight="1" x14ac:dyDescent="0.2">
      <c r="A332" s="63" t="s">
        <v>419</v>
      </c>
      <c r="B332" s="63" t="s">
        <v>420</v>
      </c>
      <c r="C332" s="36">
        <f>C328/C330</f>
        <v>3.1410364840207632</v>
      </c>
      <c r="D332" s="63" t="s">
        <v>125</v>
      </c>
      <c r="E332" s="63" t="s">
        <v>421</v>
      </c>
      <c r="F332" s="63" t="s">
        <v>21</v>
      </c>
      <c r="G332" s="29" t="s">
        <v>422</v>
      </c>
      <c r="H332" s="105" t="s">
        <v>423</v>
      </c>
      <c r="I332" s="105"/>
      <c r="J332" s="105"/>
      <c r="K332" s="105"/>
      <c r="L332" s="105"/>
    </row>
    <row r="333" spans="1:12" ht="18" customHeight="1" x14ac:dyDescent="0.2">
      <c r="A333" s="63" t="s">
        <v>425</v>
      </c>
      <c r="B333" s="63" t="s">
        <v>426</v>
      </c>
      <c r="C333" s="36">
        <f>C332</f>
        <v>3.1410364840207632</v>
      </c>
      <c r="D333" s="63" t="s">
        <v>125</v>
      </c>
      <c r="E333" s="63" t="s">
        <v>421</v>
      </c>
      <c r="F333" s="63" t="s">
        <v>21</v>
      </c>
      <c r="G333" s="29" t="s">
        <v>427</v>
      </c>
      <c r="H333" s="105" t="s">
        <v>428</v>
      </c>
      <c r="I333" s="105"/>
      <c r="J333" s="105"/>
      <c r="K333" s="105"/>
      <c r="L333" s="105"/>
    </row>
    <row r="334" spans="1:12" ht="18" customHeight="1" x14ac:dyDescent="0.2">
      <c r="A334" s="65" t="s">
        <v>429</v>
      </c>
      <c r="B334" s="63" t="s">
        <v>430</v>
      </c>
      <c r="C334" s="36">
        <f>$C$7/C330</f>
        <v>0.37462939468862283</v>
      </c>
      <c r="D334" s="63" t="s">
        <v>125</v>
      </c>
      <c r="E334" s="63" t="s">
        <v>431</v>
      </c>
      <c r="F334" s="63" t="s">
        <v>21</v>
      </c>
      <c r="G334" s="29" t="s">
        <v>432</v>
      </c>
      <c r="H334" s="105" t="s">
        <v>433</v>
      </c>
      <c r="I334" s="105"/>
      <c r="J334" s="105"/>
      <c r="K334" s="105"/>
      <c r="L334" s="105"/>
    </row>
    <row r="335" spans="1:12" ht="18" customHeight="1" x14ac:dyDescent="0.2">
      <c r="A335" s="63" t="s">
        <v>434</v>
      </c>
      <c r="B335" s="63" t="s">
        <v>435</v>
      </c>
      <c r="C335" s="36">
        <f>2*'Stability Constants'!$C$13*('Stability Constants'!$C$4-'Stability Constants'!$C$3)*'Stability Constants'!$C$14*'Supersonic Stability'!C330</f>
        <v>95710.872751145769</v>
      </c>
      <c r="D335" s="63" t="s">
        <v>125</v>
      </c>
      <c r="E335" s="63" t="s">
        <v>224</v>
      </c>
      <c r="F335" s="63" t="s">
        <v>21</v>
      </c>
      <c r="G335" s="29" t="s">
        <v>437</v>
      </c>
      <c r="H335" s="105" t="s">
        <v>438</v>
      </c>
      <c r="I335" s="105"/>
      <c r="J335" s="105"/>
      <c r="K335" s="105"/>
      <c r="L335" s="105"/>
    </row>
    <row r="336" spans="1:12" ht="18" customHeight="1" x14ac:dyDescent="0.2">
      <c r="A336" s="63" t="s">
        <v>439</v>
      </c>
      <c r="B336" s="63" t="s">
        <v>440</v>
      </c>
      <c r="C336" s="36">
        <f>2*'Stability Constants'!$C$13*('Stability Constants'!$C$6-'Stability Constants'!$C$5)*'Stability Constants'!$C$15*'Supersonic Stability'!C330</f>
        <v>59875.19414031793</v>
      </c>
      <c r="D336" s="63" t="s">
        <v>125</v>
      </c>
      <c r="E336" s="63" t="s">
        <v>224</v>
      </c>
      <c r="F336" s="63" t="s">
        <v>21</v>
      </c>
      <c r="G336" s="29" t="s">
        <v>442</v>
      </c>
      <c r="H336" s="105" t="s">
        <v>438</v>
      </c>
      <c r="I336" s="105"/>
      <c r="J336" s="105"/>
      <c r="K336" s="105"/>
      <c r="L336" s="105"/>
    </row>
    <row r="337" spans="1:12" ht="18" customHeight="1" x14ac:dyDescent="0.2">
      <c r="A337" s="126" t="s">
        <v>503</v>
      </c>
      <c r="B337" s="116"/>
      <c r="C337" s="116"/>
      <c r="D337" s="116"/>
      <c r="E337" s="116"/>
      <c r="F337" s="116"/>
      <c r="G337" s="116"/>
      <c r="H337" s="116"/>
      <c r="I337" s="116"/>
      <c r="J337" s="116"/>
      <c r="K337" s="116"/>
      <c r="L337" s="120"/>
    </row>
    <row r="338" spans="1:12" ht="18" customHeight="1" x14ac:dyDescent="0.2">
      <c r="A338" s="23" t="s">
        <v>5</v>
      </c>
      <c r="B338" s="23" t="s">
        <v>96</v>
      </c>
      <c r="C338" s="64" t="s">
        <v>7</v>
      </c>
      <c r="D338" s="64" t="s">
        <v>125</v>
      </c>
      <c r="E338" s="64" t="s">
        <v>8</v>
      </c>
      <c r="F338" s="64" t="s">
        <v>9</v>
      </c>
      <c r="G338" s="31" t="s">
        <v>10</v>
      </c>
      <c r="H338" s="117" t="s">
        <v>11</v>
      </c>
      <c r="I338" s="118"/>
      <c r="J338" s="118"/>
      <c r="K338" s="118"/>
      <c r="L338" s="119"/>
    </row>
    <row r="339" spans="1:12" ht="18" customHeight="1" x14ac:dyDescent="0.2">
      <c r="A339" s="63" t="s">
        <v>379</v>
      </c>
      <c r="B339" s="63" t="s">
        <v>380</v>
      </c>
      <c r="C339" s="36">
        <v>1.7</v>
      </c>
      <c r="D339" s="63" t="s">
        <v>125</v>
      </c>
      <c r="E339" s="63" t="s">
        <v>137</v>
      </c>
      <c r="F339" s="63" t="s">
        <v>484</v>
      </c>
      <c r="G339" s="29" t="s">
        <v>137</v>
      </c>
      <c r="H339" s="121" t="s">
        <v>309</v>
      </c>
      <c r="I339" s="121"/>
      <c r="J339" s="121"/>
      <c r="K339" s="121"/>
      <c r="L339" s="121"/>
    </row>
    <row r="340" spans="1:12" ht="18" customHeight="1" x14ac:dyDescent="0.2">
      <c r="A340" s="63" t="s">
        <v>405</v>
      </c>
      <c r="B340" s="63" t="s">
        <v>406</v>
      </c>
      <c r="C340" s="36">
        <v>0.13600000000000001</v>
      </c>
      <c r="D340" s="63" t="s">
        <v>125</v>
      </c>
      <c r="E340" s="63" t="s">
        <v>137</v>
      </c>
      <c r="F340" s="63" t="s">
        <v>399</v>
      </c>
      <c r="G340" s="29" t="s">
        <v>485</v>
      </c>
      <c r="H340" s="122" t="s">
        <v>486</v>
      </c>
      <c r="I340" s="122"/>
      <c r="J340" s="122"/>
      <c r="K340" s="122"/>
      <c r="L340" s="122"/>
    </row>
    <row r="341" spans="1:12" ht="18" customHeight="1" x14ac:dyDescent="0.2">
      <c r="A341" s="63" t="s">
        <v>447</v>
      </c>
      <c r="B341" s="47" t="s">
        <v>448</v>
      </c>
      <c r="C341" s="48">
        <v>7.0292854636276464E-2</v>
      </c>
      <c r="D341" s="63" t="s">
        <v>125</v>
      </c>
      <c r="E341" s="63" t="s">
        <v>137</v>
      </c>
      <c r="F341" s="63" t="s">
        <v>399</v>
      </c>
      <c r="G341" s="29" t="s">
        <v>137</v>
      </c>
      <c r="H341" s="122" t="s">
        <v>449</v>
      </c>
      <c r="I341" s="122"/>
      <c r="J341" s="122"/>
      <c r="K341" s="122"/>
      <c r="L341" s="122"/>
    </row>
    <row r="342" spans="1:12" ht="18" customHeight="1" x14ac:dyDescent="0.2">
      <c r="A342" s="63" t="s">
        <v>403</v>
      </c>
      <c r="B342" s="63" t="s">
        <v>436</v>
      </c>
      <c r="C342" s="36">
        <f>2.67*PI()/180</f>
        <v>4.66002910282486E-2</v>
      </c>
      <c r="D342" s="63" t="s">
        <v>125</v>
      </c>
      <c r="E342" s="63" t="s">
        <v>407</v>
      </c>
      <c r="F342" s="63" t="s">
        <v>9</v>
      </c>
      <c r="G342" s="29" t="s">
        <v>495</v>
      </c>
      <c r="H342" s="122" t="s">
        <v>409</v>
      </c>
      <c r="I342" s="122"/>
      <c r="J342" s="122"/>
      <c r="K342" s="122"/>
      <c r="L342" s="122"/>
    </row>
    <row r="343" spans="1:12" ht="18" customHeight="1" x14ac:dyDescent="0.2">
      <c r="A343" s="63" t="s">
        <v>480</v>
      </c>
      <c r="B343" s="47" t="s">
        <v>481</v>
      </c>
      <c r="C343" s="48">
        <f>C341/C345</f>
        <v>2.4085790318065126E-2</v>
      </c>
      <c r="D343" s="63" t="s">
        <v>125</v>
      </c>
      <c r="E343" s="63" t="s">
        <v>407</v>
      </c>
      <c r="F343" s="63" t="s">
        <v>21</v>
      </c>
      <c r="G343" s="29" t="s">
        <v>482</v>
      </c>
      <c r="H343" s="122" t="s">
        <v>483</v>
      </c>
      <c r="I343" s="122"/>
      <c r="J343" s="122"/>
      <c r="K343" s="122"/>
      <c r="L343" s="122"/>
    </row>
    <row r="344" spans="1:12" ht="18" customHeight="1" x14ac:dyDescent="0.2">
      <c r="A344" s="63" t="s">
        <v>419</v>
      </c>
      <c r="B344" s="63" t="s">
        <v>420</v>
      </c>
      <c r="C344" s="36">
        <f>C340/C342</f>
        <v>2.9184367092805976</v>
      </c>
      <c r="D344" s="63" t="s">
        <v>125</v>
      </c>
      <c r="E344" s="63" t="s">
        <v>421</v>
      </c>
      <c r="F344" s="63" t="s">
        <v>21</v>
      </c>
      <c r="G344" s="29" t="s">
        <v>422</v>
      </c>
      <c r="H344" s="105" t="s">
        <v>423</v>
      </c>
      <c r="I344" s="105"/>
      <c r="J344" s="105"/>
      <c r="K344" s="105"/>
      <c r="L344" s="105"/>
    </row>
    <row r="345" spans="1:12" ht="18" customHeight="1" x14ac:dyDescent="0.2">
      <c r="A345" s="63" t="s">
        <v>425</v>
      </c>
      <c r="B345" s="63" t="s">
        <v>426</v>
      </c>
      <c r="C345" s="36">
        <f>C344</f>
        <v>2.9184367092805976</v>
      </c>
      <c r="D345" s="63" t="s">
        <v>125</v>
      </c>
      <c r="E345" s="63" t="s">
        <v>421</v>
      </c>
      <c r="F345" s="63" t="s">
        <v>21</v>
      </c>
      <c r="G345" s="29" t="s">
        <v>427</v>
      </c>
      <c r="H345" s="105" t="s">
        <v>428</v>
      </c>
      <c r="I345" s="105"/>
      <c r="J345" s="105"/>
      <c r="K345" s="105"/>
      <c r="L345" s="105"/>
    </row>
    <row r="346" spans="1:12" ht="18" customHeight="1" x14ac:dyDescent="0.2">
      <c r="A346" s="65" t="s">
        <v>429</v>
      </c>
      <c r="B346" s="63" t="s">
        <v>430</v>
      </c>
      <c r="C346" s="36">
        <f>$C$7/C342</f>
        <v>0.39286977720155203</v>
      </c>
      <c r="D346" s="63" t="s">
        <v>125</v>
      </c>
      <c r="E346" s="63" t="s">
        <v>431</v>
      </c>
      <c r="F346" s="63" t="s">
        <v>21</v>
      </c>
      <c r="G346" s="29" t="s">
        <v>432</v>
      </c>
      <c r="H346" s="105" t="s">
        <v>433</v>
      </c>
      <c r="I346" s="105"/>
      <c r="J346" s="105"/>
      <c r="K346" s="105"/>
      <c r="L346" s="105"/>
    </row>
    <row r="347" spans="1:12" ht="18" customHeight="1" x14ac:dyDescent="0.2">
      <c r="A347" s="49" t="s">
        <v>434</v>
      </c>
      <c r="B347" s="49" t="s">
        <v>435</v>
      </c>
      <c r="C347" s="36">
        <f>2*'Stability Constants'!$C$13*('Stability Constants'!$C$4-'Stability Constants'!$C$3)*'Stability Constants'!$C$14*'Supersonic Stability'!C342</f>
        <v>91267.153659128293</v>
      </c>
      <c r="D347" s="49" t="s">
        <v>125</v>
      </c>
      <c r="E347" s="49" t="s">
        <v>224</v>
      </c>
      <c r="F347" s="49" t="s">
        <v>21</v>
      </c>
      <c r="G347" s="29" t="s">
        <v>437</v>
      </c>
      <c r="H347" s="105" t="s">
        <v>438</v>
      </c>
      <c r="I347" s="105"/>
      <c r="J347" s="105"/>
      <c r="K347" s="105"/>
      <c r="L347" s="105"/>
    </row>
    <row r="348" spans="1:12" ht="18" customHeight="1" x14ac:dyDescent="0.2">
      <c r="A348" s="49" t="s">
        <v>439</v>
      </c>
      <c r="B348" s="49" t="s">
        <v>440</v>
      </c>
      <c r="C348" s="36">
        <f>2*'Stability Constants'!$C$13*('Stability Constants'!$C$6-'Stability Constants'!$C$5)*'Stability Constants'!$C$15*'Supersonic Stability'!C342</f>
        <v>57095.274412374602</v>
      </c>
      <c r="D348" s="49" t="s">
        <v>125</v>
      </c>
      <c r="E348" s="49" t="s">
        <v>224</v>
      </c>
      <c r="F348" s="49" t="s">
        <v>21</v>
      </c>
      <c r="G348" s="29" t="s">
        <v>442</v>
      </c>
      <c r="H348" s="105" t="s">
        <v>438</v>
      </c>
      <c r="I348" s="105"/>
      <c r="J348" s="105"/>
      <c r="K348" s="105"/>
      <c r="L348" s="105"/>
    </row>
    <row r="349" spans="1:12" ht="18" customHeight="1" x14ac:dyDescent="0.2">
      <c r="A349" s="126" t="s">
        <v>502</v>
      </c>
      <c r="B349" s="116"/>
      <c r="C349" s="116"/>
      <c r="D349" s="116"/>
      <c r="E349" s="116"/>
      <c r="F349" s="116"/>
      <c r="G349" s="116"/>
      <c r="H349" s="116"/>
      <c r="I349" s="116"/>
      <c r="J349" s="116"/>
      <c r="K349" s="116"/>
      <c r="L349" s="120"/>
    </row>
    <row r="350" spans="1:12" ht="18" customHeight="1" x14ac:dyDescent="0.2">
      <c r="A350" s="23" t="s">
        <v>5</v>
      </c>
      <c r="B350" s="23" t="s">
        <v>96</v>
      </c>
      <c r="C350" s="50" t="s">
        <v>7</v>
      </c>
      <c r="D350" s="50" t="s">
        <v>125</v>
      </c>
      <c r="E350" s="50" t="s">
        <v>8</v>
      </c>
      <c r="F350" s="50" t="s">
        <v>9</v>
      </c>
      <c r="G350" s="31" t="s">
        <v>10</v>
      </c>
      <c r="H350" s="117" t="s">
        <v>11</v>
      </c>
      <c r="I350" s="118"/>
      <c r="J350" s="118"/>
      <c r="K350" s="118"/>
      <c r="L350" s="119"/>
    </row>
    <row r="351" spans="1:12" ht="18" customHeight="1" x14ac:dyDescent="0.2">
      <c r="A351" s="49" t="s">
        <v>379</v>
      </c>
      <c r="B351" s="49" t="s">
        <v>380</v>
      </c>
      <c r="C351" s="36">
        <v>1.8</v>
      </c>
      <c r="D351" s="49" t="s">
        <v>125</v>
      </c>
      <c r="E351" s="49" t="s">
        <v>137</v>
      </c>
      <c r="F351" s="49" t="s">
        <v>484</v>
      </c>
      <c r="G351" s="29" t="s">
        <v>137</v>
      </c>
      <c r="H351" s="121" t="s">
        <v>309</v>
      </c>
      <c r="I351" s="121"/>
      <c r="J351" s="121"/>
      <c r="K351" s="121"/>
      <c r="L351" s="121"/>
    </row>
    <row r="352" spans="1:12" ht="18" customHeight="1" x14ac:dyDescent="0.2">
      <c r="A352" s="49" t="s">
        <v>405</v>
      </c>
      <c r="B352" s="49" t="s">
        <v>406</v>
      </c>
      <c r="C352" s="36">
        <v>0.12130000000000001</v>
      </c>
      <c r="D352" s="49" t="s">
        <v>125</v>
      </c>
      <c r="E352" s="49" t="s">
        <v>137</v>
      </c>
      <c r="F352" s="49" t="s">
        <v>399</v>
      </c>
      <c r="G352" s="29" t="s">
        <v>485</v>
      </c>
      <c r="H352" s="122" t="s">
        <v>486</v>
      </c>
      <c r="I352" s="122"/>
      <c r="J352" s="122"/>
      <c r="K352" s="122"/>
      <c r="L352" s="122"/>
    </row>
    <row r="353" spans="1:12" ht="18" customHeight="1" x14ac:dyDescent="0.2">
      <c r="A353" s="49" t="s">
        <v>447</v>
      </c>
      <c r="B353" s="47" t="s">
        <v>448</v>
      </c>
      <c r="C353" s="48">
        <v>6.7099193143703231E-2</v>
      </c>
      <c r="D353" s="49" t="s">
        <v>125</v>
      </c>
      <c r="E353" s="49" t="s">
        <v>137</v>
      </c>
      <c r="F353" s="49" t="s">
        <v>399</v>
      </c>
      <c r="G353" s="29" t="s">
        <v>137</v>
      </c>
      <c r="H353" s="122" t="s">
        <v>449</v>
      </c>
      <c r="I353" s="122"/>
      <c r="J353" s="122"/>
      <c r="K353" s="122"/>
      <c r="L353" s="122"/>
    </row>
    <row r="354" spans="1:12" ht="18" customHeight="1" x14ac:dyDescent="0.2">
      <c r="A354" s="49" t="s">
        <v>403</v>
      </c>
      <c r="B354" s="49" t="s">
        <v>436</v>
      </c>
      <c r="C354" s="36">
        <f>2.56*PI()/180</f>
        <v>4.4680428851054839E-2</v>
      </c>
      <c r="D354" s="49" t="s">
        <v>125</v>
      </c>
      <c r="E354" s="49" t="s">
        <v>407</v>
      </c>
      <c r="F354" s="49" t="s">
        <v>9</v>
      </c>
      <c r="G354" s="29" t="s">
        <v>137</v>
      </c>
      <c r="H354" s="122" t="s">
        <v>409</v>
      </c>
      <c r="I354" s="122"/>
      <c r="J354" s="122"/>
      <c r="K354" s="122"/>
      <c r="L354" s="122"/>
    </row>
    <row r="355" spans="1:12" ht="18" customHeight="1" x14ac:dyDescent="0.2">
      <c r="A355" s="49" t="s">
        <v>480</v>
      </c>
      <c r="B355" s="47" t="s">
        <v>481</v>
      </c>
      <c r="C355" s="48">
        <f>C353/C357</f>
        <v>2.4715752062822907E-2</v>
      </c>
      <c r="D355" s="49" t="s">
        <v>125</v>
      </c>
      <c r="E355" s="49" t="s">
        <v>407</v>
      </c>
      <c r="F355" s="49" t="s">
        <v>21</v>
      </c>
      <c r="G355" s="29" t="s">
        <v>482</v>
      </c>
      <c r="H355" s="122" t="s">
        <v>483</v>
      </c>
      <c r="I355" s="122"/>
      <c r="J355" s="122"/>
      <c r="K355" s="122"/>
      <c r="L355" s="122"/>
    </row>
    <row r="356" spans="1:12" ht="18" customHeight="1" x14ac:dyDescent="0.2">
      <c r="A356" s="49" t="s">
        <v>419</v>
      </c>
      <c r="B356" s="49" t="s">
        <v>420</v>
      </c>
      <c r="C356" s="36">
        <f>C352/C354</f>
        <v>2.714835177709721</v>
      </c>
      <c r="D356" s="49" t="s">
        <v>125</v>
      </c>
      <c r="E356" s="49" t="s">
        <v>421</v>
      </c>
      <c r="F356" s="49" t="s">
        <v>21</v>
      </c>
      <c r="G356" s="29" t="s">
        <v>422</v>
      </c>
      <c r="H356" s="105" t="s">
        <v>423</v>
      </c>
      <c r="I356" s="105"/>
      <c r="J356" s="105"/>
      <c r="K356" s="105"/>
      <c r="L356" s="105"/>
    </row>
    <row r="357" spans="1:12" ht="18" customHeight="1" x14ac:dyDescent="0.2">
      <c r="A357" s="49" t="s">
        <v>425</v>
      </c>
      <c r="B357" s="49" t="s">
        <v>426</v>
      </c>
      <c r="C357" s="36">
        <f>C356</f>
        <v>2.714835177709721</v>
      </c>
      <c r="D357" s="49" t="s">
        <v>125</v>
      </c>
      <c r="E357" s="49" t="s">
        <v>421</v>
      </c>
      <c r="F357" s="49" t="s">
        <v>21</v>
      </c>
      <c r="G357" s="29" t="s">
        <v>427</v>
      </c>
      <c r="H357" s="105" t="s">
        <v>428</v>
      </c>
      <c r="I357" s="105"/>
      <c r="J357" s="105"/>
      <c r="K357" s="105"/>
      <c r="L357" s="105"/>
    </row>
    <row r="358" spans="1:12" ht="18" customHeight="1" x14ac:dyDescent="0.2">
      <c r="A358" s="52" t="s">
        <v>429</v>
      </c>
      <c r="B358" s="49" t="s">
        <v>430</v>
      </c>
      <c r="C358" s="36">
        <f>$C$7/C354</f>
        <v>0.40975090044068119</v>
      </c>
      <c r="D358" s="49" t="s">
        <v>125</v>
      </c>
      <c r="E358" s="49" t="s">
        <v>431</v>
      </c>
      <c r="F358" s="49" t="s">
        <v>21</v>
      </c>
      <c r="G358" s="29" t="s">
        <v>432</v>
      </c>
      <c r="H358" s="105" t="s">
        <v>433</v>
      </c>
      <c r="I358" s="105"/>
      <c r="J358" s="105"/>
      <c r="K358" s="105"/>
      <c r="L358" s="105"/>
    </row>
    <row r="359" spans="1:12" ht="18" customHeight="1" x14ac:dyDescent="0.2">
      <c r="A359" s="49" t="s">
        <v>434</v>
      </c>
      <c r="B359" s="49" t="s">
        <v>435</v>
      </c>
      <c r="C359" s="36">
        <f>2*'Stability Constants'!$C$13*('Stability Constants'!$C$4-'Stability Constants'!$C$3)*'Stability Constants'!$C$14*'Supersonic Stability'!C354</f>
        <v>87507.08365819043</v>
      </c>
      <c r="D359" s="49" t="s">
        <v>125</v>
      </c>
      <c r="E359" s="49" t="s">
        <v>224</v>
      </c>
      <c r="F359" s="49" t="s">
        <v>21</v>
      </c>
      <c r="G359" s="29" t="s">
        <v>437</v>
      </c>
      <c r="H359" s="105" t="s">
        <v>438</v>
      </c>
      <c r="I359" s="105"/>
      <c r="J359" s="105"/>
      <c r="K359" s="105"/>
      <c r="L359" s="105"/>
    </row>
    <row r="360" spans="1:12" ht="18" customHeight="1" x14ac:dyDescent="0.2">
      <c r="A360" s="49" t="s">
        <v>439</v>
      </c>
      <c r="B360" s="49" t="s">
        <v>440</v>
      </c>
      <c r="C360" s="36">
        <f>2*'Stability Constants'!$C$13*('Stability Constants'!$C$6-'Stability Constants'!$C$5)*'Stability Constants'!$C$15*'Supersonic Stability'!C354</f>
        <v>54743.0346425764</v>
      </c>
      <c r="D360" s="49" t="s">
        <v>125</v>
      </c>
      <c r="E360" s="49" t="s">
        <v>224</v>
      </c>
      <c r="F360" s="49" t="s">
        <v>21</v>
      </c>
      <c r="G360" s="29" t="s">
        <v>442</v>
      </c>
      <c r="H360" s="105" t="s">
        <v>438</v>
      </c>
      <c r="I360" s="105"/>
      <c r="J360" s="105"/>
      <c r="K360" s="105"/>
      <c r="L360" s="105"/>
    </row>
    <row r="361" spans="1:12" ht="18" customHeight="1" x14ac:dyDescent="0.2">
      <c r="A361" s="126" t="s">
        <v>509</v>
      </c>
      <c r="B361" s="116"/>
      <c r="C361" s="116"/>
      <c r="D361" s="116"/>
      <c r="E361" s="116"/>
      <c r="F361" s="116"/>
      <c r="G361" s="116"/>
      <c r="H361" s="116"/>
      <c r="I361" s="116"/>
      <c r="J361" s="116"/>
      <c r="K361" s="116"/>
      <c r="L361" s="120"/>
    </row>
    <row r="362" spans="1:12" ht="18" customHeight="1" x14ac:dyDescent="0.2">
      <c r="A362" s="23" t="s">
        <v>5</v>
      </c>
      <c r="B362" s="23" t="s">
        <v>96</v>
      </c>
      <c r="C362" s="50" t="s">
        <v>7</v>
      </c>
      <c r="D362" s="50" t="s">
        <v>125</v>
      </c>
      <c r="E362" s="50" t="s">
        <v>8</v>
      </c>
      <c r="F362" s="50" t="s">
        <v>9</v>
      </c>
      <c r="G362" s="31" t="s">
        <v>459</v>
      </c>
      <c r="H362" s="117" t="s">
        <v>11</v>
      </c>
      <c r="I362" s="118"/>
      <c r="J362" s="118"/>
      <c r="K362" s="118"/>
      <c r="L362" s="119"/>
    </row>
    <row r="363" spans="1:12" ht="18" customHeight="1" x14ac:dyDescent="0.2">
      <c r="A363" s="49" t="s">
        <v>450</v>
      </c>
      <c r="B363" s="47" t="s">
        <v>446</v>
      </c>
      <c r="C363" s="48">
        <f>(C328 + C329* 'Stability Constants'!$C$16*'Supersonic Stability'!$C$4/'Initial Estimates'!$C$5)*'Stability Constants'!$C$8/'Initial Estimates'!$C$10 - 'Supersonic Stability'!C329*'Stability Constants'!$C$16*'Supersonic Stability'!$C$4/'Initial Estimates'!$C$5*'Stability Constants'!$C$10/'Initial Estimates'!$C$10+'Supersonic Stability'!$C$5+('Supersonic Stability'!C335+'Stability Constants'!$C$11*'Supersonic Stability'!C336)/('Stability Constants'!$C$13*'Initial Estimates'!$C$5*'Initial Estimates'!$C$10)</f>
        <v>-4.8475254791809197E-2</v>
      </c>
      <c r="D363" s="49" t="s">
        <v>125</v>
      </c>
      <c r="E363" s="49" t="s">
        <v>137</v>
      </c>
      <c r="F363" s="49" t="s">
        <v>21</v>
      </c>
      <c r="G363" s="29" t="s">
        <v>460</v>
      </c>
      <c r="H363" s="105" t="s">
        <v>438</v>
      </c>
      <c r="I363" s="105"/>
      <c r="J363" s="105"/>
      <c r="K363" s="105"/>
      <c r="L363" s="105"/>
    </row>
    <row r="364" spans="1:12" ht="18" customHeight="1" x14ac:dyDescent="0.2">
      <c r="A364" s="49" t="s">
        <v>451</v>
      </c>
      <c r="B364" s="47" t="s">
        <v>446</v>
      </c>
      <c r="C364" s="48">
        <f>(C340 + C341* 'Stability Constants'!$C$16*'Supersonic Stability'!$C$4/'Initial Estimates'!$C$5)*'Stability Constants'!$C$8/'Initial Estimates'!$C$10 - 'Supersonic Stability'!C341*'Stability Constants'!$C$16*'Supersonic Stability'!$C$4/'Initial Estimates'!$C$5*'Stability Constants'!$C$10/'Initial Estimates'!$C$10+'Supersonic Stability'!$C$5+('Supersonic Stability'!C347+'Stability Constants'!$C$11*'Supersonic Stability'!C348)/('Stability Constants'!$C$13*'Initial Estimates'!$C$5*'Initial Estimates'!$C$10)</f>
        <v>-4.2084161873658724E-2</v>
      </c>
      <c r="D364" s="49" t="s">
        <v>125</v>
      </c>
      <c r="E364" s="49" t="s">
        <v>137</v>
      </c>
      <c r="F364" s="49" t="s">
        <v>21</v>
      </c>
      <c r="G364" s="29" t="s">
        <v>460</v>
      </c>
      <c r="H364" s="105" t="s">
        <v>438</v>
      </c>
      <c r="I364" s="105"/>
      <c r="J364" s="105"/>
      <c r="K364" s="105"/>
      <c r="L364" s="105"/>
    </row>
    <row r="365" spans="1:12" ht="18" customHeight="1" x14ac:dyDescent="0.2">
      <c r="A365" s="49" t="s">
        <v>452</v>
      </c>
      <c r="B365" s="47" t="s">
        <v>446</v>
      </c>
      <c r="C365" s="48">
        <f>(C352 + C353* 'Stability Constants'!$C$16*'Supersonic Stability'!$C$4/'Initial Estimates'!$C$5)*'Stability Constants'!$C$8/'Initial Estimates'!$C$10 - 'Supersonic Stability'!C353*'Stability Constants'!$C$16*'Supersonic Stability'!$C$4/'Initial Estimates'!$C$5*'Stability Constants'!$C$10/'Initial Estimates'!$C$10+'Supersonic Stability'!$C$5+('Supersonic Stability'!C359+'Stability Constants'!$C$11*'Supersonic Stability'!C360)/('Stability Constants'!$C$13*'Initial Estimates'!$C$5*'Initial Estimates'!$C$10)</f>
        <v>-3.6719299275786862E-2</v>
      </c>
      <c r="D365" s="49" t="s">
        <v>125</v>
      </c>
      <c r="E365" s="49" t="s">
        <v>137</v>
      </c>
      <c r="F365" s="49" t="s">
        <v>21</v>
      </c>
      <c r="G365" s="29" t="s">
        <v>460</v>
      </c>
      <c r="H365" s="105" t="s">
        <v>438</v>
      </c>
      <c r="I365" s="105"/>
      <c r="J365" s="105"/>
      <c r="K365" s="105"/>
      <c r="L365" s="105"/>
    </row>
    <row r="366" spans="1:12" ht="18" customHeight="1" x14ac:dyDescent="0.2">
      <c r="A366" s="49" t="s">
        <v>506</v>
      </c>
      <c r="B366" s="47" t="s">
        <v>453</v>
      </c>
      <c r="C366" s="48">
        <f xml:space="preserve"> ( C332 + C333*(1 - C334)*'Stability Constants'!$C$16*('Supersonic Stability'!$C$4/'Initial Estimates'!$C$5))*('Stability Constants'!$C$8/'Initial Estimates'!$C$10) - C333*(1 - C334)*'Stability Constants'!$C$16*'Supersonic Stability'!$C$3 + 2*('Stability Constants'!$C$4-'Stability Constants'!$C$3)*'Stability Constants'!$C$14/('Initial Estimates'!$C$10*'Initial Estimates'!$C$5) + 2*'Stability Constants'!$C$11*('Stability Constants'!$C$6-'Stability Constants'!$C$5)*'Stability Constants'!$C$15/('Initial Estimates'!$C$10*'Initial Estimates'!$C$5)</f>
        <v>-1.0807397006274426</v>
      </c>
      <c r="D366" s="49" t="s">
        <v>125</v>
      </c>
      <c r="E366" s="49" t="s">
        <v>421</v>
      </c>
      <c r="F366" s="49" t="s">
        <v>21</v>
      </c>
      <c r="G366" s="29" t="s">
        <v>458</v>
      </c>
      <c r="H366" s="105" t="s">
        <v>438</v>
      </c>
      <c r="I366" s="105"/>
      <c r="J366" s="105"/>
      <c r="K366" s="105"/>
      <c r="L366" s="105"/>
    </row>
    <row r="367" spans="1:12" ht="18" customHeight="1" x14ac:dyDescent="0.2">
      <c r="A367" s="49" t="s">
        <v>507</v>
      </c>
      <c r="B367" s="47" t="s">
        <v>453</v>
      </c>
      <c r="C367" s="48">
        <f xml:space="preserve"> ( C344 + C345*(1 - C346)*'Stability Constants'!$C$16*('Supersonic Stability'!$C$4/'Initial Estimates'!$C$5))*('Stability Constants'!$C$8/'Initial Estimates'!$C$10) - C345*(1 - C346)*'Stability Constants'!$C$16*'Supersonic Stability'!$C$3 + 2*('Stability Constants'!$C$4-'Stability Constants'!$C$3)*'Stability Constants'!$C$14/('Initial Estimates'!$C$10*'Initial Estimates'!$C$5) + 2*'Stability Constants'!$C$11*('Stability Constants'!$C$6-'Stability Constants'!$C$5)*'Stability Constants'!$C$15/('Initial Estimates'!$C$10*'Initial Estimates'!$C$5)</f>
        <v>-0.95523774075997447</v>
      </c>
      <c r="D367" s="49" t="s">
        <v>125</v>
      </c>
      <c r="E367" s="49" t="s">
        <v>421</v>
      </c>
      <c r="F367" s="49" t="s">
        <v>21</v>
      </c>
      <c r="G367" s="29" t="s">
        <v>458</v>
      </c>
      <c r="H367" s="105" t="s">
        <v>438</v>
      </c>
      <c r="I367" s="105"/>
      <c r="J367" s="105"/>
      <c r="K367" s="105"/>
      <c r="L367" s="105"/>
    </row>
    <row r="368" spans="1:12" ht="18" customHeight="1" x14ac:dyDescent="0.2">
      <c r="A368" s="49" t="s">
        <v>505</v>
      </c>
      <c r="B368" s="47" t="s">
        <v>453</v>
      </c>
      <c r="C368" s="48">
        <f xml:space="preserve"> ( C356 + C357*(1 - C358)*'Stability Constants'!$C$16*('Supersonic Stability'!$C$4/'Initial Estimates'!$C$5))*('Stability Constants'!$C$8/'Initial Estimates'!$C$10) - C357*(1 - C358)*'Stability Constants'!$C$16*'Supersonic Stability'!$C$3 + 2*('Stability Constants'!$C$4-'Stability Constants'!$C$3)*'Stability Constants'!$C$14/('Initial Estimates'!$C$10*'Initial Estimates'!$C$5) + 2*'Stability Constants'!$C$11*('Stability Constants'!$C$6-'Stability Constants'!$C$5)*'Stability Constants'!$C$15/('Initial Estimates'!$C$10*'Initial Estimates'!$C$5)</f>
        <v>-0.84174840358281033</v>
      </c>
      <c r="D368" s="49" t="s">
        <v>125</v>
      </c>
      <c r="E368" s="49" t="s">
        <v>421</v>
      </c>
      <c r="F368" s="49" t="s">
        <v>21</v>
      </c>
      <c r="G368" s="29" t="s">
        <v>458</v>
      </c>
      <c r="H368" s="105" t="s">
        <v>438</v>
      </c>
      <c r="I368" s="105"/>
      <c r="J368" s="105"/>
      <c r="K368" s="105"/>
      <c r="L368" s="105"/>
    </row>
    <row r="370" spans="1:12" ht="18" customHeight="1" x14ac:dyDescent="0.2">
      <c r="A370" s="124"/>
      <c r="B370" s="124"/>
      <c r="C370" s="124"/>
      <c r="D370" s="124"/>
      <c r="E370" s="124"/>
      <c r="F370" s="124"/>
      <c r="G370" s="124"/>
      <c r="H370" s="124"/>
      <c r="I370" s="124"/>
      <c r="J370" s="124"/>
      <c r="K370" s="124"/>
      <c r="L370" s="124"/>
    </row>
    <row r="371" spans="1:12" ht="18" customHeight="1" x14ac:dyDescent="0.2">
      <c r="A371" s="125"/>
      <c r="B371" s="125"/>
      <c r="C371" s="125"/>
      <c r="D371" s="125"/>
      <c r="E371" s="125"/>
      <c r="F371" s="125"/>
      <c r="G371" s="125"/>
      <c r="H371" s="125"/>
      <c r="I371" s="125"/>
      <c r="J371" s="125"/>
      <c r="K371" s="125"/>
      <c r="L371" s="125"/>
    </row>
    <row r="372" spans="1:12" ht="18" customHeight="1" x14ac:dyDescent="0.2">
      <c r="A372" s="113" t="s">
        <v>510</v>
      </c>
      <c r="B372" s="114"/>
      <c r="C372" s="114"/>
      <c r="D372" s="114"/>
      <c r="E372" s="114"/>
      <c r="F372" s="114"/>
      <c r="G372" s="114"/>
      <c r="H372" s="114"/>
      <c r="I372" s="114"/>
      <c r="J372" s="114"/>
      <c r="K372" s="114"/>
      <c r="L372" s="115"/>
    </row>
    <row r="373" spans="1:12" ht="18" customHeight="1" x14ac:dyDescent="0.2">
      <c r="A373" s="23" t="s">
        <v>5</v>
      </c>
      <c r="B373" s="23" t="s">
        <v>96</v>
      </c>
      <c r="C373" s="50" t="s">
        <v>7</v>
      </c>
      <c r="D373" s="50" t="s">
        <v>125</v>
      </c>
      <c r="E373" s="50" t="s">
        <v>8</v>
      </c>
      <c r="F373" s="50" t="s">
        <v>9</v>
      </c>
      <c r="G373" s="31" t="s">
        <v>10</v>
      </c>
      <c r="H373" s="117" t="s">
        <v>11</v>
      </c>
      <c r="I373" s="118"/>
      <c r="J373" s="118"/>
      <c r="K373" s="118"/>
      <c r="L373" s="119"/>
    </row>
    <row r="374" spans="1:12" ht="18" customHeight="1" x14ac:dyDescent="0.2">
      <c r="A374" s="52" t="s">
        <v>410</v>
      </c>
      <c r="B374" s="49" t="s">
        <v>411</v>
      </c>
      <c r="C374" s="13">
        <v>0.5</v>
      </c>
      <c r="D374" s="49" t="s">
        <v>125</v>
      </c>
      <c r="E374" s="49" t="s">
        <v>137</v>
      </c>
      <c r="F374" s="49" t="s">
        <v>14</v>
      </c>
      <c r="G374" s="29" t="s">
        <v>137</v>
      </c>
      <c r="H374" s="123" t="s">
        <v>412</v>
      </c>
      <c r="I374" s="123"/>
      <c r="J374" s="123"/>
      <c r="K374" s="123"/>
      <c r="L374" s="123"/>
    </row>
    <row r="375" spans="1:12" ht="18" customHeight="1" x14ac:dyDescent="0.2">
      <c r="A375" s="52" t="s">
        <v>375</v>
      </c>
      <c r="B375" s="49" t="s">
        <v>376</v>
      </c>
      <c r="C375" s="13">
        <f>'Initial Estimates'!$C$5*'Initial Estimates'!$C$10/'Stability Constants'!$C$9</f>
        <v>1010.3597808100012</v>
      </c>
      <c r="D375" s="49" t="s">
        <v>125</v>
      </c>
      <c r="E375" s="49" t="s">
        <v>222</v>
      </c>
      <c r="F375" s="49" t="s">
        <v>21</v>
      </c>
      <c r="G375" s="29" t="s">
        <v>456</v>
      </c>
      <c r="H375" s="123" t="s">
        <v>382</v>
      </c>
      <c r="I375" s="123"/>
      <c r="J375" s="123"/>
      <c r="K375" s="123"/>
      <c r="L375" s="123"/>
    </row>
    <row r="376" spans="1:12" ht="18" customHeight="1" x14ac:dyDescent="0.2">
      <c r="A376" s="52" t="s">
        <v>353</v>
      </c>
      <c r="B376" s="49" t="s">
        <v>354</v>
      </c>
      <c r="C376" s="13">
        <v>0</v>
      </c>
      <c r="D376" s="49" t="s">
        <v>125</v>
      </c>
      <c r="E376" s="49" t="s">
        <v>137</v>
      </c>
      <c r="F376" s="49" t="s">
        <v>14</v>
      </c>
      <c r="G376" s="29" t="s">
        <v>355</v>
      </c>
      <c r="H376" s="105" t="s">
        <v>413</v>
      </c>
      <c r="I376" s="105"/>
      <c r="J376" s="105"/>
      <c r="K376" s="105"/>
      <c r="L376" s="105"/>
    </row>
    <row r="377" spans="1:12" ht="18" customHeight="1" x14ac:dyDescent="0.2">
      <c r="A377" s="52" t="s">
        <v>339</v>
      </c>
      <c r="B377" s="49" t="s">
        <v>340</v>
      </c>
      <c r="C377" s="13">
        <v>0</v>
      </c>
      <c r="D377" s="13" t="s">
        <v>125</v>
      </c>
      <c r="E377" s="49" t="s">
        <v>137</v>
      </c>
      <c r="F377" s="49" t="s">
        <v>14</v>
      </c>
      <c r="G377" s="29" t="s">
        <v>418</v>
      </c>
      <c r="H377" s="122" t="s">
        <v>341</v>
      </c>
      <c r="I377" s="122"/>
      <c r="J377" s="122"/>
      <c r="K377" s="122"/>
      <c r="L377" s="122"/>
    </row>
    <row r="378" spans="1:12" ht="18" customHeight="1" x14ac:dyDescent="0.2">
      <c r="A378" s="52" t="s">
        <v>414</v>
      </c>
      <c r="B378" s="49" t="s">
        <v>415</v>
      </c>
      <c r="C378" s="13" t="e">
        <f>2*C382/(PI()*'Initial Estimates'!C113)*(1+C377)</f>
        <v>#DIV/0!</v>
      </c>
      <c r="D378" s="49" t="s">
        <v>125</v>
      </c>
      <c r="E378" s="49" t="s">
        <v>137</v>
      </c>
      <c r="F378" s="49" t="s">
        <v>14</v>
      </c>
      <c r="G378" s="29" t="s">
        <v>416</v>
      </c>
      <c r="H378" s="105" t="s">
        <v>417</v>
      </c>
      <c r="I378" s="105"/>
      <c r="J378" s="105"/>
      <c r="K378" s="105"/>
      <c r="L378" s="105"/>
    </row>
    <row r="379" spans="1:12" ht="18" customHeight="1" x14ac:dyDescent="0.2">
      <c r="A379" s="126" t="s">
        <v>501</v>
      </c>
      <c r="B379" s="116"/>
      <c r="C379" s="116"/>
      <c r="D379" s="116"/>
      <c r="E379" s="116"/>
      <c r="F379" s="116"/>
      <c r="G379" s="116"/>
      <c r="H379" s="116"/>
      <c r="I379" s="116"/>
      <c r="J379" s="116"/>
      <c r="K379" s="116"/>
      <c r="L379" s="120"/>
    </row>
    <row r="380" spans="1:12" ht="18" customHeight="1" x14ac:dyDescent="0.2">
      <c r="A380" s="23" t="s">
        <v>5</v>
      </c>
      <c r="B380" s="23" t="s">
        <v>96</v>
      </c>
      <c r="C380" s="50" t="s">
        <v>7</v>
      </c>
      <c r="D380" s="50" t="s">
        <v>125</v>
      </c>
      <c r="E380" s="50" t="s">
        <v>8</v>
      </c>
      <c r="F380" s="50" t="s">
        <v>9</v>
      </c>
      <c r="G380" s="31" t="s">
        <v>10</v>
      </c>
      <c r="H380" s="117" t="s">
        <v>11</v>
      </c>
      <c r="I380" s="118"/>
      <c r="J380" s="118"/>
      <c r="K380" s="118"/>
      <c r="L380" s="119"/>
    </row>
    <row r="381" spans="1:12" ht="18" customHeight="1" x14ac:dyDescent="0.2">
      <c r="A381" s="49" t="s">
        <v>379</v>
      </c>
      <c r="B381" s="49" t="s">
        <v>380</v>
      </c>
      <c r="C381" s="36">
        <v>1.6</v>
      </c>
      <c r="D381" s="49" t="s">
        <v>125</v>
      </c>
      <c r="E381" s="49" t="s">
        <v>137</v>
      </c>
      <c r="F381" s="49" t="s">
        <v>484</v>
      </c>
      <c r="G381" s="29" t="s">
        <v>137</v>
      </c>
      <c r="H381" s="121" t="s">
        <v>309</v>
      </c>
      <c r="I381" s="121"/>
      <c r="J381" s="121"/>
      <c r="K381" s="121"/>
      <c r="L381" s="121"/>
    </row>
    <row r="382" spans="1:12" ht="18" customHeight="1" x14ac:dyDescent="0.2">
      <c r="A382" s="49" t="s">
        <v>405</v>
      </c>
      <c r="B382" s="49" t="s">
        <v>406</v>
      </c>
      <c r="C382" s="36">
        <v>0.19339999999999999</v>
      </c>
      <c r="D382" s="49" t="s">
        <v>125</v>
      </c>
      <c r="E382" s="49" t="s">
        <v>137</v>
      </c>
      <c r="F382" s="49" t="s">
        <v>399</v>
      </c>
      <c r="G382" s="29" t="s">
        <v>485</v>
      </c>
      <c r="H382" s="122" t="s">
        <v>486</v>
      </c>
      <c r="I382" s="122"/>
      <c r="J382" s="122"/>
      <c r="K382" s="122"/>
      <c r="L382" s="122"/>
    </row>
    <row r="383" spans="1:12" ht="18" customHeight="1" x14ac:dyDescent="0.2">
      <c r="A383" s="49" t="s">
        <v>447</v>
      </c>
      <c r="B383" s="47" t="s">
        <v>448</v>
      </c>
      <c r="C383" s="48">
        <v>9.3378889837222326E-2</v>
      </c>
      <c r="D383" s="49" t="s">
        <v>125</v>
      </c>
      <c r="E383" s="49" t="s">
        <v>137</v>
      </c>
      <c r="F383" s="49" t="s">
        <v>399</v>
      </c>
      <c r="G383" s="29" t="s">
        <v>137</v>
      </c>
      <c r="H383" s="122" t="s">
        <v>449</v>
      </c>
      <c r="I383" s="122"/>
      <c r="J383" s="122"/>
      <c r="K383" s="122"/>
      <c r="L383" s="122"/>
    </row>
    <row r="384" spans="1:12" ht="18" customHeight="1" x14ac:dyDescent="0.2">
      <c r="A384" s="49" t="s">
        <v>403</v>
      </c>
      <c r="B384" s="49" t="s">
        <v>436</v>
      </c>
      <c r="C384" s="36">
        <f>3.53*PI()/180</f>
        <v>6.161012259539983E-2</v>
      </c>
      <c r="D384" s="49" t="s">
        <v>125</v>
      </c>
      <c r="E384" s="49" t="s">
        <v>407</v>
      </c>
      <c r="F384" s="49" t="s">
        <v>9</v>
      </c>
      <c r="G384" s="29" t="s">
        <v>137</v>
      </c>
      <c r="H384" s="122" t="s">
        <v>409</v>
      </c>
      <c r="I384" s="122"/>
      <c r="J384" s="122"/>
      <c r="K384" s="122"/>
      <c r="L384" s="122"/>
    </row>
    <row r="385" spans="1:12" ht="18" customHeight="1" x14ac:dyDescent="0.2">
      <c r="A385" s="49" t="s">
        <v>480</v>
      </c>
      <c r="B385" s="47" t="s">
        <v>481</v>
      </c>
      <c r="C385" s="48">
        <f>C383/C387</f>
        <v>2.9747077821580162E-2</v>
      </c>
      <c r="D385" s="49" t="s">
        <v>125</v>
      </c>
      <c r="E385" s="49" t="s">
        <v>407</v>
      </c>
      <c r="F385" s="49" t="s">
        <v>21</v>
      </c>
      <c r="G385" s="29" t="s">
        <v>482</v>
      </c>
      <c r="H385" s="122" t="s">
        <v>483</v>
      </c>
      <c r="I385" s="122"/>
      <c r="J385" s="122"/>
      <c r="K385" s="122"/>
      <c r="L385" s="122"/>
    </row>
    <row r="386" spans="1:12" ht="18" customHeight="1" x14ac:dyDescent="0.2">
      <c r="A386" s="49" t="s">
        <v>419</v>
      </c>
      <c r="B386" s="49" t="s">
        <v>420</v>
      </c>
      <c r="C386" s="36">
        <f>C382/C384</f>
        <v>3.1390945489603741</v>
      </c>
      <c r="D386" s="49" t="s">
        <v>125</v>
      </c>
      <c r="E386" s="49" t="s">
        <v>421</v>
      </c>
      <c r="F386" s="49" t="s">
        <v>21</v>
      </c>
      <c r="G386" s="29" t="s">
        <v>422</v>
      </c>
      <c r="H386" s="105" t="s">
        <v>423</v>
      </c>
      <c r="I386" s="105"/>
      <c r="J386" s="105"/>
      <c r="K386" s="105"/>
      <c r="L386" s="105"/>
    </row>
    <row r="387" spans="1:12" ht="18" customHeight="1" x14ac:dyDescent="0.2">
      <c r="A387" s="49" t="s">
        <v>425</v>
      </c>
      <c r="B387" s="49" t="s">
        <v>426</v>
      </c>
      <c r="C387" s="36">
        <f>C386</f>
        <v>3.1390945489603741</v>
      </c>
      <c r="D387" s="49" t="s">
        <v>125</v>
      </c>
      <c r="E387" s="49" t="s">
        <v>421</v>
      </c>
      <c r="F387" s="49" t="s">
        <v>21</v>
      </c>
      <c r="G387" s="29" t="s">
        <v>427</v>
      </c>
      <c r="H387" s="105" t="s">
        <v>428</v>
      </c>
      <c r="I387" s="105"/>
      <c r="J387" s="105"/>
      <c r="K387" s="105"/>
      <c r="L387" s="105"/>
    </row>
    <row r="388" spans="1:12" ht="18" customHeight="1" x14ac:dyDescent="0.2">
      <c r="A388" s="52" t="s">
        <v>429</v>
      </c>
      <c r="B388" s="49" t="s">
        <v>430</v>
      </c>
      <c r="C388" s="36">
        <f>$C$7/C384</f>
        <v>0.29715646037624477</v>
      </c>
      <c r="D388" s="49" t="s">
        <v>125</v>
      </c>
      <c r="E388" s="49" t="s">
        <v>431</v>
      </c>
      <c r="F388" s="49" t="s">
        <v>21</v>
      </c>
      <c r="G388" s="29" t="s">
        <v>432</v>
      </c>
      <c r="H388" s="105" t="s">
        <v>433</v>
      </c>
      <c r="I388" s="105"/>
      <c r="J388" s="105"/>
      <c r="K388" s="105"/>
      <c r="L388" s="105"/>
    </row>
    <row r="389" spans="1:12" ht="18" customHeight="1" x14ac:dyDescent="0.2">
      <c r="A389" s="49" t="s">
        <v>434</v>
      </c>
      <c r="B389" s="49" t="s">
        <v>435</v>
      </c>
      <c r="C389" s="36">
        <f>2*'Stability Constants'!$C$13*('Stability Constants'!$C$4-'Stability Constants'!$C$3)*'Stability Constants'!$C$14*'Supersonic Stability'!C384</f>
        <v>120664.06457555163</v>
      </c>
      <c r="D389" s="49" t="s">
        <v>125</v>
      </c>
      <c r="E389" s="49" t="s">
        <v>224</v>
      </c>
      <c r="F389" s="49" t="s">
        <v>21</v>
      </c>
      <c r="G389" s="29" t="s">
        <v>437</v>
      </c>
      <c r="H389" s="105" t="s">
        <v>438</v>
      </c>
      <c r="I389" s="105"/>
      <c r="J389" s="105"/>
      <c r="K389" s="105"/>
      <c r="L389" s="105"/>
    </row>
    <row r="390" spans="1:12" ht="18" customHeight="1" x14ac:dyDescent="0.2">
      <c r="A390" s="49" t="s">
        <v>439</v>
      </c>
      <c r="B390" s="49" t="s">
        <v>440</v>
      </c>
      <c r="C390" s="36">
        <f>2*'Stability Constants'!$C$13*('Stability Constants'!$C$6-'Stability Constants'!$C$5)*'Stability Constants'!$C$15*'Supersonic Stability'!C384</f>
        <v>75485.512612615101</v>
      </c>
      <c r="D390" s="49" t="s">
        <v>125</v>
      </c>
      <c r="E390" s="49" t="s">
        <v>224</v>
      </c>
      <c r="F390" s="49" t="s">
        <v>21</v>
      </c>
      <c r="G390" s="29" t="s">
        <v>442</v>
      </c>
      <c r="H390" s="105" t="s">
        <v>438</v>
      </c>
      <c r="I390" s="105"/>
      <c r="J390" s="105"/>
      <c r="K390" s="105"/>
      <c r="L390" s="105"/>
    </row>
    <row r="391" spans="1:12" ht="18" customHeight="1" x14ac:dyDescent="0.2">
      <c r="A391" s="126" t="s">
        <v>503</v>
      </c>
      <c r="B391" s="116"/>
      <c r="C391" s="116"/>
      <c r="D391" s="116"/>
      <c r="E391" s="116"/>
      <c r="F391" s="116"/>
      <c r="G391" s="116"/>
      <c r="H391" s="116"/>
      <c r="I391" s="116"/>
      <c r="J391" s="116"/>
      <c r="K391" s="116"/>
      <c r="L391" s="120"/>
    </row>
    <row r="392" spans="1:12" ht="18" customHeight="1" x14ac:dyDescent="0.2">
      <c r="A392" s="23" t="s">
        <v>5</v>
      </c>
      <c r="B392" s="23" t="s">
        <v>96</v>
      </c>
      <c r="C392" s="50" t="s">
        <v>7</v>
      </c>
      <c r="D392" s="50" t="s">
        <v>125</v>
      </c>
      <c r="E392" s="50" t="s">
        <v>8</v>
      </c>
      <c r="F392" s="50" t="s">
        <v>9</v>
      </c>
      <c r="G392" s="31" t="s">
        <v>10</v>
      </c>
      <c r="H392" s="117" t="s">
        <v>11</v>
      </c>
      <c r="I392" s="118"/>
      <c r="J392" s="118"/>
      <c r="K392" s="118"/>
      <c r="L392" s="119"/>
    </row>
    <row r="393" spans="1:12" ht="18" customHeight="1" x14ac:dyDescent="0.2">
      <c r="A393" s="49" t="s">
        <v>379</v>
      </c>
      <c r="B393" s="49" t="s">
        <v>380</v>
      </c>
      <c r="C393" s="36">
        <v>1.7</v>
      </c>
      <c r="D393" s="49" t="s">
        <v>125</v>
      </c>
      <c r="E393" s="49" t="s">
        <v>137</v>
      </c>
      <c r="F393" s="49" t="s">
        <v>484</v>
      </c>
      <c r="G393" s="29" t="s">
        <v>137</v>
      </c>
      <c r="H393" s="121" t="s">
        <v>309</v>
      </c>
      <c r="I393" s="121"/>
      <c r="J393" s="121"/>
      <c r="K393" s="121"/>
      <c r="L393" s="121"/>
    </row>
    <row r="394" spans="1:12" ht="18" customHeight="1" x14ac:dyDescent="0.2">
      <c r="A394" s="49" t="s">
        <v>405</v>
      </c>
      <c r="B394" s="49" t="s">
        <v>406</v>
      </c>
      <c r="C394" s="36">
        <v>0.17119999999999999</v>
      </c>
      <c r="D394" s="49" t="s">
        <v>125</v>
      </c>
      <c r="E394" s="49" t="s">
        <v>137</v>
      </c>
      <c r="F394" s="49" t="s">
        <v>399</v>
      </c>
      <c r="G394" s="29" t="s">
        <v>485</v>
      </c>
      <c r="H394" s="122" t="s">
        <v>486</v>
      </c>
      <c r="I394" s="122"/>
      <c r="J394" s="122"/>
      <c r="K394" s="122"/>
      <c r="L394" s="122"/>
    </row>
    <row r="395" spans="1:12" ht="18" customHeight="1" x14ac:dyDescent="0.2">
      <c r="A395" s="49" t="s">
        <v>447</v>
      </c>
      <c r="B395" s="47" t="s">
        <v>448</v>
      </c>
      <c r="C395" s="48">
        <v>8.871383951097353E-2</v>
      </c>
      <c r="D395" s="49" t="s">
        <v>125</v>
      </c>
      <c r="E395" s="49" t="s">
        <v>137</v>
      </c>
      <c r="F395" s="49" t="s">
        <v>399</v>
      </c>
      <c r="G395" s="29" t="s">
        <v>137</v>
      </c>
      <c r="H395" s="122" t="s">
        <v>449</v>
      </c>
      <c r="I395" s="122"/>
      <c r="J395" s="122"/>
      <c r="K395" s="122"/>
      <c r="L395" s="122"/>
    </row>
    <row r="396" spans="1:12" ht="18" customHeight="1" x14ac:dyDescent="0.2">
      <c r="A396" s="49" t="s">
        <v>403</v>
      </c>
      <c r="B396" s="49" t="s">
        <v>436</v>
      </c>
      <c r="C396" s="36">
        <f>3.37*PI()/180</f>
        <v>5.881759579220891E-2</v>
      </c>
      <c r="D396" s="49" t="s">
        <v>125</v>
      </c>
      <c r="E396" s="49" t="s">
        <v>407</v>
      </c>
      <c r="F396" s="49" t="s">
        <v>9</v>
      </c>
      <c r="G396" s="29" t="s">
        <v>495</v>
      </c>
      <c r="H396" s="122" t="s">
        <v>409</v>
      </c>
      <c r="I396" s="122"/>
      <c r="J396" s="122"/>
      <c r="K396" s="122"/>
      <c r="L396" s="122"/>
    </row>
    <row r="397" spans="1:12" ht="18" customHeight="1" x14ac:dyDescent="0.2">
      <c r="A397" s="49" t="s">
        <v>480</v>
      </c>
      <c r="B397" s="47" t="s">
        <v>481</v>
      </c>
      <c r="C397" s="48">
        <f>C395/C399</f>
        <v>3.0478590850066198E-2</v>
      </c>
      <c r="D397" s="49" t="s">
        <v>125</v>
      </c>
      <c r="E397" s="49" t="s">
        <v>407</v>
      </c>
      <c r="F397" s="49" t="s">
        <v>21</v>
      </c>
      <c r="G397" s="29" t="s">
        <v>482</v>
      </c>
      <c r="H397" s="122" t="s">
        <v>483</v>
      </c>
      <c r="I397" s="122"/>
      <c r="J397" s="122"/>
      <c r="K397" s="122"/>
      <c r="L397" s="122"/>
    </row>
    <row r="398" spans="1:12" ht="18" customHeight="1" x14ac:dyDescent="0.2">
      <c r="A398" s="49" t="s">
        <v>419</v>
      </c>
      <c r="B398" s="49" t="s">
        <v>420</v>
      </c>
      <c r="C398" s="36">
        <f>C394/C396</f>
        <v>2.9106936061245379</v>
      </c>
      <c r="D398" s="49" t="s">
        <v>125</v>
      </c>
      <c r="E398" s="49" t="s">
        <v>421</v>
      </c>
      <c r="F398" s="49" t="s">
        <v>21</v>
      </c>
      <c r="G398" s="29" t="s">
        <v>422</v>
      </c>
      <c r="H398" s="105" t="s">
        <v>423</v>
      </c>
      <c r="I398" s="105"/>
      <c r="J398" s="105"/>
      <c r="K398" s="105"/>
      <c r="L398" s="105"/>
    </row>
    <row r="399" spans="1:12" ht="18" customHeight="1" x14ac:dyDescent="0.2">
      <c r="A399" s="49" t="s">
        <v>425</v>
      </c>
      <c r="B399" s="49" t="s">
        <v>426</v>
      </c>
      <c r="C399" s="36">
        <f>C398</f>
        <v>2.9106936061245379</v>
      </c>
      <c r="D399" s="49" t="s">
        <v>125</v>
      </c>
      <c r="E399" s="49" t="s">
        <v>421</v>
      </c>
      <c r="F399" s="49" t="s">
        <v>21</v>
      </c>
      <c r="G399" s="29" t="s">
        <v>427</v>
      </c>
      <c r="H399" s="105" t="s">
        <v>428</v>
      </c>
      <c r="I399" s="105"/>
      <c r="J399" s="105"/>
      <c r="K399" s="105"/>
      <c r="L399" s="105"/>
    </row>
    <row r="400" spans="1:12" ht="18" customHeight="1" x14ac:dyDescent="0.2">
      <c r="A400" s="52" t="s">
        <v>429</v>
      </c>
      <c r="B400" s="49" t="s">
        <v>430</v>
      </c>
      <c r="C400" s="36">
        <f>$C$7/C396</f>
        <v>0.31126477896977561</v>
      </c>
      <c r="D400" s="49" t="s">
        <v>125</v>
      </c>
      <c r="E400" s="49" t="s">
        <v>431</v>
      </c>
      <c r="F400" s="49" t="s">
        <v>21</v>
      </c>
      <c r="G400" s="29" t="s">
        <v>432</v>
      </c>
      <c r="H400" s="105" t="s">
        <v>433</v>
      </c>
      <c r="I400" s="105"/>
      <c r="J400" s="105"/>
      <c r="K400" s="105"/>
      <c r="L400" s="105"/>
    </row>
    <row r="401" spans="1:12" ht="18" customHeight="1" x14ac:dyDescent="0.2">
      <c r="A401" s="49" t="s">
        <v>434</v>
      </c>
      <c r="B401" s="49" t="s">
        <v>435</v>
      </c>
      <c r="C401" s="36">
        <f>2*'Stability Constants'!$C$13*('Stability Constants'!$C$4-'Stability Constants'!$C$3)*'Stability Constants'!$C$14*'Supersonic Stability'!C396</f>
        <v>115194.87184691474</v>
      </c>
      <c r="D401" s="49" t="s">
        <v>125</v>
      </c>
      <c r="E401" s="49" t="s">
        <v>224</v>
      </c>
      <c r="F401" s="49" t="s">
        <v>21</v>
      </c>
      <c r="G401" s="29" t="s">
        <v>437</v>
      </c>
      <c r="H401" s="105" t="s">
        <v>438</v>
      </c>
      <c r="I401" s="105"/>
      <c r="J401" s="105"/>
      <c r="K401" s="105"/>
      <c r="L401" s="105"/>
    </row>
    <row r="402" spans="1:12" ht="18" customHeight="1" x14ac:dyDescent="0.2">
      <c r="A402" s="49" t="s">
        <v>439</v>
      </c>
      <c r="B402" s="49" t="s">
        <v>440</v>
      </c>
      <c r="C402" s="36">
        <f>2*'Stability Constants'!$C$13*('Stability Constants'!$C$6-'Stability Constants'!$C$5)*'Stability Constants'!$C$15*'Supersonic Stability'!C396</f>
        <v>72064.072947454086</v>
      </c>
      <c r="D402" s="49" t="s">
        <v>125</v>
      </c>
      <c r="E402" s="49" t="s">
        <v>224</v>
      </c>
      <c r="F402" s="49" t="s">
        <v>21</v>
      </c>
      <c r="G402" s="29" t="s">
        <v>442</v>
      </c>
      <c r="H402" s="105" t="s">
        <v>438</v>
      </c>
      <c r="I402" s="105"/>
      <c r="J402" s="105"/>
      <c r="K402" s="105"/>
      <c r="L402" s="105"/>
    </row>
    <row r="403" spans="1:12" ht="18" customHeight="1" x14ac:dyDescent="0.2">
      <c r="A403" s="126" t="s">
        <v>502</v>
      </c>
      <c r="B403" s="116"/>
      <c r="C403" s="116"/>
      <c r="D403" s="116"/>
      <c r="E403" s="116"/>
      <c r="F403" s="116"/>
      <c r="G403" s="116"/>
      <c r="H403" s="116"/>
      <c r="I403" s="116"/>
      <c r="J403" s="116"/>
      <c r="K403" s="116"/>
      <c r="L403" s="120"/>
    </row>
    <row r="404" spans="1:12" ht="18" customHeight="1" x14ac:dyDescent="0.2">
      <c r="A404" s="23" t="s">
        <v>5</v>
      </c>
      <c r="B404" s="23" t="s">
        <v>96</v>
      </c>
      <c r="C404" s="50" t="s">
        <v>7</v>
      </c>
      <c r="D404" s="50" t="s">
        <v>125</v>
      </c>
      <c r="E404" s="50" t="s">
        <v>8</v>
      </c>
      <c r="F404" s="50" t="s">
        <v>9</v>
      </c>
      <c r="G404" s="31" t="s">
        <v>10</v>
      </c>
      <c r="H404" s="117" t="s">
        <v>11</v>
      </c>
      <c r="I404" s="118"/>
      <c r="J404" s="118"/>
      <c r="K404" s="118"/>
      <c r="L404" s="119"/>
    </row>
    <row r="405" spans="1:12" ht="18" customHeight="1" x14ac:dyDescent="0.2">
      <c r="A405" s="49" t="s">
        <v>379</v>
      </c>
      <c r="B405" s="49" t="s">
        <v>380</v>
      </c>
      <c r="C405" s="36">
        <v>1.8</v>
      </c>
      <c r="D405" s="49" t="s">
        <v>125</v>
      </c>
      <c r="E405" s="49" t="s">
        <v>137</v>
      </c>
      <c r="F405" s="49" t="s">
        <v>484</v>
      </c>
      <c r="G405" s="29" t="s">
        <v>137</v>
      </c>
      <c r="H405" s="121" t="s">
        <v>309</v>
      </c>
      <c r="I405" s="121"/>
      <c r="J405" s="121"/>
      <c r="K405" s="121"/>
      <c r="L405" s="121"/>
    </row>
    <row r="406" spans="1:12" ht="18" customHeight="1" x14ac:dyDescent="0.2">
      <c r="A406" s="49" t="s">
        <v>405</v>
      </c>
      <c r="B406" s="49" t="s">
        <v>406</v>
      </c>
      <c r="C406" s="36">
        <v>0.1527</v>
      </c>
      <c r="D406" s="49" t="s">
        <v>125</v>
      </c>
      <c r="E406" s="49" t="s">
        <v>137</v>
      </c>
      <c r="F406" s="49" t="s">
        <v>399</v>
      </c>
      <c r="G406" s="29" t="s">
        <v>485</v>
      </c>
      <c r="H406" s="122" t="s">
        <v>486</v>
      </c>
      <c r="I406" s="122"/>
      <c r="J406" s="122"/>
      <c r="K406" s="122"/>
      <c r="L406" s="122"/>
    </row>
    <row r="407" spans="1:12" ht="18" customHeight="1" x14ac:dyDescent="0.2">
      <c r="A407" s="49" t="s">
        <v>447</v>
      </c>
      <c r="B407" s="47" t="s">
        <v>448</v>
      </c>
      <c r="C407" s="48">
        <v>8.4895571438886527E-2</v>
      </c>
      <c r="D407" s="49" t="s">
        <v>125</v>
      </c>
      <c r="E407" s="49" t="s">
        <v>137</v>
      </c>
      <c r="F407" s="49" t="s">
        <v>399</v>
      </c>
      <c r="G407" s="29" t="s">
        <v>137</v>
      </c>
      <c r="H407" s="122" t="s">
        <v>449</v>
      </c>
      <c r="I407" s="122"/>
      <c r="J407" s="122"/>
      <c r="K407" s="122"/>
      <c r="L407" s="122"/>
    </row>
    <row r="408" spans="1:12" ht="18" customHeight="1" x14ac:dyDescent="0.2">
      <c r="A408" s="49" t="s">
        <v>403</v>
      </c>
      <c r="B408" s="49" t="s">
        <v>436</v>
      </c>
      <c r="C408" s="36">
        <f>3.24*PI()/180</f>
        <v>5.6548667764616284E-2</v>
      </c>
      <c r="D408" s="49" t="s">
        <v>125</v>
      </c>
      <c r="E408" s="49" t="s">
        <v>407</v>
      </c>
      <c r="F408" s="49" t="s">
        <v>9</v>
      </c>
      <c r="G408" s="29" t="s">
        <v>137</v>
      </c>
      <c r="H408" s="122" t="s">
        <v>409</v>
      </c>
      <c r="I408" s="122"/>
      <c r="J408" s="122"/>
      <c r="K408" s="122"/>
      <c r="L408" s="122"/>
    </row>
    <row r="409" spans="1:12" ht="18" customHeight="1" x14ac:dyDescent="0.2">
      <c r="A409" s="49" t="s">
        <v>480</v>
      </c>
      <c r="B409" s="47" t="s">
        <v>481</v>
      </c>
      <c r="C409" s="48">
        <f>C407/C411</f>
        <v>3.1438974878748145E-2</v>
      </c>
      <c r="D409" s="49" t="s">
        <v>125</v>
      </c>
      <c r="E409" s="49" t="s">
        <v>407</v>
      </c>
      <c r="F409" s="49" t="s">
        <v>21</v>
      </c>
      <c r="G409" s="29" t="s">
        <v>482</v>
      </c>
      <c r="H409" s="122" t="s">
        <v>483</v>
      </c>
      <c r="I409" s="122"/>
      <c r="J409" s="122"/>
      <c r="K409" s="122"/>
      <c r="L409" s="122"/>
    </row>
    <row r="410" spans="1:12" ht="18" customHeight="1" x14ac:dyDescent="0.2">
      <c r="A410" s="49" t="s">
        <v>419</v>
      </c>
      <c r="B410" s="49" t="s">
        <v>420</v>
      </c>
      <c r="C410" s="36">
        <f>C406/C408</f>
        <v>2.7003288677924906</v>
      </c>
      <c r="D410" s="49" t="s">
        <v>125</v>
      </c>
      <c r="E410" s="49" t="s">
        <v>421</v>
      </c>
      <c r="F410" s="49" t="s">
        <v>21</v>
      </c>
      <c r="G410" s="29" t="s">
        <v>422</v>
      </c>
      <c r="H410" s="105" t="s">
        <v>423</v>
      </c>
      <c r="I410" s="105"/>
      <c r="J410" s="105"/>
      <c r="K410" s="105"/>
      <c r="L410" s="105"/>
    </row>
    <row r="411" spans="1:12" ht="18" customHeight="1" x14ac:dyDescent="0.2">
      <c r="A411" s="49" t="s">
        <v>425</v>
      </c>
      <c r="B411" s="49" t="s">
        <v>426</v>
      </c>
      <c r="C411" s="36">
        <f>C410</f>
        <v>2.7003288677924906</v>
      </c>
      <c r="D411" s="49" t="s">
        <v>125</v>
      </c>
      <c r="E411" s="49" t="s">
        <v>421</v>
      </c>
      <c r="F411" s="49" t="s">
        <v>21</v>
      </c>
      <c r="G411" s="29" t="s">
        <v>427</v>
      </c>
      <c r="H411" s="105" t="s">
        <v>428</v>
      </c>
      <c r="I411" s="105"/>
      <c r="J411" s="105"/>
      <c r="K411" s="105"/>
      <c r="L411" s="105"/>
    </row>
    <row r="412" spans="1:12" ht="18" customHeight="1" x14ac:dyDescent="0.2">
      <c r="A412" s="52" t="s">
        <v>429</v>
      </c>
      <c r="B412" s="49" t="s">
        <v>430</v>
      </c>
      <c r="C412" s="36">
        <f>$C$7/C408</f>
        <v>0.32375379787905673</v>
      </c>
      <c r="D412" s="49" t="s">
        <v>125</v>
      </c>
      <c r="E412" s="49" t="s">
        <v>431</v>
      </c>
      <c r="F412" s="49" t="s">
        <v>21</v>
      </c>
      <c r="G412" s="29" t="s">
        <v>432</v>
      </c>
      <c r="H412" s="105" t="s">
        <v>433</v>
      </c>
      <c r="I412" s="105"/>
      <c r="J412" s="105"/>
      <c r="K412" s="105"/>
      <c r="L412" s="105"/>
    </row>
    <row r="413" spans="1:12" ht="18" customHeight="1" x14ac:dyDescent="0.2">
      <c r="A413" s="49" t="s">
        <v>434</v>
      </c>
      <c r="B413" s="49" t="s">
        <v>435</v>
      </c>
      <c r="C413" s="36">
        <f>2*'Stability Constants'!$C$13*('Stability Constants'!$C$4-'Stability Constants'!$C$3)*'Stability Constants'!$C$14*'Supersonic Stability'!C408</f>
        <v>110751.15275489727</v>
      </c>
      <c r="D413" s="49" t="s">
        <v>125</v>
      </c>
      <c r="E413" s="49" t="s">
        <v>224</v>
      </c>
      <c r="F413" s="49" t="s">
        <v>21</v>
      </c>
      <c r="G413" s="29" t="s">
        <v>437</v>
      </c>
      <c r="H413" s="105" t="s">
        <v>438</v>
      </c>
      <c r="I413" s="105"/>
      <c r="J413" s="105"/>
      <c r="K413" s="105"/>
      <c r="L413" s="105"/>
    </row>
    <row r="414" spans="1:12" ht="18" customHeight="1" x14ac:dyDescent="0.2">
      <c r="A414" s="49" t="s">
        <v>439</v>
      </c>
      <c r="B414" s="49" t="s">
        <v>440</v>
      </c>
      <c r="C414" s="36">
        <f>2*'Stability Constants'!$C$13*('Stability Constants'!$C$6-'Stability Constants'!$C$5)*'Stability Constants'!$C$15*'Supersonic Stability'!C408</f>
        <v>69284.153219510757</v>
      </c>
      <c r="D414" s="49" t="s">
        <v>125</v>
      </c>
      <c r="E414" s="49" t="s">
        <v>224</v>
      </c>
      <c r="F414" s="49" t="s">
        <v>21</v>
      </c>
      <c r="G414" s="29" t="s">
        <v>442</v>
      </c>
      <c r="H414" s="105" t="s">
        <v>438</v>
      </c>
      <c r="I414" s="105"/>
      <c r="J414" s="105"/>
      <c r="K414" s="105"/>
      <c r="L414" s="105"/>
    </row>
    <row r="415" spans="1:12" ht="18" customHeight="1" x14ac:dyDescent="0.2">
      <c r="A415" s="126" t="s">
        <v>511</v>
      </c>
      <c r="B415" s="116"/>
      <c r="C415" s="116"/>
      <c r="D415" s="116"/>
      <c r="E415" s="116"/>
      <c r="F415" s="116"/>
      <c r="G415" s="116"/>
      <c r="H415" s="116"/>
      <c r="I415" s="116"/>
      <c r="J415" s="116"/>
      <c r="K415" s="116"/>
      <c r="L415" s="120"/>
    </row>
    <row r="416" spans="1:12" ht="18" customHeight="1" x14ac:dyDescent="0.2">
      <c r="A416" s="23" t="s">
        <v>5</v>
      </c>
      <c r="B416" s="23" t="s">
        <v>96</v>
      </c>
      <c r="C416" s="50" t="s">
        <v>7</v>
      </c>
      <c r="D416" s="50" t="s">
        <v>125</v>
      </c>
      <c r="E416" s="50" t="s">
        <v>8</v>
      </c>
      <c r="F416" s="50" t="s">
        <v>9</v>
      </c>
      <c r="G416" s="31" t="s">
        <v>459</v>
      </c>
      <c r="H416" s="117" t="s">
        <v>11</v>
      </c>
      <c r="I416" s="118"/>
      <c r="J416" s="118"/>
      <c r="K416" s="118"/>
      <c r="L416" s="119"/>
    </row>
    <row r="417" spans="1:12" ht="18" customHeight="1" x14ac:dyDescent="0.2">
      <c r="A417" s="49" t="s">
        <v>450</v>
      </c>
      <c r="B417" s="47" t="s">
        <v>446</v>
      </c>
      <c r="C417" s="48">
        <f>(C382 + C383* 'Stability Constants'!$C$16*'Supersonic Stability'!$C$4/'Initial Estimates'!$C$5)*'Stability Constants'!$C$8/'Initial Estimates'!$C$10 - 'Supersonic Stability'!C383*'Stability Constants'!$C$16*'Supersonic Stability'!$C$4/'Initial Estimates'!$C$5*'Stability Constants'!$C$10/'Initial Estimates'!$C$10+'Supersonic Stability'!$C$5+('Supersonic Stability'!C389+'Stability Constants'!$C$11*'Supersonic Stability'!C390)/('Stability Constants'!$C$13*'Initial Estimates'!$C$5*'Initial Estimates'!$C$10)</f>
        <v>-6.1065690916190914E-2</v>
      </c>
      <c r="D417" s="49" t="s">
        <v>125</v>
      </c>
      <c r="E417" s="49" t="s">
        <v>137</v>
      </c>
      <c r="F417" s="49" t="s">
        <v>21</v>
      </c>
      <c r="G417" s="29" t="s">
        <v>460</v>
      </c>
      <c r="H417" s="105" t="s">
        <v>438</v>
      </c>
      <c r="I417" s="105"/>
      <c r="J417" s="105"/>
      <c r="K417" s="105"/>
      <c r="L417" s="105"/>
    </row>
    <row r="418" spans="1:12" ht="18" customHeight="1" x14ac:dyDescent="0.2">
      <c r="A418" s="49" t="s">
        <v>451</v>
      </c>
      <c r="B418" s="47" t="s">
        <v>446</v>
      </c>
      <c r="C418" s="48">
        <f>(C394 + C395* 'Stability Constants'!$C$16*'Supersonic Stability'!$C$4/'Initial Estimates'!$C$5)*'Stability Constants'!$C$8/'Initial Estimates'!$C$10 - 'Supersonic Stability'!C395*'Stability Constants'!$C$16*'Supersonic Stability'!$C$4/'Initial Estimates'!$C$5*'Stability Constants'!$C$10/'Initial Estimates'!$C$10+'Supersonic Stability'!$C$5+('Supersonic Stability'!C401+'Stability Constants'!$C$11*'Supersonic Stability'!C402)/('Stability Constants'!$C$13*'Initial Estimates'!$C$5*'Initial Estimates'!$C$10)</f>
        <v>-5.2937073783740275E-2</v>
      </c>
      <c r="D418" s="49" t="s">
        <v>125</v>
      </c>
      <c r="E418" s="49" t="s">
        <v>137</v>
      </c>
      <c r="F418" s="49" t="s">
        <v>21</v>
      </c>
      <c r="G418" s="29" t="s">
        <v>460</v>
      </c>
      <c r="H418" s="105" t="s">
        <v>438</v>
      </c>
      <c r="I418" s="105"/>
      <c r="J418" s="105"/>
      <c r="K418" s="105"/>
      <c r="L418" s="105"/>
    </row>
    <row r="419" spans="1:12" ht="18" customHeight="1" x14ac:dyDescent="0.2">
      <c r="A419" s="49" t="s">
        <v>452</v>
      </c>
      <c r="B419" s="47" t="s">
        <v>446</v>
      </c>
      <c r="C419" s="48">
        <f>(C406 + C407* 'Stability Constants'!$C$16*'Supersonic Stability'!$C$4/'Initial Estimates'!$C$5)*'Stability Constants'!$C$8/'Initial Estimates'!$C$10 - 'Supersonic Stability'!C407*'Stability Constants'!$C$16*'Supersonic Stability'!$C$4/'Initial Estimates'!$C$5*'Stability Constants'!$C$10/'Initial Estimates'!$C$10+'Supersonic Stability'!$C$5+('Supersonic Stability'!C413+'Stability Constants'!$C$11*'Supersonic Stability'!C414)/('Stability Constants'!$C$13*'Initial Estimates'!$C$5*'Initial Estimates'!$C$10)</f>
        <v>-4.6145436391628054E-2</v>
      </c>
      <c r="D419" s="49" t="s">
        <v>125</v>
      </c>
      <c r="E419" s="49" t="s">
        <v>137</v>
      </c>
      <c r="F419" s="49" t="s">
        <v>21</v>
      </c>
      <c r="G419" s="29" t="s">
        <v>460</v>
      </c>
      <c r="H419" s="105" t="s">
        <v>438</v>
      </c>
      <c r="I419" s="105"/>
      <c r="J419" s="105"/>
      <c r="K419" s="105"/>
      <c r="L419" s="105"/>
    </row>
    <row r="420" spans="1:12" ht="18" customHeight="1" x14ac:dyDescent="0.2">
      <c r="A420" s="49" t="s">
        <v>506</v>
      </c>
      <c r="B420" s="47" t="s">
        <v>453</v>
      </c>
      <c r="C420" s="48">
        <f xml:space="preserve"> ( C386 + C387*(1 - C388)*'Stability Constants'!$C$16*('Supersonic Stability'!$C$4/'Initial Estimates'!$C$5))*('Stability Constants'!$C$8/'Initial Estimates'!$C$10) - C387*(1 - C388)*'Stability Constants'!$C$16*'Supersonic Stability'!$C$3 + 2*('Stability Constants'!$C$4-'Stability Constants'!$C$3)*'Stability Constants'!$C$14/('Initial Estimates'!$C$10*'Initial Estimates'!$C$5) + 2*'Stability Constants'!$C$11*('Stability Constants'!$C$6-'Stability Constants'!$C$5)*'Stability Constants'!$C$15/('Initial Estimates'!$C$10*'Initial Estimates'!$C$5)</f>
        <v>-1.1278770146199264</v>
      </c>
      <c r="D420" s="49" t="s">
        <v>125</v>
      </c>
      <c r="E420" s="49" t="s">
        <v>421</v>
      </c>
      <c r="F420" s="49" t="s">
        <v>21</v>
      </c>
      <c r="G420" s="29" t="s">
        <v>458</v>
      </c>
      <c r="H420" s="105" t="s">
        <v>438</v>
      </c>
      <c r="I420" s="105"/>
      <c r="J420" s="105"/>
      <c r="K420" s="105"/>
      <c r="L420" s="105"/>
    </row>
    <row r="421" spans="1:12" ht="18" customHeight="1" x14ac:dyDescent="0.2">
      <c r="A421" s="49" t="s">
        <v>507</v>
      </c>
      <c r="B421" s="47" t="s">
        <v>453</v>
      </c>
      <c r="C421" s="48">
        <f xml:space="preserve"> ( C398 + C399*(1 - C400)*'Stability Constants'!$C$16*('Supersonic Stability'!$C$4/'Initial Estimates'!$C$5))*('Stability Constants'!$C$8/'Initial Estimates'!$C$10) - C399*(1 - C400)*'Stability Constants'!$C$16*'Supersonic Stability'!$C$3 + 2*('Stability Constants'!$C$4-'Stability Constants'!$C$3)*'Stability Constants'!$C$14/('Initial Estimates'!$C$10*'Initial Estimates'!$C$5) + 2*'Stability Constants'!$C$11*('Stability Constants'!$C$6-'Stability Constants'!$C$5)*'Stability Constants'!$C$15/('Initial Estimates'!$C$10*'Initial Estimates'!$C$5)</f>
        <v>-0.99828500553251442</v>
      </c>
      <c r="D421" s="49" t="s">
        <v>125</v>
      </c>
      <c r="E421" s="49" t="s">
        <v>421</v>
      </c>
      <c r="F421" s="49" t="s">
        <v>21</v>
      </c>
      <c r="G421" s="29" t="s">
        <v>458</v>
      </c>
      <c r="H421" s="105" t="s">
        <v>438</v>
      </c>
      <c r="I421" s="105"/>
      <c r="J421" s="105"/>
      <c r="K421" s="105"/>
      <c r="L421" s="105"/>
    </row>
    <row r="422" spans="1:12" ht="18" customHeight="1" x14ac:dyDescent="0.2">
      <c r="A422" s="49" t="s">
        <v>505</v>
      </c>
      <c r="B422" s="47" t="s">
        <v>453</v>
      </c>
      <c r="C422" s="48">
        <f xml:space="preserve"> ( C410 + C411*(1 - C412)*'Stability Constants'!$C$16*('Supersonic Stability'!$C$4/'Initial Estimates'!$C$5))*('Stability Constants'!$C$8/'Initial Estimates'!$C$10) - C411*(1 - C412)*'Stability Constants'!$C$16*'Supersonic Stability'!$C$3 + 2*('Stability Constants'!$C$4-'Stability Constants'!$C$3)*'Stability Constants'!$C$14/('Initial Estimates'!$C$10*'Initial Estimates'!$C$5) + 2*'Stability Constants'!$C$11*('Stability Constants'!$C$6-'Stability Constants'!$C$5)*'Stability Constants'!$C$15/('Initial Estimates'!$C$10*'Initial Estimates'!$C$5)</f>
        <v>-0.88032516436722796</v>
      </c>
      <c r="D422" s="49" t="s">
        <v>125</v>
      </c>
      <c r="E422" s="49" t="s">
        <v>421</v>
      </c>
      <c r="F422" s="49" t="s">
        <v>21</v>
      </c>
      <c r="G422" s="29" t="s">
        <v>458</v>
      </c>
      <c r="H422" s="105" t="s">
        <v>438</v>
      </c>
      <c r="I422" s="105"/>
      <c r="J422" s="105"/>
      <c r="K422" s="105"/>
      <c r="L422" s="105"/>
    </row>
    <row r="424" spans="1:12" ht="18" customHeight="1" x14ac:dyDescent="0.2">
      <c r="A424" s="124"/>
      <c r="B424" s="124"/>
      <c r="C424" s="124"/>
      <c r="D424" s="124"/>
      <c r="E424" s="124"/>
      <c r="F424" s="124"/>
      <c r="G424" s="124"/>
      <c r="H424" s="124"/>
      <c r="I424" s="124"/>
      <c r="J424" s="124"/>
      <c r="K424" s="124"/>
      <c r="L424" s="124"/>
    </row>
    <row r="425" spans="1:12" ht="18" customHeight="1" x14ac:dyDescent="0.2">
      <c r="A425" s="125"/>
      <c r="B425" s="125"/>
      <c r="C425" s="125"/>
      <c r="D425" s="125"/>
      <c r="E425" s="125"/>
      <c r="F425" s="125"/>
      <c r="G425" s="125"/>
      <c r="H425" s="125"/>
      <c r="I425" s="125"/>
      <c r="J425" s="125"/>
      <c r="K425" s="125"/>
      <c r="L425" s="125"/>
    </row>
    <row r="426" spans="1:12" ht="18" customHeight="1" x14ac:dyDescent="0.2">
      <c r="A426" s="113" t="s">
        <v>512</v>
      </c>
      <c r="B426" s="114"/>
      <c r="C426" s="114"/>
      <c r="D426" s="114"/>
      <c r="E426" s="114"/>
      <c r="F426" s="114"/>
      <c r="G426" s="114"/>
      <c r="H426" s="114"/>
      <c r="I426" s="114"/>
      <c r="J426" s="114"/>
      <c r="K426" s="114"/>
      <c r="L426" s="115"/>
    </row>
    <row r="427" spans="1:12" ht="18" customHeight="1" x14ac:dyDescent="0.2">
      <c r="A427" s="23" t="s">
        <v>5</v>
      </c>
      <c r="B427" s="23" t="s">
        <v>96</v>
      </c>
      <c r="C427" s="50" t="s">
        <v>7</v>
      </c>
      <c r="D427" s="50" t="s">
        <v>125</v>
      </c>
      <c r="E427" s="50" t="s">
        <v>8</v>
      </c>
      <c r="F427" s="50" t="s">
        <v>9</v>
      </c>
      <c r="G427" s="31" t="s">
        <v>10</v>
      </c>
      <c r="H427" s="117" t="s">
        <v>11</v>
      </c>
      <c r="I427" s="118"/>
      <c r="J427" s="118"/>
      <c r="K427" s="118"/>
      <c r="L427" s="119"/>
    </row>
    <row r="428" spans="1:12" ht="18" customHeight="1" x14ac:dyDescent="0.2">
      <c r="A428" s="52" t="s">
        <v>410</v>
      </c>
      <c r="B428" s="49" t="s">
        <v>411</v>
      </c>
      <c r="C428" s="13">
        <v>0.5</v>
      </c>
      <c r="D428" s="49" t="s">
        <v>125</v>
      </c>
      <c r="E428" s="49" t="s">
        <v>137</v>
      </c>
      <c r="F428" s="49" t="s">
        <v>14</v>
      </c>
      <c r="G428" s="29" t="s">
        <v>137</v>
      </c>
      <c r="H428" s="123" t="s">
        <v>412</v>
      </c>
      <c r="I428" s="123"/>
      <c r="J428" s="123"/>
      <c r="K428" s="123"/>
      <c r="L428" s="123"/>
    </row>
    <row r="429" spans="1:12" ht="18" customHeight="1" x14ac:dyDescent="0.2">
      <c r="A429" s="52" t="s">
        <v>375</v>
      </c>
      <c r="B429" s="49" t="s">
        <v>376</v>
      </c>
      <c r="C429" s="13">
        <f>'Initial Estimates'!$C$5*'Initial Estimates'!$C$10/'Stability Constants'!$C$9</f>
        <v>1010.3597808100012</v>
      </c>
      <c r="D429" s="49" t="s">
        <v>125</v>
      </c>
      <c r="E429" s="49" t="s">
        <v>222</v>
      </c>
      <c r="F429" s="49" t="s">
        <v>21</v>
      </c>
      <c r="G429" s="29" t="s">
        <v>456</v>
      </c>
      <c r="H429" s="123" t="s">
        <v>382</v>
      </c>
      <c r="I429" s="123"/>
      <c r="J429" s="123"/>
      <c r="K429" s="123"/>
      <c r="L429" s="123"/>
    </row>
    <row r="430" spans="1:12" ht="18" customHeight="1" x14ac:dyDescent="0.2">
      <c r="A430" s="52" t="s">
        <v>353</v>
      </c>
      <c r="B430" s="49" t="s">
        <v>354</v>
      </c>
      <c r="C430" s="13">
        <v>0</v>
      </c>
      <c r="D430" s="49" t="s">
        <v>125</v>
      </c>
      <c r="E430" s="49" t="s">
        <v>137</v>
      </c>
      <c r="F430" s="49" t="s">
        <v>14</v>
      </c>
      <c r="G430" s="29" t="s">
        <v>355</v>
      </c>
      <c r="H430" s="105" t="s">
        <v>413</v>
      </c>
      <c r="I430" s="105"/>
      <c r="J430" s="105"/>
      <c r="K430" s="105"/>
      <c r="L430" s="105"/>
    </row>
    <row r="431" spans="1:12" ht="18" customHeight="1" x14ac:dyDescent="0.2">
      <c r="A431" s="52" t="s">
        <v>339</v>
      </c>
      <c r="B431" s="49" t="s">
        <v>340</v>
      </c>
      <c r="C431" s="13">
        <v>0</v>
      </c>
      <c r="D431" s="13" t="s">
        <v>125</v>
      </c>
      <c r="E431" s="49" t="s">
        <v>137</v>
      </c>
      <c r="F431" s="49" t="s">
        <v>14</v>
      </c>
      <c r="G431" s="29" t="s">
        <v>418</v>
      </c>
      <c r="H431" s="122" t="s">
        <v>341</v>
      </c>
      <c r="I431" s="122"/>
      <c r="J431" s="122"/>
      <c r="K431" s="122"/>
      <c r="L431" s="122"/>
    </row>
    <row r="432" spans="1:12" ht="18" customHeight="1" x14ac:dyDescent="0.2">
      <c r="A432" s="52" t="s">
        <v>414</v>
      </c>
      <c r="B432" s="49" t="s">
        <v>415</v>
      </c>
      <c r="C432" s="13" t="e">
        <f>2*C436/(PI()*'Initial Estimates'!C167)*(1+C431)</f>
        <v>#DIV/0!</v>
      </c>
      <c r="D432" s="49" t="s">
        <v>125</v>
      </c>
      <c r="E432" s="49" t="s">
        <v>137</v>
      </c>
      <c r="F432" s="49" t="s">
        <v>14</v>
      </c>
      <c r="G432" s="29" t="s">
        <v>416</v>
      </c>
      <c r="H432" s="105" t="s">
        <v>417</v>
      </c>
      <c r="I432" s="105"/>
      <c r="J432" s="105"/>
      <c r="K432" s="105"/>
      <c r="L432" s="105"/>
    </row>
    <row r="433" spans="1:12" ht="18" customHeight="1" x14ac:dyDescent="0.2">
      <c r="A433" s="126" t="s">
        <v>501</v>
      </c>
      <c r="B433" s="116"/>
      <c r="C433" s="116"/>
      <c r="D433" s="116"/>
      <c r="E433" s="116"/>
      <c r="F433" s="116"/>
      <c r="G433" s="116"/>
      <c r="H433" s="116"/>
      <c r="I433" s="116"/>
      <c r="J433" s="116"/>
      <c r="K433" s="116"/>
      <c r="L433" s="120"/>
    </row>
    <row r="434" spans="1:12" ht="18" customHeight="1" x14ac:dyDescent="0.2">
      <c r="A434" s="23" t="s">
        <v>5</v>
      </c>
      <c r="B434" s="23" t="s">
        <v>96</v>
      </c>
      <c r="C434" s="50" t="s">
        <v>7</v>
      </c>
      <c r="D434" s="50" t="s">
        <v>125</v>
      </c>
      <c r="E434" s="50" t="s">
        <v>8</v>
      </c>
      <c r="F434" s="50" t="s">
        <v>9</v>
      </c>
      <c r="G434" s="31" t="s">
        <v>10</v>
      </c>
      <c r="H434" s="117" t="s">
        <v>11</v>
      </c>
      <c r="I434" s="118"/>
      <c r="J434" s="118"/>
      <c r="K434" s="118"/>
      <c r="L434" s="119"/>
    </row>
    <row r="435" spans="1:12" ht="18" customHeight="1" x14ac:dyDescent="0.2">
      <c r="A435" s="49" t="s">
        <v>379</v>
      </c>
      <c r="B435" s="49" t="s">
        <v>380</v>
      </c>
      <c r="C435" s="36">
        <v>1.6</v>
      </c>
      <c r="D435" s="49" t="s">
        <v>125</v>
      </c>
      <c r="E435" s="49" t="s">
        <v>137</v>
      </c>
      <c r="F435" s="49" t="s">
        <v>484</v>
      </c>
      <c r="G435" s="29" t="s">
        <v>137</v>
      </c>
      <c r="H435" s="121" t="s">
        <v>309</v>
      </c>
      <c r="I435" s="121"/>
      <c r="J435" s="121"/>
      <c r="K435" s="121"/>
      <c r="L435" s="121"/>
    </row>
    <row r="436" spans="1:12" ht="18" customHeight="1" x14ac:dyDescent="0.2">
      <c r="A436" s="49" t="s">
        <v>405</v>
      </c>
      <c r="B436" s="49" t="s">
        <v>406</v>
      </c>
      <c r="C436" s="36">
        <v>0.14610000000000001</v>
      </c>
      <c r="D436" s="49" t="s">
        <v>125</v>
      </c>
      <c r="E436" s="49" t="s">
        <v>137</v>
      </c>
      <c r="F436" s="49" t="s">
        <v>399</v>
      </c>
      <c r="G436" s="29" t="s">
        <v>485</v>
      </c>
      <c r="H436" s="122" t="s">
        <v>486</v>
      </c>
      <c r="I436" s="122"/>
      <c r="J436" s="122"/>
      <c r="K436" s="122"/>
      <c r="L436" s="122"/>
    </row>
    <row r="437" spans="1:12" ht="18" customHeight="1" x14ac:dyDescent="0.2">
      <c r="A437" s="49" t="s">
        <v>447</v>
      </c>
      <c r="B437" s="47" t="s">
        <v>448</v>
      </c>
      <c r="C437" s="48">
        <v>7.0376778962831052E-2</v>
      </c>
      <c r="D437" s="49" t="s">
        <v>125</v>
      </c>
      <c r="E437" s="49" t="s">
        <v>137</v>
      </c>
      <c r="F437" s="49" t="s">
        <v>399</v>
      </c>
      <c r="G437" s="29" t="s">
        <v>137</v>
      </c>
      <c r="H437" s="122" t="s">
        <v>449</v>
      </c>
      <c r="I437" s="122"/>
      <c r="J437" s="122"/>
      <c r="K437" s="122"/>
      <c r="L437" s="122"/>
    </row>
    <row r="438" spans="1:12" ht="18" customHeight="1" x14ac:dyDescent="0.2">
      <c r="A438" s="49" t="s">
        <v>403</v>
      </c>
      <c r="B438" s="49" t="s">
        <v>436</v>
      </c>
      <c r="C438" s="36">
        <f>2.66*PI()/180</f>
        <v>4.6425758103049171E-2</v>
      </c>
      <c r="D438" s="49" t="s">
        <v>125</v>
      </c>
      <c r="E438" s="49" t="s">
        <v>407</v>
      </c>
      <c r="F438" s="49" t="s">
        <v>9</v>
      </c>
      <c r="G438" s="29" t="s">
        <v>137</v>
      </c>
      <c r="H438" s="122" t="s">
        <v>409</v>
      </c>
      <c r="I438" s="122"/>
      <c r="J438" s="122"/>
      <c r="K438" s="122"/>
      <c r="L438" s="122"/>
    </row>
    <row r="439" spans="1:12" ht="18" customHeight="1" x14ac:dyDescent="0.2">
      <c r="A439" s="49" t="s">
        <v>480</v>
      </c>
      <c r="B439" s="47" t="s">
        <v>481</v>
      </c>
      <c r="C439" s="48">
        <f>C437/C441</f>
        <v>2.2363417633129049E-2</v>
      </c>
      <c r="D439" s="49" t="s">
        <v>125</v>
      </c>
      <c r="E439" s="49" t="s">
        <v>407</v>
      </c>
      <c r="F439" s="49" t="s">
        <v>21</v>
      </c>
      <c r="G439" s="29" t="s">
        <v>482</v>
      </c>
      <c r="H439" s="122" t="s">
        <v>483</v>
      </c>
      <c r="I439" s="122"/>
      <c r="J439" s="122"/>
      <c r="K439" s="122"/>
      <c r="L439" s="122"/>
    </row>
    <row r="440" spans="1:12" ht="18" customHeight="1" x14ac:dyDescent="0.2">
      <c r="A440" s="49" t="s">
        <v>419</v>
      </c>
      <c r="B440" s="49" t="s">
        <v>420</v>
      </c>
      <c r="C440" s="36">
        <f>C436/C438</f>
        <v>3.1469599198726792</v>
      </c>
      <c r="D440" s="49" t="s">
        <v>125</v>
      </c>
      <c r="E440" s="49" t="s">
        <v>421</v>
      </c>
      <c r="F440" s="49" t="s">
        <v>21</v>
      </c>
      <c r="G440" s="29" t="s">
        <v>422</v>
      </c>
      <c r="H440" s="105" t="s">
        <v>423</v>
      </c>
      <c r="I440" s="105"/>
      <c r="J440" s="105"/>
      <c r="K440" s="105"/>
      <c r="L440" s="105"/>
    </row>
    <row r="441" spans="1:12" ht="18" customHeight="1" x14ac:dyDescent="0.2">
      <c r="A441" s="49" t="s">
        <v>425</v>
      </c>
      <c r="B441" s="49" t="s">
        <v>426</v>
      </c>
      <c r="C441" s="36">
        <f>C440</f>
        <v>3.1469599198726792</v>
      </c>
      <c r="D441" s="49" t="s">
        <v>125</v>
      </c>
      <c r="E441" s="49" t="s">
        <v>421</v>
      </c>
      <c r="F441" s="49" t="s">
        <v>21</v>
      </c>
      <c r="G441" s="29" t="s">
        <v>427</v>
      </c>
      <c r="H441" s="105" t="s">
        <v>428</v>
      </c>
      <c r="I441" s="105"/>
      <c r="J441" s="105"/>
      <c r="K441" s="105"/>
      <c r="L441" s="105"/>
    </row>
    <row r="442" spans="1:12" ht="18" customHeight="1" x14ac:dyDescent="0.2">
      <c r="A442" s="52" t="s">
        <v>429</v>
      </c>
      <c r="B442" s="49" t="s">
        <v>430</v>
      </c>
      <c r="C442" s="36">
        <f>$C$7/C438</f>
        <v>0.39434673125118186</v>
      </c>
      <c r="D442" s="49" t="s">
        <v>125</v>
      </c>
      <c r="E442" s="49" t="s">
        <v>431</v>
      </c>
      <c r="F442" s="49" t="s">
        <v>21</v>
      </c>
      <c r="G442" s="29" t="s">
        <v>432</v>
      </c>
      <c r="H442" s="105" t="s">
        <v>433</v>
      </c>
      <c r="I442" s="105"/>
      <c r="J442" s="105"/>
      <c r="K442" s="105"/>
      <c r="L442" s="105"/>
    </row>
    <row r="443" spans="1:12" ht="18" customHeight="1" x14ac:dyDescent="0.2">
      <c r="A443" s="49" t="s">
        <v>434</v>
      </c>
      <c r="B443" s="49" t="s">
        <v>435</v>
      </c>
      <c r="C443" s="36">
        <f>2*'Stability Constants'!$C$13*('Stability Constants'!$C$4-'Stability Constants'!$C$3)*'Stability Constants'!$C$14*'Supersonic Stability'!C438</f>
        <v>90925.329113588494</v>
      </c>
      <c r="D443" s="49" t="s">
        <v>125</v>
      </c>
      <c r="E443" s="49" t="s">
        <v>224</v>
      </c>
      <c r="F443" s="49" t="s">
        <v>21</v>
      </c>
      <c r="G443" s="29" t="s">
        <v>437</v>
      </c>
      <c r="H443" s="105" t="s">
        <v>438</v>
      </c>
      <c r="I443" s="105"/>
      <c r="J443" s="105"/>
      <c r="K443" s="105"/>
      <c r="L443" s="105"/>
    </row>
    <row r="444" spans="1:12" ht="18" customHeight="1" x14ac:dyDescent="0.2">
      <c r="A444" s="49" t="s">
        <v>439</v>
      </c>
      <c r="B444" s="49" t="s">
        <v>440</v>
      </c>
      <c r="C444" s="36">
        <f>2*'Stability Constants'!$C$13*('Stability Constants'!$C$6-'Stability Constants'!$C$5)*'Stability Constants'!$C$15*'Supersonic Stability'!C438</f>
        <v>56881.434433302042</v>
      </c>
      <c r="D444" s="49" t="s">
        <v>125</v>
      </c>
      <c r="E444" s="49" t="s">
        <v>224</v>
      </c>
      <c r="F444" s="49" t="s">
        <v>21</v>
      </c>
      <c r="G444" s="29" t="s">
        <v>442</v>
      </c>
      <c r="H444" s="105" t="s">
        <v>438</v>
      </c>
      <c r="I444" s="105"/>
      <c r="J444" s="105"/>
      <c r="K444" s="105"/>
      <c r="L444" s="105"/>
    </row>
    <row r="445" spans="1:12" ht="18" customHeight="1" x14ac:dyDescent="0.2">
      <c r="A445" s="126" t="s">
        <v>503</v>
      </c>
      <c r="B445" s="116"/>
      <c r="C445" s="116"/>
      <c r="D445" s="116"/>
      <c r="E445" s="116"/>
      <c r="F445" s="116"/>
      <c r="G445" s="116"/>
      <c r="H445" s="116"/>
      <c r="I445" s="116"/>
      <c r="J445" s="116"/>
      <c r="K445" s="116"/>
      <c r="L445" s="120"/>
    </row>
    <row r="446" spans="1:12" ht="18" customHeight="1" x14ac:dyDescent="0.2">
      <c r="A446" s="23" t="s">
        <v>5</v>
      </c>
      <c r="B446" s="23" t="s">
        <v>96</v>
      </c>
      <c r="C446" s="50" t="s">
        <v>7</v>
      </c>
      <c r="D446" s="50" t="s">
        <v>125</v>
      </c>
      <c r="E446" s="50" t="s">
        <v>8</v>
      </c>
      <c r="F446" s="50" t="s">
        <v>9</v>
      </c>
      <c r="G446" s="31" t="s">
        <v>10</v>
      </c>
      <c r="H446" s="117" t="s">
        <v>11</v>
      </c>
      <c r="I446" s="118"/>
      <c r="J446" s="118"/>
      <c r="K446" s="118"/>
      <c r="L446" s="119"/>
    </row>
    <row r="447" spans="1:12" ht="18" customHeight="1" x14ac:dyDescent="0.2">
      <c r="A447" s="49" t="s">
        <v>379</v>
      </c>
      <c r="B447" s="49" t="s">
        <v>380</v>
      </c>
      <c r="C447" s="36">
        <v>1.7</v>
      </c>
      <c r="D447" s="49" t="s">
        <v>125</v>
      </c>
      <c r="E447" s="49" t="s">
        <v>137</v>
      </c>
      <c r="F447" s="49" t="s">
        <v>484</v>
      </c>
      <c r="G447" s="29" t="s">
        <v>137</v>
      </c>
      <c r="H447" s="121" t="s">
        <v>309</v>
      </c>
      <c r="I447" s="121"/>
      <c r="J447" s="121"/>
      <c r="K447" s="121"/>
      <c r="L447" s="121"/>
    </row>
    <row r="448" spans="1:12" ht="18" customHeight="1" x14ac:dyDescent="0.2">
      <c r="A448" s="49" t="s">
        <v>405</v>
      </c>
      <c r="B448" s="49" t="s">
        <v>406</v>
      </c>
      <c r="C448" s="36">
        <v>0.1293</v>
      </c>
      <c r="D448" s="49" t="s">
        <v>125</v>
      </c>
      <c r="E448" s="49" t="s">
        <v>137</v>
      </c>
      <c r="F448" s="49" t="s">
        <v>399</v>
      </c>
      <c r="G448" s="29" t="s">
        <v>485</v>
      </c>
      <c r="H448" s="122" t="s">
        <v>486</v>
      </c>
      <c r="I448" s="122"/>
      <c r="J448" s="122"/>
      <c r="K448" s="122"/>
      <c r="L448" s="122"/>
    </row>
    <row r="449" spans="1:12" ht="18" customHeight="1" x14ac:dyDescent="0.2">
      <c r="A449" s="49" t="s">
        <v>447</v>
      </c>
      <c r="B449" s="47" t="s">
        <v>448</v>
      </c>
      <c r="C449" s="48">
        <v>6.6867794461096905E-2</v>
      </c>
      <c r="D449" s="49" t="s">
        <v>125</v>
      </c>
      <c r="E449" s="49" t="s">
        <v>137</v>
      </c>
      <c r="F449" s="49" t="s">
        <v>399</v>
      </c>
      <c r="G449" s="29" t="s">
        <v>137</v>
      </c>
      <c r="H449" s="122" t="s">
        <v>449</v>
      </c>
      <c r="I449" s="122"/>
      <c r="J449" s="122"/>
      <c r="K449" s="122"/>
      <c r="L449" s="122"/>
    </row>
    <row r="450" spans="1:12" ht="18" customHeight="1" x14ac:dyDescent="0.2">
      <c r="A450" s="49" t="s">
        <v>403</v>
      </c>
      <c r="B450" s="49" t="s">
        <v>436</v>
      </c>
      <c r="C450" s="36">
        <f>2.54*PI()/180</f>
        <v>4.4331363000655974E-2</v>
      </c>
      <c r="D450" s="49" t="s">
        <v>125</v>
      </c>
      <c r="E450" s="49" t="s">
        <v>407</v>
      </c>
      <c r="F450" s="49" t="s">
        <v>9</v>
      </c>
      <c r="G450" s="29" t="s">
        <v>495</v>
      </c>
      <c r="H450" s="122" t="s">
        <v>409</v>
      </c>
      <c r="I450" s="122"/>
      <c r="J450" s="122"/>
      <c r="K450" s="122"/>
      <c r="L450" s="122"/>
    </row>
    <row r="451" spans="1:12" ht="18" customHeight="1" x14ac:dyDescent="0.2">
      <c r="A451" s="49" t="s">
        <v>480</v>
      </c>
      <c r="B451" s="47" t="s">
        <v>481</v>
      </c>
      <c r="C451" s="48">
        <f>C449/C453</f>
        <v>2.2926067048013456E-2</v>
      </c>
      <c r="D451" s="49" t="s">
        <v>125</v>
      </c>
      <c r="E451" s="49" t="s">
        <v>407</v>
      </c>
      <c r="F451" s="49" t="s">
        <v>21</v>
      </c>
      <c r="G451" s="29" t="s">
        <v>482</v>
      </c>
      <c r="H451" s="122" t="s">
        <v>483</v>
      </c>
      <c r="I451" s="122"/>
      <c r="J451" s="122"/>
      <c r="K451" s="122"/>
      <c r="L451" s="122"/>
    </row>
    <row r="452" spans="1:12" ht="18" customHeight="1" x14ac:dyDescent="0.2">
      <c r="A452" s="49" t="s">
        <v>419</v>
      </c>
      <c r="B452" s="49" t="s">
        <v>420</v>
      </c>
      <c r="C452" s="36">
        <f>C448/C450</f>
        <v>2.9166709807250171</v>
      </c>
      <c r="D452" s="49" t="s">
        <v>125</v>
      </c>
      <c r="E452" s="49" t="s">
        <v>421</v>
      </c>
      <c r="F452" s="49" t="s">
        <v>21</v>
      </c>
      <c r="G452" s="29" t="s">
        <v>422</v>
      </c>
      <c r="H452" s="105" t="s">
        <v>423</v>
      </c>
      <c r="I452" s="105"/>
      <c r="J452" s="105"/>
      <c r="K452" s="105"/>
      <c r="L452" s="105"/>
    </row>
    <row r="453" spans="1:12" ht="18" customHeight="1" x14ac:dyDescent="0.2">
      <c r="A453" s="49" t="s">
        <v>425</v>
      </c>
      <c r="B453" s="49" t="s">
        <v>426</v>
      </c>
      <c r="C453" s="36">
        <f>C452</f>
        <v>2.9166709807250171</v>
      </c>
      <c r="D453" s="49" t="s">
        <v>125</v>
      </c>
      <c r="E453" s="49" t="s">
        <v>421</v>
      </c>
      <c r="F453" s="49" t="s">
        <v>21</v>
      </c>
      <c r="G453" s="29" t="s">
        <v>427</v>
      </c>
      <c r="H453" s="105" t="s">
        <v>428</v>
      </c>
      <c r="I453" s="105"/>
      <c r="J453" s="105"/>
      <c r="K453" s="105"/>
      <c r="L453" s="105"/>
    </row>
    <row r="454" spans="1:12" ht="18" customHeight="1" x14ac:dyDescent="0.2">
      <c r="A454" s="52" t="s">
        <v>429</v>
      </c>
      <c r="B454" s="49" t="s">
        <v>430</v>
      </c>
      <c r="C454" s="36">
        <f>$C$7/C450</f>
        <v>0.41297728548352119</v>
      </c>
      <c r="D454" s="49" t="s">
        <v>125</v>
      </c>
      <c r="E454" s="49" t="s">
        <v>431</v>
      </c>
      <c r="F454" s="49" t="s">
        <v>21</v>
      </c>
      <c r="G454" s="29" t="s">
        <v>432</v>
      </c>
      <c r="H454" s="105" t="s">
        <v>433</v>
      </c>
      <c r="I454" s="105"/>
      <c r="J454" s="105"/>
      <c r="K454" s="105"/>
      <c r="L454" s="105"/>
    </row>
    <row r="455" spans="1:12" ht="18" customHeight="1" x14ac:dyDescent="0.2">
      <c r="A455" s="49" t="s">
        <v>434</v>
      </c>
      <c r="B455" s="49" t="s">
        <v>435</v>
      </c>
      <c r="C455" s="36">
        <f>2*'Stability Constants'!$C$13*('Stability Constants'!$C$4-'Stability Constants'!$C$3)*'Stability Constants'!$C$14*'Supersonic Stability'!C450</f>
        <v>86823.434567110817</v>
      </c>
      <c r="D455" s="49" t="s">
        <v>125</v>
      </c>
      <c r="E455" s="49" t="s">
        <v>224</v>
      </c>
      <c r="F455" s="49" t="s">
        <v>21</v>
      </c>
      <c r="G455" s="29" t="s">
        <v>437</v>
      </c>
      <c r="H455" s="105" t="s">
        <v>438</v>
      </c>
      <c r="I455" s="105"/>
      <c r="J455" s="105"/>
      <c r="K455" s="105"/>
      <c r="L455" s="105"/>
    </row>
    <row r="456" spans="1:12" ht="18" customHeight="1" x14ac:dyDescent="0.2">
      <c r="A456" s="49" t="s">
        <v>439</v>
      </c>
      <c r="B456" s="49" t="s">
        <v>440</v>
      </c>
      <c r="C456" s="36">
        <f>2*'Stability Constants'!$C$13*('Stability Constants'!$C$6-'Stability Constants'!$C$5)*'Stability Constants'!$C$15*'Supersonic Stability'!C450</f>
        <v>54315.354684431273</v>
      </c>
      <c r="D456" s="49" t="s">
        <v>125</v>
      </c>
      <c r="E456" s="49" t="s">
        <v>224</v>
      </c>
      <c r="F456" s="49" t="s">
        <v>21</v>
      </c>
      <c r="G456" s="29" t="s">
        <v>442</v>
      </c>
      <c r="H456" s="105" t="s">
        <v>438</v>
      </c>
      <c r="I456" s="105"/>
      <c r="J456" s="105"/>
      <c r="K456" s="105"/>
      <c r="L456" s="105"/>
    </row>
    <row r="457" spans="1:12" ht="18" customHeight="1" x14ac:dyDescent="0.2">
      <c r="A457" s="126" t="s">
        <v>502</v>
      </c>
      <c r="B457" s="116"/>
      <c r="C457" s="116"/>
      <c r="D457" s="116"/>
      <c r="E457" s="116"/>
      <c r="F457" s="116"/>
      <c r="G457" s="116"/>
      <c r="H457" s="116"/>
      <c r="I457" s="116"/>
      <c r="J457" s="116"/>
      <c r="K457" s="116"/>
      <c r="L457" s="120"/>
    </row>
    <row r="458" spans="1:12" ht="18" customHeight="1" x14ac:dyDescent="0.2">
      <c r="A458" s="23" t="s">
        <v>5</v>
      </c>
      <c r="B458" s="23" t="s">
        <v>96</v>
      </c>
      <c r="C458" s="50" t="s">
        <v>7</v>
      </c>
      <c r="D458" s="50" t="s">
        <v>125</v>
      </c>
      <c r="E458" s="50" t="s">
        <v>8</v>
      </c>
      <c r="F458" s="50" t="s">
        <v>9</v>
      </c>
      <c r="G458" s="31" t="s">
        <v>10</v>
      </c>
      <c r="H458" s="117" t="s">
        <v>11</v>
      </c>
      <c r="I458" s="118"/>
      <c r="J458" s="118"/>
      <c r="K458" s="118"/>
      <c r="L458" s="119"/>
    </row>
    <row r="459" spans="1:12" ht="18" customHeight="1" x14ac:dyDescent="0.2">
      <c r="A459" s="49" t="s">
        <v>379</v>
      </c>
      <c r="B459" s="49" t="s">
        <v>380</v>
      </c>
      <c r="C459" s="36">
        <v>1.8</v>
      </c>
      <c r="D459" s="49" t="s">
        <v>125</v>
      </c>
      <c r="E459" s="49" t="s">
        <v>137</v>
      </c>
      <c r="F459" s="49" t="s">
        <v>484</v>
      </c>
      <c r="G459" s="29" t="s">
        <v>137</v>
      </c>
      <c r="H459" s="121" t="s">
        <v>309</v>
      </c>
      <c r="I459" s="121"/>
      <c r="J459" s="121"/>
      <c r="K459" s="121"/>
      <c r="L459" s="121"/>
    </row>
    <row r="460" spans="1:12" ht="18" customHeight="1" x14ac:dyDescent="0.2">
      <c r="A460" s="49" t="s">
        <v>405</v>
      </c>
      <c r="B460" s="49" t="s">
        <v>406</v>
      </c>
      <c r="C460" s="36">
        <v>0.1154</v>
      </c>
      <c r="D460" s="49" t="s">
        <v>125</v>
      </c>
      <c r="E460" s="49" t="s">
        <v>137</v>
      </c>
      <c r="F460" s="49" t="s">
        <v>399</v>
      </c>
      <c r="G460" s="29" t="s">
        <v>485</v>
      </c>
      <c r="H460" s="122" t="s">
        <v>486</v>
      </c>
      <c r="I460" s="122"/>
      <c r="J460" s="122"/>
      <c r="K460" s="122"/>
      <c r="L460" s="122"/>
    </row>
    <row r="461" spans="1:12" ht="18" customHeight="1" x14ac:dyDescent="0.2">
      <c r="A461" s="49" t="s">
        <v>447</v>
      </c>
      <c r="B461" s="47" t="s">
        <v>448</v>
      </c>
      <c r="C461" s="48">
        <v>6.4615630740711527E-2</v>
      </c>
      <c r="D461" s="49" t="s">
        <v>125</v>
      </c>
      <c r="E461" s="49" t="s">
        <v>137</v>
      </c>
      <c r="F461" s="49" t="s">
        <v>399</v>
      </c>
      <c r="G461" s="29" t="s">
        <v>137</v>
      </c>
      <c r="H461" s="122" t="s">
        <v>449</v>
      </c>
      <c r="I461" s="122"/>
      <c r="J461" s="122"/>
      <c r="K461" s="122"/>
      <c r="L461" s="122"/>
    </row>
    <row r="462" spans="1:12" ht="18" customHeight="1" x14ac:dyDescent="0.2">
      <c r="A462" s="49" t="s">
        <v>403</v>
      </c>
      <c r="B462" s="49" t="s">
        <v>436</v>
      </c>
      <c r="C462" s="36">
        <f>2.44*PI()/180</f>
        <v>4.2586033748661642E-2</v>
      </c>
      <c r="D462" s="49" t="s">
        <v>125</v>
      </c>
      <c r="E462" s="49" t="s">
        <v>407</v>
      </c>
      <c r="F462" s="49" t="s">
        <v>9</v>
      </c>
      <c r="G462" s="29" t="s">
        <v>137</v>
      </c>
      <c r="H462" s="122" t="s">
        <v>409</v>
      </c>
      <c r="I462" s="122"/>
      <c r="J462" s="122"/>
      <c r="K462" s="122"/>
      <c r="L462" s="122"/>
    </row>
    <row r="463" spans="1:12" ht="18" customHeight="1" x14ac:dyDescent="0.2">
      <c r="A463" s="49" t="s">
        <v>480</v>
      </c>
      <c r="B463" s="47" t="s">
        <v>481</v>
      </c>
      <c r="C463" s="48">
        <f>C461/C465</f>
        <v>2.3845090393544193E-2</v>
      </c>
      <c r="D463" s="49" t="s">
        <v>125</v>
      </c>
      <c r="E463" s="49" t="s">
        <v>407</v>
      </c>
      <c r="F463" s="49" t="s">
        <v>21</v>
      </c>
      <c r="G463" s="29" t="s">
        <v>482</v>
      </c>
      <c r="H463" s="122" t="s">
        <v>483</v>
      </c>
      <c r="I463" s="122"/>
      <c r="J463" s="122"/>
      <c r="K463" s="122"/>
      <c r="L463" s="122"/>
    </row>
    <row r="464" spans="1:12" ht="18" customHeight="1" x14ac:dyDescent="0.2">
      <c r="A464" s="49" t="s">
        <v>419</v>
      </c>
      <c r="B464" s="49" t="s">
        <v>420</v>
      </c>
      <c r="C464" s="36">
        <f>C460/C462</f>
        <v>2.7098085884465983</v>
      </c>
      <c r="D464" s="49" t="s">
        <v>125</v>
      </c>
      <c r="E464" s="49" t="s">
        <v>421</v>
      </c>
      <c r="F464" s="49" t="s">
        <v>21</v>
      </c>
      <c r="G464" s="29" t="s">
        <v>422</v>
      </c>
      <c r="H464" s="105" t="s">
        <v>423</v>
      </c>
      <c r="I464" s="105"/>
      <c r="J464" s="105"/>
      <c r="K464" s="105"/>
      <c r="L464" s="105"/>
    </row>
    <row r="465" spans="1:12" ht="18" customHeight="1" x14ac:dyDescent="0.2">
      <c r="A465" s="49" t="s">
        <v>425</v>
      </c>
      <c r="B465" s="49" t="s">
        <v>426</v>
      </c>
      <c r="C465" s="36">
        <f>C464</f>
        <v>2.7098085884465983</v>
      </c>
      <c r="D465" s="49" t="s">
        <v>125</v>
      </c>
      <c r="E465" s="49" t="s">
        <v>421</v>
      </c>
      <c r="F465" s="49" t="s">
        <v>21</v>
      </c>
      <c r="G465" s="29" t="s">
        <v>427</v>
      </c>
      <c r="H465" s="105" t="s">
        <v>428</v>
      </c>
      <c r="I465" s="105"/>
      <c r="J465" s="105"/>
      <c r="K465" s="105"/>
      <c r="L465" s="105"/>
    </row>
    <row r="466" spans="1:12" ht="18" customHeight="1" x14ac:dyDescent="0.2">
      <c r="A466" s="52" t="s">
        <v>429</v>
      </c>
      <c r="B466" s="49" t="s">
        <v>430</v>
      </c>
      <c r="C466" s="36">
        <f>$C$7/C462</f>
        <v>0.42990258406891141</v>
      </c>
      <c r="D466" s="49" t="s">
        <v>125</v>
      </c>
      <c r="E466" s="49" t="s">
        <v>431</v>
      </c>
      <c r="F466" s="49" t="s">
        <v>21</v>
      </c>
      <c r="G466" s="29" t="s">
        <v>432</v>
      </c>
      <c r="H466" s="105" t="s">
        <v>433</v>
      </c>
      <c r="I466" s="105"/>
      <c r="J466" s="105"/>
      <c r="K466" s="105"/>
      <c r="L466" s="105"/>
    </row>
    <row r="467" spans="1:12" ht="18" customHeight="1" x14ac:dyDescent="0.2">
      <c r="A467" s="49" t="s">
        <v>434</v>
      </c>
      <c r="B467" s="49" t="s">
        <v>435</v>
      </c>
      <c r="C467" s="36">
        <f>2*'Stability Constants'!$C$13*('Stability Constants'!$C$4-'Stability Constants'!$C$3)*'Stability Constants'!$C$14*'Supersonic Stability'!C462</f>
        <v>83405.189111712752</v>
      </c>
      <c r="D467" s="49" t="s">
        <v>125</v>
      </c>
      <c r="E467" s="49" t="s">
        <v>224</v>
      </c>
      <c r="F467" s="49" t="s">
        <v>21</v>
      </c>
      <c r="G467" s="29" t="s">
        <v>437</v>
      </c>
      <c r="H467" s="105" t="s">
        <v>438</v>
      </c>
      <c r="I467" s="105"/>
      <c r="J467" s="105"/>
      <c r="K467" s="105"/>
      <c r="L467" s="105"/>
    </row>
    <row r="468" spans="1:12" ht="18" customHeight="1" x14ac:dyDescent="0.2">
      <c r="A468" s="49" t="s">
        <v>439</v>
      </c>
      <c r="B468" s="49" t="s">
        <v>440</v>
      </c>
      <c r="C468" s="36">
        <f>2*'Stability Constants'!$C$13*('Stability Constants'!$C$6-'Stability Constants'!$C$5)*'Stability Constants'!$C$15*'Supersonic Stability'!C462</f>
        <v>52176.954893705632</v>
      </c>
      <c r="D468" s="49" t="s">
        <v>125</v>
      </c>
      <c r="E468" s="49" t="s">
        <v>224</v>
      </c>
      <c r="F468" s="49" t="s">
        <v>21</v>
      </c>
      <c r="G468" s="29" t="s">
        <v>442</v>
      </c>
      <c r="H468" s="105" t="s">
        <v>438</v>
      </c>
      <c r="I468" s="105"/>
      <c r="J468" s="105"/>
      <c r="K468" s="105"/>
      <c r="L468" s="105"/>
    </row>
    <row r="469" spans="1:12" ht="18" customHeight="1" x14ac:dyDescent="0.2">
      <c r="A469" s="126" t="s">
        <v>513</v>
      </c>
      <c r="B469" s="116"/>
      <c r="C469" s="116"/>
      <c r="D469" s="116"/>
      <c r="E469" s="116"/>
      <c r="F469" s="116"/>
      <c r="G469" s="116"/>
      <c r="H469" s="116"/>
      <c r="I469" s="116"/>
      <c r="J469" s="116"/>
      <c r="K469" s="116"/>
      <c r="L469" s="120"/>
    </row>
    <row r="470" spans="1:12" ht="18" customHeight="1" x14ac:dyDescent="0.2">
      <c r="A470" s="23" t="s">
        <v>5</v>
      </c>
      <c r="B470" s="23" t="s">
        <v>96</v>
      </c>
      <c r="C470" s="50" t="s">
        <v>7</v>
      </c>
      <c r="D470" s="50" t="s">
        <v>125</v>
      </c>
      <c r="E470" s="50" t="s">
        <v>8</v>
      </c>
      <c r="F470" s="50" t="s">
        <v>9</v>
      </c>
      <c r="G470" s="31" t="s">
        <v>459</v>
      </c>
      <c r="H470" s="117" t="s">
        <v>11</v>
      </c>
      <c r="I470" s="118"/>
      <c r="J470" s="118"/>
      <c r="K470" s="118"/>
      <c r="L470" s="119"/>
    </row>
    <row r="471" spans="1:12" ht="18" customHeight="1" x14ac:dyDescent="0.2">
      <c r="A471" s="49" t="s">
        <v>450</v>
      </c>
      <c r="B471" s="47" t="s">
        <v>446</v>
      </c>
      <c r="C471" s="48">
        <f>(C436 + C437* 'Stability Constants'!$C$16*'Supersonic Stability'!$C$4/'Initial Estimates'!$C$5)*'Stability Constants'!$C$8/'Initial Estimates'!$C$10 - 'Supersonic Stability'!C437*'Stability Constants'!$C$16*'Supersonic Stability'!$C$4/'Initial Estimates'!$C$5*'Stability Constants'!$C$10/'Initial Estimates'!$C$10+'Supersonic Stability'!$C$5+('Supersonic Stability'!C443+'Stability Constants'!$C$11*'Supersonic Stability'!C444)/('Stability Constants'!$C$13*'Initial Estimates'!$C$5*'Initial Estimates'!$C$10)</f>
        <v>-4.6161257973656819E-2</v>
      </c>
      <c r="D471" s="49" t="s">
        <v>125</v>
      </c>
      <c r="E471" s="49" t="s">
        <v>137</v>
      </c>
      <c r="F471" s="49" t="s">
        <v>21</v>
      </c>
      <c r="G471" s="29" t="s">
        <v>460</v>
      </c>
      <c r="H471" s="105" t="s">
        <v>438</v>
      </c>
      <c r="I471" s="105"/>
      <c r="J471" s="105"/>
      <c r="K471" s="105"/>
      <c r="L471" s="105"/>
    </row>
    <row r="472" spans="1:12" ht="18" customHeight="1" x14ac:dyDescent="0.2">
      <c r="A472" s="49" t="s">
        <v>451</v>
      </c>
      <c r="B472" s="47" t="s">
        <v>446</v>
      </c>
      <c r="C472" s="48">
        <f>(C448 + C449* 'Stability Constants'!$C$16*'Supersonic Stability'!$C$4/'Initial Estimates'!$C$5)*'Stability Constants'!$C$8/'Initial Estimates'!$C$10 - 'Supersonic Stability'!C449*'Stability Constants'!$C$16*'Supersonic Stability'!$C$4/'Initial Estimates'!$C$5*'Stability Constants'!$C$10/'Initial Estimates'!$C$10+'Supersonic Stability'!$C$5+('Supersonic Stability'!C455+'Stability Constants'!$C$11*'Supersonic Stability'!C456)/('Stability Constants'!$C$13*'Initial Estimates'!$C$5*'Initial Estimates'!$C$10)</f>
        <v>-4.0003876051985091E-2</v>
      </c>
      <c r="D472" s="49" t="s">
        <v>125</v>
      </c>
      <c r="E472" s="49" t="s">
        <v>137</v>
      </c>
      <c r="F472" s="49" t="s">
        <v>21</v>
      </c>
      <c r="G472" s="29" t="s">
        <v>460</v>
      </c>
      <c r="H472" s="105" t="s">
        <v>438</v>
      </c>
      <c r="I472" s="105"/>
      <c r="J472" s="105"/>
      <c r="K472" s="105"/>
      <c r="L472" s="105"/>
    </row>
    <row r="473" spans="1:12" ht="18" customHeight="1" x14ac:dyDescent="0.2">
      <c r="A473" s="49" t="s">
        <v>452</v>
      </c>
      <c r="B473" s="47" t="s">
        <v>446</v>
      </c>
      <c r="C473" s="48">
        <f>(C460 + C461* 'Stability Constants'!$C$16*'Supersonic Stability'!$C$4/'Initial Estimates'!$C$5)*'Stability Constants'!$C$8/'Initial Estimates'!$C$10 - 'Supersonic Stability'!C461*'Stability Constants'!$C$16*'Supersonic Stability'!$C$4/'Initial Estimates'!$C$5*'Stability Constants'!$C$10/'Initial Estimates'!$C$10+'Supersonic Stability'!$C$5+('Supersonic Stability'!C467+'Stability Constants'!$C$11*'Supersonic Stability'!C468)/('Stability Constants'!$C$13*'Initial Estimates'!$C$5*'Initial Estimates'!$C$10)</f>
        <v>-3.5045011486977772E-2</v>
      </c>
      <c r="D473" s="49" t="s">
        <v>125</v>
      </c>
      <c r="E473" s="49" t="s">
        <v>137</v>
      </c>
      <c r="F473" s="49" t="s">
        <v>21</v>
      </c>
      <c r="G473" s="29" t="s">
        <v>460</v>
      </c>
      <c r="H473" s="105" t="s">
        <v>438</v>
      </c>
      <c r="I473" s="105"/>
      <c r="J473" s="105"/>
      <c r="K473" s="105"/>
      <c r="L473" s="105"/>
    </row>
    <row r="474" spans="1:12" ht="18" customHeight="1" x14ac:dyDescent="0.2">
      <c r="A474" s="49" t="s">
        <v>506</v>
      </c>
      <c r="B474" s="47" t="s">
        <v>453</v>
      </c>
      <c r="C474" s="48">
        <f xml:space="preserve"> ( C440 + C441*(1 - C442)*'Stability Constants'!$C$16*('Supersonic Stability'!$C$4/'Initial Estimates'!$C$5))*('Stability Constants'!$C$8/'Initial Estimates'!$C$10) - C441*(1 - C442)*'Stability Constants'!$C$16*'Supersonic Stability'!$C$3 + 2*('Stability Constants'!$C$4-'Stability Constants'!$C$3)*'Stability Constants'!$C$14/('Initial Estimates'!$C$10*'Initial Estimates'!$C$5) + 2*'Stability Constants'!$C$11*('Stability Constants'!$C$6-'Stability Constants'!$C$5)*'Stability Constants'!$C$15/('Initial Estimates'!$C$10*'Initial Estimates'!$C$5)</f>
        <v>-1.071516245746881</v>
      </c>
      <c r="D474" s="49" t="s">
        <v>125</v>
      </c>
      <c r="E474" s="49" t="s">
        <v>421</v>
      </c>
      <c r="F474" s="49" t="s">
        <v>21</v>
      </c>
      <c r="G474" s="29" t="s">
        <v>458</v>
      </c>
      <c r="H474" s="105" t="s">
        <v>438</v>
      </c>
      <c r="I474" s="105"/>
      <c r="J474" s="105"/>
      <c r="K474" s="105"/>
      <c r="L474" s="105"/>
    </row>
    <row r="475" spans="1:12" ht="18" customHeight="1" x14ac:dyDescent="0.2">
      <c r="A475" s="49" t="s">
        <v>507</v>
      </c>
      <c r="B475" s="47" t="s">
        <v>453</v>
      </c>
      <c r="C475" s="48">
        <f xml:space="preserve"> ( C452 + C453*(1 - C454)*'Stability Constants'!$C$16*('Supersonic Stability'!$C$4/'Initial Estimates'!$C$5))*('Stability Constants'!$C$8/'Initial Estimates'!$C$10) - C453*(1 - C454)*'Stability Constants'!$C$16*'Supersonic Stability'!$C$3 + 2*('Stability Constants'!$C$4-'Stability Constants'!$C$3)*'Stability Constants'!$C$14/('Initial Estimates'!$C$10*'Initial Estimates'!$C$5) + 2*'Stability Constants'!$C$11*('Stability Constants'!$C$6-'Stability Constants'!$C$5)*'Stability Constants'!$C$15/('Initial Estimates'!$C$10*'Initial Estimates'!$C$5)</f>
        <v>-0.9427230544168802</v>
      </c>
      <c r="D475" s="49" t="s">
        <v>125</v>
      </c>
      <c r="E475" s="49" t="s">
        <v>421</v>
      </c>
      <c r="F475" s="49" t="s">
        <v>21</v>
      </c>
      <c r="G475" s="29" t="s">
        <v>458</v>
      </c>
      <c r="H475" s="105" t="s">
        <v>438</v>
      </c>
      <c r="I475" s="105"/>
      <c r="J475" s="105"/>
      <c r="K475" s="105"/>
      <c r="L475" s="105"/>
    </row>
    <row r="476" spans="1:12" ht="18" customHeight="1" x14ac:dyDescent="0.2">
      <c r="A476" s="49" t="s">
        <v>505</v>
      </c>
      <c r="B476" s="47" t="s">
        <v>453</v>
      </c>
      <c r="C476" s="48">
        <f xml:space="preserve"> ( C464 + C465*(1 - C466)*'Stability Constants'!$C$16*('Supersonic Stability'!$C$4/'Initial Estimates'!$C$5))*('Stability Constants'!$C$8/'Initial Estimates'!$C$10) - C465*(1 - C466)*'Stability Constants'!$C$16*'Supersonic Stability'!$C$3 + 2*('Stability Constants'!$C$4-'Stability Constants'!$C$3)*'Stability Constants'!$C$14/('Initial Estimates'!$C$10*'Initial Estimates'!$C$5) + 2*'Stability Constants'!$C$11*('Stability Constants'!$C$6-'Stability Constants'!$C$5)*'Stability Constants'!$C$15/('Initial Estimates'!$C$10*'Initial Estimates'!$C$5)</f>
        <v>-0.82837784728526442</v>
      </c>
      <c r="D476" s="49" t="s">
        <v>125</v>
      </c>
      <c r="E476" s="49" t="s">
        <v>421</v>
      </c>
      <c r="F476" s="49" t="s">
        <v>21</v>
      </c>
      <c r="G476" s="29" t="s">
        <v>458</v>
      </c>
      <c r="H476" s="105" t="s">
        <v>438</v>
      </c>
      <c r="I476" s="105"/>
      <c r="J476" s="105"/>
      <c r="K476" s="105"/>
      <c r="L476" s="105"/>
    </row>
    <row r="483" spans="7:7" ht="18" customHeight="1" x14ac:dyDescent="0.2">
      <c r="G483" s="49"/>
    </row>
    <row r="484" spans="7:7" ht="18" customHeight="1" x14ac:dyDescent="0.2">
      <c r="G484" s="49"/>
    </row>
  </sheetData>
  <dataConsolidate/>
  <mergeCells count="421">
    <mergeCell ref="H475:L475"/>
    <mergeCell ref="H476:L476"/>
    <mergeCell ref="A469:L469"/>
    <mergeCell ref="H470:L470"/>
    <mergeCell ref="H471:L471"/>
    <mergeCell ref="H472:L472"/>
    <mergeCell ref="H473:L473"/>
    <mergeCell ref="H474:L474"/>
    <mergeCell ref="H463:L463"/>
    <mergeCell ref="H464:L464"/>
    <mergeCell ref="H465:L465"/>
    <mergeCell ref="H466:L466"/>
    <mergeCell ref="H467:L467"/>
    <mergeCell ref="H468:L468"/>
    <mergeCell ref="H458:L458"/>
    <mergeCell ref="H459:L459"/>
    <mergeCell ref="H460:L460"/>
    <mergeCell ref="H461:L461"/>
    <mergeCell ref="H462:L462"/>
    <mergeCell ref="H451:L451"/>
    <mergeCell ref="H452:L452"/>
    <mergeCell ref="H453:L453"/>
    <mergeCell ref="H454:L454"/>
    <mergeCell ref="H455:L455"/>
    <mergeCell ref="H456:L456"/>
    <mergeCell ref="A457:L457"/>
    <mergeCell ref="A445:L445"/>
    <mergeCell ref="H446:L446"/>
    <mergeCell ref="H447:L447"/>
    <mergeCell ref="H448:L448"/>
    <mergeCell ref="H449:L449"/>
    <mergeCell ref="H450:L450"/>
    <mergeCell ref="H439:L439"/>
    <mergeCell ref="H440:L440"/>
    <mergeCell ref="H441:L441"/>
    <mergeCell ref="H442:L442"/>
    <mergeCell ref="H443:L443"/>
    <mergeCell ref="H444:L444"/>
    <mergeCell ref="A433:L433"/>
    <mergeCell ref="H434:L434"/>
    <mergeCell ref="H435:L435"/>
    <mergeCell ref="H436:L436"/>
    <mergeCell ref="H437:L437"/>
    <mergeCell ref="H438:L438"/>
    <mergeCell ref="H427:L427"/>
    <mergeCell ref="H428:L428"/>
    <mergeCell ref="H429:L429"/>
    <mergeCell ref="H430:L430"/>
    <mergeCell ref="H431:L431"/>
    <mergeCell ref="H432:L432"/>
    <mergeCell ref="H419:L419"/>
    <mergeCell ref="H420:L420"/>
    <mergeCell ref="H421:L421"/>
    <mergeCell ref="H422:L422"/>
    <mergeCell ref="H413:L413"/>
    <mergeCell ref="H414:L414"/>
    <mergeCell ref="A415:L415"/>
    <mergeCell ref="H416:L416"/>
    <mergeCell ref="H417:L417"/>
    <mergeCell ref="H418:L418"/>
    <mergeCell ref="H407:L407"/>
    <mergeCell ref="H408:L408"/>
    <mergeCell ref="H409:L409"/>
    <mergeCell ref="H410:L410"/>
    <mergeCell ref="H411:L411"/>
    <mergeCell ref="H412:L412"/>
    <mergeCell ref="H401:L401"/>
    <mergeCell ref="H402:L402"/>
    <mergeCell ref="A403:L403"/>
    <mergeCell ref="H404:L404"/>
    <mergeCell ref="H405:L405"/>
    <mergeCell ref="H406:L406"/>
    <mergeCell ref="H395:L395"/>
    <mergeCell ref="H396:L396"/>
    <mergeCell ref="H397:L397"/>
    <mergeCell ref="H398:L398"/>
    <mergeCell ref="H399:L399"/>
    <mergeCell ref="H400:L400"/>
    <mergeCell ref="H389:L389"/>
    <mergeCell ref="H390:L390"/>
    <mergeCell ref="A391:L391"/>
    <mergeCell ref="H392:L392"/>
    <mergeCell ref="H393:L393"/>
    <mergeCell ref="H394:L394"/>
    <mergeCell ref="H383:L383"/>
    <mergeCell ref="H384:L384"/>
    <mergeCell ref="H385:L385"/>
    <mergeCell ref="H386:L386"/>
    <mergeCell ref="H387:L387"/>
    <mergeCell ref="H388:L388"/>
    <mergeCell ref="H377:L377"/>
    <mergeCell ref="H378:L378"/>
    <mergeCell ref="A379:L379"/>
    <mergeCell ref="H380:L380"/>
    <mergeCell ref="H381:L381"/>
    <mergeCell ref="H382:L382"/>
    <mergeCell ref="A370:L371"/>
    <mergeCell ref="A372:L372"/>
    <mergeCell ref="H373:L373"/>
    <mergeCell ref="H374:L374"/>
    <mergeCell ref="H375:L375"/>
    <mergeCell ref="H376:L376"/>
    <mergeCell ref="H368:L368"/>
    <mergeCell ref="H362:L362"/>
    <mergeCell ref="H363:L363"/>
    <mergeCell ref="H364:L364"/>
    <mergeCell ref="H365:L365"/>
    <mergeCell ref="H366:L366"/>
    <mergeCell ref="H367:L367"/>
    <mergeCell ref="H356:L356"/>
    <mergeCell ref="H357:L357"/>
    <mergeCell ref="H358:L358"/>
    <mergeCell ref="H359:L359"/>
    <mergeCell ref="H360:L360"/>
    <mergeCell ref="H350:L350"/>
    <mergeCell ref="H351:L351"/>
    <mergeCell ref="H352:L352"/>
    <mergeCell ref="H353:L353"/>
    <mergeCell ref="H354:L354"/>
    <mergeCell ref="H355:L355"/>
    <mergeCell ref="H328:L328"/>
    <mergeCell ref="H329:L329"/>
    <mergeCell ref="H330:L330"/>
    <mergeCell ref="H331:L331"/>
    <mergeCell ref="H344:L344"/>
    <mergeCell ref="H345:L345"/>
    <mergeCell ref="H346:L346"/>
    <mergeCell ref="H347:L347"/>
    <mergeCell ref="H348:L348"/>
    <mergeCell ref="H338:L338"/>
    <mergeCell ref="H339:L339"/>
    <mergeCell ref="H340:L340"/>
    <mergeCell ref="H341:L341"/>
    <mergeCell ref="H342:L342"/>
    <mergeCell ref="H343:L343"/>
    <mergeCell ref="H185:L185"/>
    <mergeCell ref="H186:L186"/>
    <mergeCell ref="H187:L187"/>
    <mergeCell ref="H188:L188"/>
    <mergeCell ref="A260:L260"/>
    <mergeCell ref="H261:L261"/>
    <mergeCell ref="H262:L262"/>
    <mergeCell ref="H320:L320"/>
    <mergeCell ref="H321:L321"/>
    <mergeCell ref="H271:L271"/>
    <mergeCell ref="H280:L280"/>
    <mergeCell ref="H298:L298"/>
    <mergeCell ref="A318:L318"/>
    <mergeCell ref="H319:L319"/>
    <mergeCell ref="A316:L317"/>
    <mergeCell ref="A176:L176"/>
    <mergeCell ref="H177:L177"/>
    <mergeCell ref="H178:L178"/>
    <mergeCell ref="H179:L179"/>
    <mergeCell ref="H180:L180"/>
    <mergeCell ref="H181:L181"/>
    <mergeCell ref="H182:L182"/>
    <mergeCell ref="H183:L183"/>
    <mergeCell ref="H184:L184"/>
    <mergeCell ref="A92:L92"/>
    <mergeCell ref="H29:L29"/>
    <mergeCell ref="H38:L38"/>
    <mergeCell ref="H47:L47"/>
    <mergeCell ref="H56:L56"/>
    <mergeCell ref="H65:L65"/>
    <mergeCell ref="H74:L74"/>
    <mergeCell ref="H30:L30"/>
    <mergeCell ref="H31:L31"/>
    <mergeCell ref="H32:L32"/>
    <mergeCell ref="H33:L33"/>
    <mergeCell ref="H34:L34"/>
    <mergeCell ref="H35:L35"/>
    <mergeCell ref="H36:L36"/>
    <mergeCell ref="H37:L37"/>
    <mergeCell ref="H48:L48"/>
    <mergeCell ref="H49:L49"/>
    <mergeCell ref="H50:L50"/>
    <mergeCell ref="H51:L51"/>
    <mergeCell ref="H7:L7"/>
    <mergeCell ref="A8:L8"/>
    <mergeCell ref="H9:L9"/>
    <mergeCell ref="H10:L10"/>
    <mergeCell ref="H11:L11"/>
    <mergeCell ref="H20:L20"/>
    <mergeCell ref="A1:L1"/>
    <mergeCell ref="H2:L2"/>
    <mergeCell ref="H3:L3"/>
    <mergeCell ref="H4:L4"/>
    <mergeCell ref="H5:L5"/>
    <mergeCell ref="H6:L6"/>
    <mergeCell ref="H12:L12"/>
    <mergeCell ref="H13:L13"/>
    <mergeCell ref="H14:L14"/>
    <mergeCell ref="H15:L15"/>
    <mergeCell ref="H16:L16"/>
    <mergeCell ref="H17:L17"/>
    <mergeCell ref="H18:L18"/>
    <mergeCell ref="H19:L19"/>
    <mergeCell ref="H52:L52"/>
    <mergeCell ref="H53:L53"/>
    <mergeCell ref="H54:L54"/>
    <mergeCell ref="H55:L55"/>
    <mergeCell ref="H21:L21"/>
    <mergeCell ref="H22:L22"/>
    <mergeCell ref="H23:L23"/>
    <mergeCell ref="H24:L24"/>
    <mergeCell ref="H25:L25"/>
    <mergeCell ref="H26:L26"/>
    <mergeCell ref="H27:L27"/>
    <mergeCell ref="H28:L28"/>
    <mergeCell ref="H39:L39"/>
    <mergeCell ref="H40:L40"/>
    <mergeCell ref="H41:L41"/>
    <mergeCell ref="H42:L42"/>
    <mergeCell ref="H43:L43"/>
    <mergeCell ref="H44:L44"/>
    <mergeCell ref="H45:L45"/>
    <mergeCell ref="H46:L46"/>
    <mergeCell ref="H57:L57"/>
    <mergeCell ref="H58:L58"/>
    <mergeCell ref="H59:L59"/>
    <mergeCell ref="H60:L60"/>
    <mergeCell ref="H61:L61"/>
    <mergeCell ref="H62:L62"/>
    <mergeCell ref="H63:L63"/>
    <mergeCell ref="H64:L64"/>
    <mergeCell ref="H75:L75"/>
    <mergeCell ref="H66:L66"/>
    <mergeCell ref="H67:L67"/>
    <mergeCell ref="H68:L68"/>
    <mergeCell ref="H69:L69"/>
    <mergeCell ref="H70:L70"/>
    <mergeCell ref="H71:L71"/>
    <mergeCell ref="H72:L72"/>
    <mergeCell ref="H73:L73"/>
    <mergeCell ref="H86:L86"/>
    <mergeCell ref="H87:L87"/>
    <mergeCell ref="H88:L88"/>
    <mergeCell ref="H89:L89"/>
    <mergeCell ref="H90:L90"/>
    <mergeCell ref="H91:L91"/>
    <mergeCell ref="H76:L76"/>
    <mergeCell ref="H77:L77"/>
    <mergeCell ref="H78:L78"/>
    <mergeCell ref="H79:L79"/>
    <mergeCell ref="H80:L80"/>
    <mergeCell ref="H81:L81"/>
    <mergeCell ref="H82:L82"/>
    <mergeCell ref="H84:L84"/>
    <mergeCell ref="H85:L85"/>
    <mergeCell ref="H83:L83"/>
    <mergeCell ref="H120:L120"/>
    <mergeCell ref="H121:L121"/>
    <mergeCell ref="H122:L122"/>
    <mergeCell ref="H123:L123"/>
    <mergeCell ref="H124:L124"/>
    <mergeCell ref="H125:L125"/>
    <mergeCell ref="H126:L126"/>
    <mergeCell ref="H128:L128"/>
    <mergeCell ref="H129:L129"/>
    <mergeCell ref="H127:L127"/>
    <mergeCell ref="H93:L93"/>
    <mergeCell ref="H94:L94"/>
    <mergeCell ref="H95:L95"/>
    <mergeCell ref="H96:L96"/>
    <mergeCell ref="H97:L97"/>
    <mergeCell ref="H98:L98"/>
    <mergeCell ref="H99:L99"/>
    <mergeCell ref="H100:L100"/>
    <mergeCell ref="H101:L101"/>
    <mergeCell ref="H102:L102"/>
    <mergeCell ref="H103:L103"/>
    <mergeCell ref="H104:L104"/>
    <mergeCell ref="H105:L105"/>
    <mergeCell ref="H106:L106"/>
    <mergeCell ref="H107:L107"/>
    <mergeCell ref="H108:L108"/>
    <mergeCell ref="H109:L109"/>
    <mergeCell ref="H110:L110"/>
    <mergeCell ref="H111:L111"/>
    <mergeCell ref="H112:L112"/>
    <mergeCell ref="H113:L113"/>
    <mergeCell ref="H114:L114"/>
    <mergeCell ref="H115:L115"/>
    <mergeCell ref="H116:L116"/>
    <mergeCell ref="H117:L117"/>
    <mergeCell ref="H118:L118"/>
    <mergeCell ref="H119:L119"/>
    <mergeCell ref="H130:L130"/>
    <mergeCell ref="H131:L131"/>
    <mergeCell ref="H132:L132"/>
    <mergeCell ref="H133:L133"/>
    <mergeCell ref="H134:L134"/>
    <mergeCell ref="H135:L135"/>
    <mergeCell ref="H136:L136"/>
    <mergeCell ref="H137:L137"/>
    <mergeCell ref="H138:L138"/>
    <mergeCell ref="H139:L139"/>
    <mergeCell ref="H140:L140"/>
    <mergeCell ref="H141:L141"/>
    <mergeCell ref="H142:L142"/>
    <mergeCell ref="H143:L143"/>
    <mergeCell ref="H144:L144"/>
    <mergeCell ref="H145:L145"/>
    <mergeCell ref="H146:L146"/>
    <mergeCell ref="H147:L147"/>
    <mergeCell ref="H148:L148"/>
    <mergeCell ref="H149:L149"/>
    <mergeCell ref="H158:L158"/>
    <mergeCell ref="H159:L159"/>
    <mergeCell ref="H160:L160"/>
    <mergeCell ref="H161:L161"/>
    <mergeCell ref="H162:L162"/>
    <mergeCell ref="H163:L163"/>
    <mergeCell ref="H164:L164"/>
    <mergeCell ref="H174:L174"/>
    <mergeCell ref="H175:L175"/>
    <mergeCell ref="H150:L150"/>
    <mergeCell ref="H151:L151"/>
    <mergeCell ref="H152:L152"/>
    <mergeCell ref="H153:L153"/>
    <mergeCell ref="H154:L154"/>
    <mergeCell ref="H155:L155"/>
    <mergeCell ref="H156:L156"/>
    <mergeCell ref="H157:L157"/>
    <mergeCell ref="H165:L165"/>
    <mergeCell ref="H166:L166"/>
    <mergeCell ref="H167:L167"/>
    <mergeCell ref="H168:L168"/>
    <mergeCell ref="H169:L169"/>
    <mergeCell ref="H170:L170"/>
    <mergeCell ref="H171:L171"/>
    <mergeCell ref="H172:L172"/>
    <mergeCell ref="H173:L173"/>
    <mergeCell ref="H189:L189"/>
    <mergeCell ref="H190:L190"/>
    <mergeCell ref="H191:L191"/>
    <mergeCell ref="H192:L192"/>
    <mergeCell ref="H193:L193"/>
    <mergeCell ref="H194:L194"/>
    <mergeCell ref="H195:L195"/>
    <mergeCell ref="H196:L196"/>
    <mergeCell ref="H197:L197"/>
    <mergeCell ref="H198:L198"/>
    <mergeCell ref="H199:L199"/>
    <mergeCell ref="H200:L200"/>
    <mergeCell ref="H201:L201"/>
    <mergeCell ref="H202:L202"/>
    <mergeCell ref="H203:L203"/>
    <mergeCell ref="H204:L204"/>
    <mergeCell ref="H205:L205"/>
    <mergeCell ref="H206:L206"/>
    <mergeCell ref="H207:L207"/>
    <mergeCell ref="H208:L208"/>
    <mergeCell ref="H209:L209"/>
    <mergeCell ref="H210:L210"/>
    <mergeCell ref="H211:L211"/>
    <mergeCell ref="H212:L212"/>
    <mergeCell ref="H213:L213"/>
    <mergeCell ref="H214:L214"/>
    <mergeCell ref="H215:L215"/>
    <mergeCell ref="H216:L216"/>
    <mergeCell ref="H217:L217"/>
    <mergeCell ref="H218:L218"/>
    <mergeCell ref="H219:L219"/>
    <mergeCell ref="H220:L220"/>
    <mergeCell ref="H221:L221"/>
    <mergeCell ref="H222:L222"/>
    <mergeCell ref="H223:L223"/>
    <mergeCell ref="H224:L224"/>
    <mergeCell ref="H225:L225"/>
    <mergeCell ref="H226:L226"/>
    <mergeCell ref="H227:L227"/>
    <mergeCell ref="H228:L228"/>
    <mergeCell ref="H229:L229"/>
    <mergeCell ref="H230:L230"/>
    <mergeCell ref="H231:L231"/>
    <mergeCell ref="H232:L232"/>
    <mergeCell ref="H233:L233"/>
    <mergeCell ref="H234:L234"/>
    <mergeCell ref="H235:L235"/>
    <mergeCell ref="H236:L236"/>
    <mergeCell ref="H237:L237"/>
    <mergeCell ref="H238:L238"/>
    <mergeCell ref="H239:L239"/>
    <mergeCell ref="H240:L240"/>
    <mergeCell ref="H241:L241"/>
    <mergeCell ref="H242:L242"/>
    <mergeCell ref="H243:L243"/>
    <mergeCell ref="H244:L244"/>
    <mergeCell ref="H245:L245"/>
    <mergeCell ref="H246:L246"/>
    <mergeCell ref="H247:L247"/>
    <mergeCell ref="H248:L248"/>
    <mergeCell ref="H249:L249"/>
    <mergeCell ref="H250:L250"/>
    <mergeCell ref="H251:L251"/>
    <mergeCell ref="H252:L252"/>
    <mergeCell ref="H253:L253"/>
    <mergeCell ref="H254:L254"/>
    <mergeCell ref="H255:L255"/>
    <mergeCell ref="H256:L256"/>
    <mergeCell ref="H257:L257"/>
    <mergeCell ref="H258:L258"/>
    <mergeCell ref="H259:L259"/>
    <mergeCell ref="A426:L426"/>
    <mergeCell ref="A424:L425"/>
    <mergeCell ref="A361:L361"/>
    <mergeCell ref="A349:L349"/>
    <mergeCell ref="A337:L337"/>
    <mergeCell ref="A325:L325"/>
    <mergeCell ref="H322:L322"/>
    <mergeCell ref="H323:L323"/>
    <mergeCell ref="H324:L324"/>
    <mergeCell ref="H332:L332"/>
    <mergeCell ref="H333:L333"/>
    <mergeCell ref="H334:L334"/>
    <mergeCell ref="H335:L335"/>
    <mergeCell ref="H336:L336"/>
    <mergeCell ref="H326:L326"/>
    <mergeCell ref="H327:L327"/>
  </mergeCells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34"/>
  <sheetViews>
    <sheetView workbookViewId="0">
      <selection activeCell="E25" sqref="E25"/>
    </sheetView>
  </sheetViews>
  <sheetFormatPr baseColWidth="10" defaultColWidth="15.1640625" defaultRowHeight="15" x14ac:dyDescent="0.2"/>
  <cols>
    <col min="1" max="2" width="16.1640625" style="56" customWidth="1"/>
    <col min="3" max="3" width="17.33203125" style="56" customWidth="1"/>
    <col min="4" max="4" width="30.33203125" style="56" customWidth="1"/>
    <col min="5" max="5" width="31.6640625" style="56" customWidth="1"/>
    <col min="6" max="6" width="30.6640625" style="56" customWidth="1"/>
    <col min="7" max="7" width="30.1640625" style="56" customWidth="1"/>
    <col min="8" max="16384" width="15.1640625" style="56"/>
  </cols>
  <sheetData>
    <row r="1" spans="1:26" s="57" customFormat="1" ht="22" customHeight="1" x14ac:dyDescent="0.2">
      <c r="A1" s="128" t="s">
        <v>534</v>
      </c>
      <c r="B1" s="129"/>
      <c r="C1" s="129"/>
      <c r="D1" s="129"/>
      <c r="E1" s="129"/>
      <c r="F1" s="129"/>
      <c r="G1" s="129"/>
      <c r="H1" s="80"/>
      <c r="I1" s="80"/>
      <c r="J1" s="80"/>
      <c r="K1" s="80"/>
      <c r="L1" s="81"/>
    </row>
    <row r="2" spans="1:26" ht="16" x14ac:dyDescent="0.2">
      <c r="A2" s="82" t="s">
        <v>61</v>
      </c>
      <c r="B2" s="82" t="s">
        <v>528</v>
      </c>
      <c r="C2" s="83" t="s">
        <v>529</v>
      </c>
      <c r="D2" s="83" t="s">
        <v>530</v>
      </c>
      <c r="E2" s="83" t="s">
        <v>531</v>
      </c>
      <c r="F2" s="83" t="s">
        <v>532</v>
      </c>
      <c r="G2" s="83" t="s">
        <v>533</v>
      </c>
    </row>
    <row r="3" spans="1:26" ht="16" x14ac:dyDescent="0.2">
      <c r="A3" s="75" t="s">
        <v>26</v>
      </c>
      <c r="B3" s="76">
        <v>5.5979999999999995E-4</v>
      </c>
      <c r="C3" s="77">
        <v>216.65</v>
      </c>
      <c r="D3" s="78">
        <f t="shared" ref="D3:D11" si="0">(0.5*(1.6*968)^2)*B3</f>
        <v>671.41892505600003</v>
      </c>
      <c r="E3" s="79">
        <f t="shared" ref="E3:E11" si="1">(0.5*(1.7*968)^2)*B3</f>
        <v>757.96902086399984</v>
      </c>
      <c r="F3" s="79">
        <f t="shared" ref="F3:F11" si="2">(0.5*(1.8*968)^2)*B3</f>
        <v>849.764577024</v>
      </c>
      <c r="G3" s="75">
        <f t="shared" ref="G3:G11" si="3">2.969*10^-7</f>
        <v>2.9689999999999997E-7</v>
      </c>
    </row>
    <row r="4" spans="1:26" ht="16" x14ac:dyDescent="0.2">
      <c r="A4" s="75" t="s">
        <v>27</v>
      </c>
      <c r="B4" s="76">
        <v>5.3359999999999996E-4</v>
      </c>
      <c r="C4" s="77">
        <v>216.65</v>
      </c>
      <c r="D4" s="78">
        <f t="shared" si="0"/>
        <v>639.99488819200008</v>
      </c>
      <c r="E4" s="79">
        <f t="shared" si="1"/>
        <v>722.4942292479999</v>
      </c>
      <c r="F4" s="79">
        <f t="shared" si="2"/>
        <v>809.99353036800005</v>
      </c>
      <c r="G4" s="75">
        <f t="shared" si="3"/>
        <v>2.9689999999999997E-7</v>
      </c>
    </row>
    <row r="5" spans="1:26" ht="16" x14ac:dyDescent="0.2">
      <c r="A5" s="75" t="s">
        <v>33</v>
      </c>
      <c r="B5" s="76">
        <v>5.0869999999999995E-4</v>
      </c>
      <c r="C5" s="77">
        <v>216.65</v>
      </c>
      <c r="D5" s="78">
        <f t="shared" si="0"/>
        <v>610.13005926400001</v>
      </c>
      <c r="E5" s="79">
        <f t="shared" si="1"/>
        <v>688.77963721599986</v>
      </c>
      <c r="F5" s="79">
        <f t="shared" si="2"/>
        <v>772.19585625599996</v>
      </c>
      <c r="G5" s="75">
        <f t="shared" si="3"/>
        <v>2.9689999999999997E-7</v>
      </c>
    </row>
    <row r="6" spans="1:26" ht="16" x14ac:dyDescent="0.2">
      <c r="A6" s="75" t="s">
        <v>35</v>
      </c>
      <c r="B6" s="76">
        <v>4.8490000000000002E-4</v>
      </c>
      <c r="C6" s="77">
        <v>216.65</v>
      </c>
      <c r="D6" s="78">
        <f t="shared" si="0"/>
        <v>581.58456012800013</v>
      </c>
      <c r="E6" s="79">
        <f t="shared" si="1"/>
        <v>656.55444483199994</v>
      </c>
      <c r="F6" s="79">
        <f t="shared" si="2"/>
        <v>736.06795891200011</v>
      </c>
      <c r="G6" s="75">
        <f t="shared" si="3"/>
        <v>2.9689999999999997E-7</v>
      </c>
    </row>
    <row r="7" spans="1:26" ht="16" x14ac:dyDescent="0.2">
      <c r="A7" s="75" t="s">
        <v>38</v>
      </c>
      <c r="B7" s="76">
        <v>4.6230000000000002E-4</v>
      </c>
      <c r="C7" s="77">
        <v>216.65</v>
      </c>
      <c r="D7" s="78">
        <f t="shared" si="0"/>
        <v>554.47832985600007</v>
      </c>
      <c r="E7" s="79">
        <f t="shared" si="1"/>
        <v>625.95405206399994</v>
      </c>
      <c r="F7" s="79">
        <f t="shared" si="2"/>
        <v>701.76163622400009</v>
      </c>
      <c r="G7" s="75">
        <f t="shared" si="3"/>
        <v>2.9689999999999997E-7</v>
      </c>
    </row>
    <row r="8" spans="1:26" ht="16" x14ac:dyDescent="0.2">
      <c r="A8" s="75" t="s">
        <v>40</v>
      </c>
      <c r="B8" s="76">
        <v>4.4069999999999998E-4</v>
      </c>
      <c r="C8" s="77">
        <v>216.65</v>
      </c>
      <c r="D8" s="78">
        <f t="shared" si="0"/>
        <v>528.57149030400001</v>
      </c>
      <c r="E8" s="79">
        <f t="shared" si="1"/>
        <v>596.70765897599995</v>
      </c>
      <c r="F8" s="79">
        <f t="shared" si="2"/>
        <v>668.97329241600005</v>
      </c>
      <c r="G8" s="75">
        <f t="shared" si="3"/>
        <v>2.9689999999999997E-7</v>
      </c>
    </row>
    <row r="9" spans="1:26" ht="16" x14ac:dyDescent="0.2">
      <c r="A9" s="75" t="s">
        <v>42</v>
      </c>
      <c r="B9" s="76">
        <v>4.2010000000000002E-4</v>
      </c>
      <c r="C9" s="77">
        <v>216.65</v>
      </c>
      <c r="D9" s="78">
        <f t="shared" si="0"/>
        <v>503.86404147200011</v>
      </c>
      <c r="E9" s="79">
        <f t="shared" si="1"/>
        <v>568.81526556799997</v>
      </c>
      <c r="F9" s="79">
        <f t="shared" si="2"/>
        <v>637.70292748800011</v>
      </c>
      <c r="G9" s="75">
        <f t="shared" si="3"/>
        <v>2.9689999999999997E-7</v>
      </c>
    </row>
    <row r="10" spans="1:26" ht="16" x14ac:dyDescent="0.2">
      <c r="A10" s="75" t="s">
        <v>45</v>
      </c>
      <c r="B10" s="76">
        <v>4.0049999999999998E-4</v>
      </c>
      <c r="C10" s="77">
        <v>216.65</v>
      </c>
      <c r="D10" s="78">
        <f t="shared" si="0"/>
        <v>480.35598336000004</v>
      </c>
      <c r="E10" s="79">
        <f t="shared" si="1"/>
        <v>542.2768718399999</v>
      </c>
      <c r="F10" s="79">
        <f t="shared" si="2"/>
        <v>607.95054144000005</v>
      </c>
      <c r="G10" s="75">
        <f t="shared" si="3"/>
        <v>2.9689999999999997E-7</v>
      </c>
    </row>
    <row r="11" spans="1:26" ht="16" x14ac:dyDescent="0.2">
      <c r="A11" s="75" t="s">
        <v>46</v>
      </c>
      <c r="B11" s="76">
        <v>3.8170000000000001E-4</v>
      </c>
      <c r="C11" s="77">
        <v>216.65</v>
      </c>
      <c r="D11" s="78">
        <f t="shared" si="0"/>
        <v>457.80743782400009</v>
      </c>
      <c r="E11" s="79">
        <f t="shared" si="1"/>
        <v>516.82167785599995</v>
      </c>
      <c r="F11" s="79">
        <f t="shared" si="2"/>
        <v>579.41253849600002</v>
      </c>
      <c r="G11" s="75">
        <f t="shared" si="3"/>
        <v>2.9689999999999997E-7</v>
      </c>
    </row>
    <row r="12" spans="1:26" ht="15" customHeight="1" x14ac:dyDescent="0.2"/>
    <row r="13" spans="1:26" ht="15" customHeight="1" x14ac:dyDescent="0.2"/>
    <row r="14" spans="1:26" ht="15" customHeight="1" x14ac:dyDescent="0.2"/>
    <row r="15" spans="1:26" ht="15" customHeight="1" x14ac:dyDescent="0.2"/>
    <row r="16" spans="1:26" ht="15" customHeight="1" x14ac:dyDescent="0.2">
      <c r="A16" s="88" t="s">
        <v>537</v>
      </c>
      <c r="B16" s="89"/>
      <c r="C16" s="89"/>
      <c r="D16" s="89"/>
      <c r="E16" s="89"/>
      <c r="F16" s="89"/>
      <c r="G16" s="89"/>
      <c r="H16" s="89"/>
      <c r="I16" s="90"/>
      <c r="J16" s="90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6"/>
      <c r="X16" s="86"/>
      <c r="Y16"/>
      <c r="Z16"/>
    </row>
    <row r="17" spans="1:26" ht="17" x14ac:dyDescent="0.2">
      <c r="A17" s="88" t="s">
        <v>44</v>
      </c>
      <c r="B17" s="88" t="s">
        <v>538</v>
      </c>
      <c r="C17" s="88" t="s">
        <v>539</v>
      </c>
      <c r="D17" s="88" t="s">
        <v>540</v>
      </c>
      <c r="E17" s="88" t="s">
        <v>541</v>
      </c>
      <c r="F17" s="88" t="s">
        <v>542</v>
      </c>
      <c r="G17" s="88" t="s">
        <v>543</v>
      </c>
      <c r="H17" s="88" t="s">
        <v>544</v>
      </c>
      <c r="I17" s="88" t="s">
        <v>545</v>
      </c>
      <c r="J17" s="88" t="s">
        <v>546</v>
      </c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6"/>
      <c r="X17" s="86"/>
      <c r="Y17" s="86"/>
      <c r="Z17" s="86"/>
    </row>
    <row r="18" spans="1:26" ht="17" x14ac:dyDescent="0.2">
      <c r="A18" s="84">
        <v>1</v>
      </c>
      <c r="B18" s="87">
        <v>4.99E-2</v>
      </c>
      <c r="C18" s="87">
        <v>-4.8500000000000001E-2</v>
      </c>
      <c r="D18" s="87">
        <v>3.62E-3</v>
      </c>
      <c r="E18" s="87">
        <v>1.1299999999999999E-2</v>
      </c>
      <c r="F18" s="84">
        <v>4.4257</v>
      </c>
      <c r="G18" s="84">
        <v>1.96136</v>
      </c>
      <c r="H18" s="84">
        <v>2.8561700000000001</v>
      </c>
      <c r="I18" s="84">
        <v>0.90888000000000002</v>
      </c>
      <c r="J18" s="84">
        <v>54.543999999999997</v>
      </c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6"/>
      <c r="X18" s="86"/>
      <c r="Y18" s="86"/>
      <c r="Z18" s="86"/>
    </row>
    <row r="19" spans="1:26" ht="17" x14ac:dyDescent="0.2">
      <c r="A19" s="84">
        <v>2</v>
      </c>
      <c r="B19" s="87">
        <v>9.98E-2</v>
      </c>
      <c r="C19" s="87">
        <v>-9.7199999999999995E-2</v>
      </c>
      <c r="D19" s="87">
        <v>7.1999999999999998E-3</v>
      </c>
      <c r="E19" s="87">
        <v>1.3599999999999999E-2</v>
      </c>
      <c r="F19" s="84">
        <v>7.3251999999999997</v>
      </c>
      <c r="G19" s="84">
        <v>2.0799599999999998</v>
      </c>
      <c r="H19" s="84">
        <v>2.85887</v>
      </c>
      <c r="I19" s="84">
        <v>0.90925</v>
      </c>
      <c r="J19" s="84">
        <v>54.597999999999999</v>
      </c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6"/>
      <c r="X19" s="86"/>
      <c r="Y19" s="86"/>
      <c r="Z19" s="86"/>
    </row>
    <row r="20" spans="1:26" ht="17" x14ac:dyDescent="0.2">
      <c r="A20" s="84">
        <v>3</v>
      </c>
      <c r="B20" s="87">
        <v>0.15</v>
      </c>
      <c r="C20" s="87">
        <v>-0.14599999999999999</v>
      </c>
      <c r="D20" s="87">
        <v>1.0800000000000001E-2</v>
      </c>
      <c r="E20" s="87">
        <v>1.77E-2</v>
      </c>
      <c r="F20" s="84">
        <v>8.4785000000000004</v>
      </c>
      <c r="G20" s="84">
        <v>2.2067100000000002</v>
      </c>
      <c r="H20" s="84">
        <v>2.8586299999999998</v>
      </c>
      <c r="I20" s="84">
        <v>0.90932999999999997</v>
      </c>
      <c r="J20" s="84">
        <v>54.609000000000002</v>
      </c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6"/>
      <c r="X20" s="86"/>
      <c r="Y20" s="86"/>
      <c r="Z20" s="86"/>
    </row>
    <row r="21" spans="1:26" ht="17" x14ac:dyDescent="0.2">
      <c r="A21" s="85"/>
      <c r="B21" s="85"/>
      <c r="C21" s="85"/>
      <c r="D21" s="85"/>
      <c r="E21" s="85"/>
      <c r="F21" s="85"/>
      <c r="G21" s="85"/>
      <c r="H21" s="85"/>
      <c r="I21" s="85"/>
      <c r="J21" s="85"/>
      <c r="K21" s="86"/>
      <c r="L21" s="86"/>
      <c r="M21" s="86"/>
      <c r="N21" s="86"/>
      <c r="O21" s="86"/>
      <c r="P21" s="86"/>
      <c r="Q21" s="86"/>
      <c r="R21" s="86"/>
      <c r="S21" s="86"/>
      <c r="T21" s="86"/>
      <c r="U21" s="86"/>
      <c r="V21" s="86"/>
      <c r="W21" s="86"/>
      <c r="X21" s="86"/>
      <c r="Y21" s="86"/>
      <c r="Z21" s="86"/>
    </row>
    <row r="22" spans="1:26" ht="15" customHeight="1" x14ac:dyDescent="0.2">
      <c r="A22" s="85"/>
      <c r="B22" s="85"/>
      <c r="C22" s="85"/>
      <c r="D22" s="85"/>
      <c r="E22" s="85"/>
      <c r="F22" s="85"/>
      <c r="G22" s="85"/>
      <c r="H22" s="85"/>
      <c r="I22" s="85"/>
      <c r="J22" s="85"/>
      <c r="K22" s="86"/>
      <c r="L22" s="86"/>
      <c r="M22" s="86"/>
      <c r="N22" s="86"/>
      <c r="O22" s="86"/>
      <c r="P22" s="86"/>
      <c r="Q22" s="86"/>
      <c r="R22" s="86"/>
      <c r="S22" s="86"/>
      <c r="T22" s="86"/>
      <c r="U22" s="86"/>
      <c r="V22" s="86"/>
      <c r="W22" s="86"/>
      <c r="X22" s="86"/>
      <c r="Y22" s="86"/>
      <c r="Z22" s="86"/>
    </row>
    <row r="23" spans="1:26" ht="17" x14ac:dyDescent="0.2">
      <c r="A23" s="88" t="s">
        <v>547</v>
      </c>
      <c r="B23" s="89"/>
      <c r="C23" s="89"/>
      <c r="D23" s="89"/>
      <c r="E23" s="89"/>
      <c r="F23" s="89"/>
      <c r="G23" s="89"/>
      <c r="H23" s="89"/>
      <c r="I23" s="90"/>
      <c r="J23" s="90"/>
      <c r="K23" s="86"/>
      <c r="L23" s="86"/>
      <c r="M23" s="86"/>
      <c r="N23" s="86"/>
      <c r="O23" s="86"/>
      <c r="P23" s="86"/>
      <c r="Q23" s="86"/>
      <c r="R23" s="86"/>
      <c r="S23" s="86"/>
      <c r="T23" s="86"/>
      <c r="U23" s="86"/>
      <c r="V23" s="86"/>
      <c r="W23" s="86"/>
      <c r="X23" s="86"/>
      <c r="Y23"/>
      <c r="Z23"/>
    </row>
    <row r="24" spans="1:26" ht="17" x14ac:dyDescent="0.2">
      <c r="A24" s="88" t="s">
        <v>44</v>
      </c>
      <c r="B24" s="88" t="s">
        <v>538</v>
      </c>
      <c r="C24" s="88" t="s">
        <v>539</v>
      </c>
      <c r="D24" s="88" t="s">
        <v>540</v>
      </c>
      <c r="E24" s="88" t="s">
        <v>541</v>
      </c>
      <c r="F24" s="88" t="s">
        <v>542</v>
      </c>
      <c r="G24" s="88" t="s">
        <v>543</v>
      </c>
      <c r="H24" s="88" t="s">
        <v>544</v>
      </c>
      <c r="I24" s="88" t="s">
        <v>545</v>
      </c>
      <c r="J24" s="88" t="s">
        <v>546</v>
      </c>
      <c r="K24" s="86"/>
      <c r="L24" s="86"/>
      <c r="M24" s="86"/>
      <c r="N24" s="86"/>
      <c r="O24" s="86"/>
      <c r="P24" s="86"/>
      <c r="Q24" s="86"/>
      <c r="R24" s="86"/>
      <c r="S24" s="86"/>
      <c r="T24" s="86"/>
      <c r="U24" s="86"/>
      <c r="V24" s="86"/>
      <c r="W24" s="86"/>
      <c r="X24" s="86"/>
      <c r="Y24" s="86"/>
      <c r="Z24" s="86"/>
    </row>
    <row r="25" spans="1:26" ht="17" x14ac:dyDescent="0.2">
      <c r="A25" s="84">
        <v>1</v>
      </c>
      <c r="B25" s="87">
        <v>4.6699999999999998E-2</v>
      </c>
      <c r="C25" s="87">
        <v>-4.5199999999999997E-2</v>
      </c>
      <c r="D25" s="87">
        <v>3.5999999999999999E-3</v>
      </c>
      <c r="E25" s="87">
        <v>1.12E-2</v>
      </c>
      <c r="F25" s="84">
        <v>4.1700999999999997</v>
      </c>
      <c r="G25" s="84">
        <v>2.0580099999999999</v>
      </c>
      <c r="H25" s="84">
        <v>2.6735899999999999</v>
      </c>
      <c r="I25" s="84">
        <v>0.90581999999999996</v>
      </c>
      <c r="J25" s="84">
        <v>54.093000000000004</v>
      </c>
      <c r="K25" s="86"/>
      <c r="L25" s="86"/>
      <c r="M25" s="86"/>
      <c r="N25" s="86"/>
      <c r="O25" s="86"/>
      <c r="P25" s="86"/>
      <c r="Q25" s="86"/>
      <c r="R25" s="86"/>
      <c r="S25" s="86"/>
      <c r="T25" s="86"/>
      <c r="U25" s="86"/>
      <c r="V25" s="86"/>
      <c r="W25" s="86"/>
      <c r="X25" s="86"/>
      <c r="Y25" s="86"/>
      <c r="Z25" s="86"/>
    </row>
    <row r="26" spans="1:26" ht="17" x14ac:dyDescent="0.2">
      <c r="A26" s="84">
        <v>2</v>
      </c>
      <c r="B26" s="87">
        <v>9.3299999999999994E-2</v>
      </c>
      <c r="C26" s="87">
        <v>-9.0300000000000005E-2</v>
      </c>
      <c r="D26" s="87">
        <v>7.2399999999999999E-3</v>
      </c>
      <c r="E26" s="87">
        <v>1.35E-2</v>
      </c>
      <c r="F26" s="84">
        <v>6.9314999999999998</v>
      </c>
      <c r="G26" s="84">
        <v>2.1920099999999998</v>
      </c>
      <c r="H26" s="84">
        <v>2.6715900000000001</v>
      </c>
      <c r="I26" s="84">
        <v>0.90556000000000003</v>
      </c>
      <c r="J26" s="84">
        <v>54.055</v>
      </c>
      <c r="K26" s="86"/>
      <c r="L26" s="86"/>
      <c r="M26" s="86"/>
      <c r="N26" s="86"/>
      <c r="O26" s="86"/>
      <c r="P26" s="86"/>
      <c r="Q26" s="86"/>
      <c r="R26" s="86"/>
      <c r="S26" s="86"/>
      <c r="T26" s="86"/>
      <c r="U26" s="86"/>
      <c r="V26" s="86"/>
      <c r="W26" s="86"/>
      <c r="X26" s="86"/>
      <c r="Y26" s="86"/>
      <c r="Z26" s="86"/>
    </row>
    <row r="27" spans="1:26" ht="17" x14ac:dyDescent="0.2">
      <c r="A27" s="84">
        <v>3</v>
      </c>
      <c r="B27" s="87">
        <v>0.14000000000000001</v>
      </c>
      <c r="C27" s="87">
        <v>-0.13500000000000001</v>
      </c>
      <c r="D27" s="87">
        <v>1.0999999999999999E-2</v>
      </c>
      <c r="E27" s="87">
        <v>1.7299999999999999E-2</v>
      </c>
      <c r="F27" s="84">
        <v>8.0778999999999996</v>
      </c>
      <c r="G27" s="84">
        <v>2.3051699999999999</v>
      </c>
      <c r="H27" s="84">
        <v>2.66561</v>
      </c>
      <c r="I27" s="84">
        <v>0.90500999999999998</v>
      </c>
      <c r="J27" s="84">
        <v>53.972999999999999</v>
      </c>
      <c r="K27" s="86"/>
      <c r="L27" s="86"/>
      <c r="M27" s="86"/>
      <c r="N27" s="86"/>
      <c r="O27" s="86"/>
      <c r="P27" s="86"/>
      <c r="Q27" s="86"/>
      <c r="R27" s="86"/>
      <c r="S27" s="86"/>
      <c r="T27" s="86"/>
      <c r="U27" s="86"/>
      <c r="V27" s="86"/>
      <c r="W27" s="86"/>
      <c r="X27" s="86"/>
      <c r="Y27" s="86"/>
      <c r="Z27" s="86"/>
    </row>
    <row r="28" spans="1:26" ht="17" x14ac:dyDescent="0.2">
      <c r="A28" s="85"/>
      <c r="B28" s="85"/>
      <c r="C28" s="85"/>
      <c r="D28" s="85"/>
      <c r="E28" s="85"/>
      <c r="F28" s="85"/>
      <c r="G28" s="85"/>
      <c r="H28" s="85"/>
      <c r="I28" s="85"/>
      <c r="J28" s="85"/>
      <c r="K28" s="86"/>
      <c r="L28" s="86"/>
      <c r="M28" s="86"/>
      <c r="N28" s="86"/>
      <c r="O28" s="86"/>
      <c r="P28" s="86"/>
      <c r="Q28" s="86"/>
      <c r="R28" s="86"/>
      <c r="S28" s="86"/>
      <c r="T28" s="86"/>
      <c r="U28" s="86"/>
      <c r="V28" s="86"/>
      <c r="W28" s="86"/>
      <c r="X28" s="86"/>
      <c r="Y28" s="86"/>
      <c r="Z28" s="86"/>
    </row>
    <row r="29" spans="1:26" ht="17" x14ac:dyDescent="0.2">
      <c r="A29" s="85"/>
      <c r="B29" s="85"/>
      <c r="C29" s="85"/>
      <c r="D29" s="85"/>
      <c r="E29" s="85"/>
      <c r="F29" s="85"/>
      <c r="G29" s="85"/>
      <c r="H29" s="85"/>
      <c r="I29" s="85"/>
      <c r="J29" s="85"/>
      <c r="K29" s="86"/>
      <c r="L29" s="86"/>
      <c r="M29" s="86"/>
      <c r="N29" s="86"/>
      <c r="O29" s="86"/>
      <c r="P29" s="86"/>
      <c r="Q29" s="86"/>
      <c r="R29" s="86"/>
      <c r="S29" s="86"/>
      <c r="T29" s="86"/>
      <c r="U29" s="86"/>
      <c r="V29" s="86"/>
      <c r="W29" s="86"/>
      <c r="X29" s="86"/>
      <c r="Y29" s="86"/>
      <c r="Z29" s="86"/>
    </row>
    <row r="30" spans="1:26" ht="17" x14ac:dyDescent="0.2">
      <c r="A30" s="88" t="s">
        <v>548</v>
      </c>
      <c r="B30" s="89"/>
      <c r="C30" s="89"/>
      <c r="D30" s="89"/>
      <c r="E30" s="89"/>
      <c r="F30" s="89"/>
      <c r="G30" s="89"/>
      <c r="H30" s="89"/>
      <c r="I30" s="90"/>
      <c r="J30" s="90"/>
      <c r="K30" s="86"/>
      <c r="L30" s="86"/>
      <c r="M30" s="86"/>
      <c r="N30" s="86"/>
      <c r="O30" s="86"/>
      <c r="P30" s="86"/>
      <c r="Q30" s="86"/>
      <c r="R30" s="86"/>
      <c r="S30" s="86"/>
      <c r="T30" s="86"/>
      <c r="U30" s="86"/>
      <c r="V30" s="86"/>
      <c r="W30" s="86"/>
      <c r="X30" s="86"/>
      <c r="Y30"/>
      <c r="Z30"/>
    </row>
    <row r="31" spans="1:26" ht="17" x14ac:dyDescent="0.2">
      <c r="A31" s="88" t="s">
        <v>44</v>
      </c>
      <c r="B31" s="88" t="s">
        <v>538</v>
      </c>
      <c r="C31" s="88" t="s">
        <v>539</v>
      </c>
      <c r="D31" s="88" t="s">
        <v>540</v>
      </c>
      <c r="E31" s="88" t="s">
        <v>541</v>
      </c>
      <c r="F31" s="88" t="s">
        <v>542</v>
      </c>
      <c r="G31" s="88" t="s">
        <v>543</v>
      </c>
      <c r="H31" s="88" t="s">
        <v>544</v>
      </c>
      <c r="I31" s="88" t="s">
        <v>545</v>
      </c>
      <c r="J31" s="88" t="s">
        <v>546</v>
      </c>
      <c r="K31" s="86"/>
      <c r="L31" s="86"/>
      <c r="M31" s="86"/>
      <c r="N31" s="86"/>
      <c r="O31" s="86"/>
      <c r="P31" s="86"/>
      <c r="Q31" s="86"/>
      <c r="R31" s="86"/>
      <c r="S31" s="86"/>
      <c r="T31" s="86"/>
      <c r="U31" s="86"/>
      <c r="V31" s="86"/>
      <c r="W31" s="86"/>
      <c r="X31" s="86"/>
      <c r="Y31" s="86"/>
      <c r="Z31" s="86"/>
    </row>
    <row r="32" spans="1:26" ht="17" x14ac:dyDescent="0.2">
      <c r="A32" s="84">
        <v>1</v>
      </c>
      <c r="B32" s="87">
        <v>4.3700000000000003E-2</v>
      </c>
      <c r="C32" s="87">
        <v>-4.2099999999999999E-2</v>
      </c>
      <c r="D32" s="87">
        <v>3.63E-3</v>
      </c>
      <c r="E32" s="87">
        <v>1.12E-2</v>
      </c>
      <c r="F32" s="84">
        <v>3.9077999999999999</v>
      </c>
      <c r="G32" s="84">
        <v>2.1452100000000001</v>
      </c>
      <c r="H32" s="84">
        <v>2.5027400000000002</v>
      </c>
      <c r="I32" s="84">
        <v>0.90183999999999997</v>
      </c>
      <c r="J32" s="84">
        <v>53.506999999999998</v>
      </c>
      <c r="K32" s="86"/>
      <c r="L32" s="86"/>
      <c r="M32" s="86"/>
      <c r="N32" s="86"/>
      <c r="O32" s="86"/>
      <c r="P32" s="86"/>
      <c r="Q32" s="86"/>
      <c r="R32" s="86"/>
      <c r="S32" s="86"/>
      <c r="T32" s="86"/>
      <c r="U32" s="86"/>
      <c r="V32" s="86"/>
      <c r="W32" s="86"/>
      <c r="X32" s="86"/>
      <c r="Y32" s="86"/>
      <c r="Z32" s="86"/>
    </row>
    <row r="33" spans="1:26" ht="17" x14ac:dyDescent="0.2">
      <c r="A33" s="84">
        <v>2</v>
      </c>
      <c r="B33" s="87">
        <v>8.72E-2</v>
      </c>
      <c r="C33" s="87">
        <v>-8.4000000000000005E-2</v>
      </c>
      <c r="D33" s="87">
        <v>7.3000000000000001E-3</v>
      </c>
      <c r="E33" s="87">
        <v>1.3299999999999999E-2</v>
      </c>
      <c r="F33" s="84">
        <v>6.5439999999999996</v>
      </c>
      <c r="G33" s="84">
        <v>2.2909799999999998</v>
      </c>
      <c r="H33" s="84">
        <v>2.4989400000000002</v>
      </c>
      <c r="I33" s="84">
        <v>0.90142</v>
      </c>
      <c r="J33" s="84">
        <v>53.447000000000003</v>
      </c>
      <c r="K33" s="86"/>
      <c r="L33" s="86"/>
      <c r="M33" s="86"/>
      <c r="N33" s="86"/>
      <c r="O33" s="86"/>
      <c r="P33" s="86"/>
      <c r="Q33" s="86"/>
      <c r="R33" s="86"/>
      <c r="S33" s="86"/>
      <c r="T33" s="86"/>
      <c r="U33" s="86"/>
      <c r="V33" s="86"/>
      <c r="W33" s="86"/>
      <c r="X33" s="86"/>
      <c r="Y33" s="86"/>
      <c r="Z33" s="86"/>
    </row>
    <row r="34" spans="1:26" ht="17" x14ac:dyDescent="0.2">
      <c r="A34" s="84">
        <v>3</v>
      </c>
      <c r="B34" s="87">
        <v>0.13</v>
      </c>
      <c r="C34" s="87">
        <v>-0.126</v>
      </c>
      <c r="D34" s="87">
        <v>1.11E-2</v>
      </c>
      <c r="E34" s="87">
        <v>1.6899999999999998E-2</v>
      </c>
      <c r="F34" s="84">
        <v>7.6973000000000003</v>
      </c>
      <c r="G34" s="84">
        <v>2.3928600000000002</v>
      </c>
      <c r="H34" s="84">
        <v>2.4910199999999998</v>
      </c>
      <c r="I34" s="84">
        <v>0.90066000000000002</v>
      </c>
      <c r="J34" s="84">
        <v>53.334000000000003</v>
      </c>
      <c r="K34" s="86"/>
      <c r="L34" s="86"/>
      <c r="M34" s="86"/>
      <c r="N34" s="86"/>
      <c r="O34" s="86"/>
      <c r="P34" s="86"/>
      <c r="Q34" s="86"/>
      <c r="R34" s="86"/>
      <c r="S34" s="86"/>
      <c r="T34" s="86"/>
      <c r="U34" s="86"/>
      <c r="V34" s="86"/>
      <c r="W34" s="86"/>
      <c r="X34" s="86"/>
      <c r="Y34" s="86"/>
      <c r="Z34" s="86"/>
    </row>
  </sheetData>
  <mergeCells count="1">
    <mergeCell ref="A1:G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5"/>
  <sheetViews>
    <sheetView zoomScale="70" zoomScaleNormal="70" zoomScalePageLayoutView="70" workbookViewId="0">
      <selection sqref="A1:XFD1"/>
    </sheetView>
  </sheetViews>
  <sheetFormatPr baseColWidth="10" defaultColWidth="15.1640625" defaultRowHeight="16" x14ac:dyDescent="0.2"/>
  <cols>
    <col min="1" max="1" width="27.6640625" style="57" customWidth="1"/>
    <col min="2" max="2" width="19.33203125" style="57" customWidth="1"/>
    <col min="3" max="3" width="15.1640625" style="57"/>
    <col min="4" max="4" width="2" style="57" customWidth="1"/>
    <col min="5" max="5" width="6.6640625" style="57" customWidth="1"/>
    <col min="6" max="6" width="30.33203125" style="57" customWidth="1"/>
    <col min="7" max="7" width="52.83203125" style="29" customWidth="1"/>
    <col min="8" max="16384" width="15.1640625" style="57"/>
  </cols>
  <sheetData>
    <row r="1" spans="1:12" ht="22" customHeight="1" x14ac:dyDescent="0.2">
      <c r="A1" s="113" t="s">
        <v>521</v>
      </c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5"/>
    </row>
    <row r="2" spans="1:12" ht="18" customHeight="1" x14ac:dyDescent="0.2">
      <c r="A2" s="23" t="s">
        <v>5</v>
      </c>
      <c r="B2" s="23" t="s">
        <v>96</v>
      </c>
      <c r="C2" s="58" t="s">
        <v>7</v>
      </c>
      <c r="D2" s="58" t="s">
        <v>125</v>
      </c>
      <c r="E2" s="58" t="s">
        <v>8</v>
      </c>
      <c r="F2" s="71" t="s">
        <v>9</v>
      </c>
      <c r="G2" s="72" t="s">
        <v>10</v>
      </c>
      <c r="H2" s="130" t="s">
        <v>11</v>
      </c>
      <c r="I2" s="131"/>
      <c r="J2" s="131"/>
      <c r="K2" s="131"/>
      <c r="L2" s="132"/>
    </row>
    <row r="3" spans="1:12" ht="18" customHeight="1" x14ac:dyDescent="0.2">
      <c r="A3" t="s">
        <v>522</v>
      </c>
      <c r="B3" t="s">
        <v>523</v>
      </c>
      <c r="C3" s="68">
        <v>12662.098628298852</v>
      </c>
      <c r="D3" t="s">
        <v>125</v>
      </c>
      <c r="E3" t="s">
        <v>223</v>
      </c>
      <c r="F3" s="73" t="s">
        <v>524</v>
      </c>
      <c r="G3" s="73" t="s">
        <v>525</v>
      </c>
      <c r="H3" s="133" t="s">
        <v>526</v>
      </c>
      <c r="I3" s="133"/>
      <c r="J3" s="133"/>
      <c r="K3" s="133"/>
      <c r="L3" s="133"/>
    </row>
    <row r="4" spans="1:12" ht="18" customHeight="1" x14ac:dyDescent="0.2">
      <c r="A4" s="69">
        <v>42000</v>
      </c>
      <c r="B4" s="56" t="s">
        <v>523</v>
      </c>
      <c r="C4" s="68">
        <v>12069.481650697158</v>
      </c>
      <c r="D4" t="s">
        <v>125</v>
      </c>
      <c r="E4" s="56" t="s">
        <v>223</v>
      </c>
      <c r="F4" s="73" t="s">
        <v>524</v>
      </c>
      <c r="G4" s="73" t="s">
        <v>525</v>
      </c>
      <c r="H4" s="133" t="s">
        <v>526</v>
      </c>
      <c r="I4" s="133"/>
      <c r="J4" s="133"/>
      <c r="K4" s="133"/>
      <c r="L4" s="133"/>
    </row>
    <row r="5" spans="1:12" ht="18" customHeight="1" x14ac:dyDescent="0.2">
      <c r="A5" s="69">
        <v>43000</v>
      </c>
      <c r="B5" s="56" t="s">
        <v>523</v>
      </c>
      <c r="C5" s="68">
        <v>11506.269332289437</v>
      </c>
      <c r="D5" t="s">
        <v>125</v>
      </c>
      <c r="E5" s="56" t="s">
        <v>223</v>
      </c>
      <c r="F5" s="73" t="s">
        <v>524</v>
      </c>
      <c r="G5" s="73" t="s">
        <v>525</v>
      </c>
      <c r="H5" s="133" t="s">
        <v>526</v>
      </c>
      <c r="I5" s="133"/>
      <c r="J5" s="133"/>
      <c r="K5" s="133"/>
      <c r="L5" s="133"/>
    </row>
    <row r="6" spans="1:12" ht="18" customHeight="1" x14ac:dyDescent="0.2">
      <c r="A6" s="69">
        <v>44000</v>
      </c>
      <c r="B6" s="56" t="s">
        <v>523</v>
      </c>
      <c r="C6" s="68">
        <v>10967.937879353545</v>
      </c>
      <c r="D6" t="s">
        <v>125</v>
      </c>
      <c r="E6" s="56" t="s">
        <v>223</v>
      </c>
      <c r="F6" s="73" t="s">
        <v>524</v>
      </c>
      <c r="G6" s="73" t="s">
        <v>525</v>
      </c>
      <c r="H6" s="133" t="s">
        <v>526</v>
      </c>
      <c r="I6" s="133"/>
      <c r="J6" s="133"/>
      <c r="K6" s="133"/>
      <c r="L6" s="133"/>
    </row>
    <row r="7" spans="1:12" ht="18" customHeight="1" x14ac:dyDescent="0.2">
      <c r="A7" s="69">
        <v>45000</v>
      </c>
      <c r="B7" s="56" t="s">
        <v>523</v>
      </c>
      <c r="C7" s="68">
        <v>10456.749188750555</v>
      </c>
      <c r="D7" t="s">
        <v>125</v>
      </c>
      <c r="E7" s="56" t="s">
        <v>223</v>
      </c>
      <c r="F7" s="73" t="s">
        <v>524</v>
      </c>
      <c r="G7" s="73" t="s">
        <v>525</v>
      </c>
      <c r="H7" s="133" t="s">
        <v>526</v>
      </c>
      <c r="I7" s="133"/>
      <c r="J7" s="133"/>
      <c r="K7" s="133"/>
      <c r="L7" s="133"/>
    </row>
    <row r="8" spans="1:12" ht="22" customHeight="1" x14ac:dyDescent="0.2">
      <c r="A8" s="69">
        <v>46000</v>
      </c>
      <c r="B8" s="56" t="s">
        <v>523</v>
      </c>
      <c r="C8" s="68">
        <v>9968.1794667583181</v>
      </c>
      <c r="D8" t="s">
        <v>125</v>
      </c>
      <c r="E8" s="56" t="s">
        <v>223</v>
      </c>
      <c r="F8" s="73" t="s">
        <v>524</v>
      </c>
      <c r="G8" s="73" t="s">
        <v>525</v>
      </c>
      <c r="H8" s="133" t="s">
        <v>526</v>
      </c>
      <c r="I8" s="133"/>
      <c r="J8" s="133"/>
      <c r="K8" s="133"/>
      <c r="L8" s="133"/>
    </row>
    <row r="9" spans="1:12" ht="18" customHeight="1" x14ac:dyDescent="0.2">
      <c r="A9" s="69">
        <v>47000</v>
      </c>
      <c r="B9" s="56" t="s">
        <v>523</v>
      </c>
      <c r="C9" s="68">
        <v>9502.2287133768295</v>
      </c>
      <c r="D9" t="s">
        <v>125</v>
      </c>
      <c r="E9" s="56" t="s">
        <v>223</v>
      </c>
      <c r="F9" s="73" t="s">
        <v>524</v>
      </c>
      <c r="G9" s="73" t="s">
        <v>525</v>
      </c>
      <c r="H9" s="133" t="s">
        <v>526</v>
      </c>
      <c r="I9" s="133"/>
      <c r="J9" s="133"/>
      <c r="K9" s="133"/>
      <c r="L9" s="133"/>
    </row>
    <row r="10" spans="1:12" ht="18" customHeight="1" x14ac:dyDescent="0.2">
      <c r="A10" s="69">
        <v>48000</v>
      </c>
      <c r="B10" s="56" t="s">
        <v>523</v>
      </c>
      <c r="C10" s="68">
        <v>9058.8969286060928</v>
      </c>
      <c r="D10" t="s">
        <v>125</v>
      </c>
      <c r="E10" s="56" t="s">
        <v>223</v>
      </c>
      <c r="F10" s="73" t="s">
        <v>524</v>
      </c>
      <c r="G10" s="73" t="s">
        <v>525</v>
      </c>
      <c r="H10" s="133" t="s">
        <v>526</v>
      </c>
      <c r="I10" s="133"/>
      <c r="J10" s="133"/>
      <c r="K10" s="133"/>
      <c r="L10" s="133"/>
    </row>
    <row r="11" spans="1:12" ht="18" customHeight="1" x14ac:dyDescent="0.2">
      <c r="A11" s="69">
        <v>49000</v>
      </c>
      <c r="B11" s="56" t="s">
        <v>523</v>
      </c>
      <c r="C11" s="68">
        <v>8633.6603187239598</v>
      </c>
      <c r="D11" t="s">
        <v>125</v>
      </c>
      <c r="E11" s="56" t="s">
        <v>223</v>
      </c>
      <c r="F11" s="73" t="s">
        <v>524</v>
      </c>
      <c r="G11" s="73" t="s">
        <v>525</v>
      </c>
      <c r="H11" s="133" t="s">
        <v>526</v>
      </c>
      <c r="I11" s="133"/>
      <c r="J11" s="133"/>
      <c r="K11" s="133"/>
      <c r="L11" s="133"/>
    </row>
    <row r="12" spans="1:12" ht="22" customHeight="1" x14ac:dyDescent="0.2">
      <c r="A12" s="113" t="s">
        <v>527</v>
      </c>
      <c r="B12" s="114"/>
      <c r="C12" s="114"/>
      <c r="D12" s="114"/>
      <c r="E12" s="114"/>
      <c r="F12" s="116"/>
      <c r="G12" s="116"/>
      <c r="H12" s="116"/>
      <c r="I12" s="116"/>
      <c r="J12" s="116"/>
      <c r="K12" s="116"/>
      <c r="L12" s="120"/>
    </row>
    <row r="13" spans="1:12" ht="18" customHeight="1" x14ac:dyDescent="0.2">
      <c r="A13" s="23" t="s">
        <v>5</v>
      </c>
      <c r="B13" s="23" t="s">
        <v>96</v>
      </c>
      <c r="C13" s="58" t="s">
        <v>7</v>
      </c>
      <c r="D13" s="58" t="s">
        <v>125</v>
      </c>
      <c r="E13" s="58" t="s">
        <v>8</v>
      </c>
      <c r="F13" s="71" t="s">
        <v>9</v>
      </c>
      <c r="G13" s="72" t="s">
        <v>10</v>
      </c>
      <c r="H13" s="130" t="s">
        <v>11</v>
      </c>
      <c r="I13" s="131"/>
      <c r="J13" s="131"/>
      <c r="K13" s="131"/>
      <c r="L13" s="132"/>
    </row>
    <row r="14" spans="1:12" ht="18" customHeight="1" x14ac:dyDescent="0.2">
      <c r="A14" s="56" t="s">
        <v>522</v>
      </c>
      <c r="B14" s="56" t="s">
        <v>523</v>
      </c>
      <c r="C14" s="70">
        <v>12612.327480941742</v>
      </c>
      <c r="D14" s="56" t="s">
        <v>125</v>
      </c>
      <c r="E14" s="56" t="s">
        <v>223</v>
      </c>
      <c r="F14" s="73" t="s">
        <v>524</v>
      </c>
      <c r="G14" s="73" t="s">
        <v>525</v>
      </c>
      <c r="H14" s="133" t="s">
        <v>526</v>
      </c>
      <c r="I14" s="133"/>
      <c r="J14" s="133"/>
      <c r="K14" s="133"/>
      <c r="L14" s="133"/>
    </row>
    <row r="15" spans="1:12" ht="18" customHeight="1" x14ac:dyDescent="0.2">
      <c r="A15" s="69">
        <v>42000</v>
      </c>
      <c r="B15" s="56" t="s">
        <v>523</v>
      </c>
      <c r="C15" s="70">
        <v>12022.039913952329</v>
      </c>
      <c r="D15" s="56" t="s">
        <v>125</v>
      </c>
      <c r="E15" s="56" t="s">
        <v>223</v>
      </c>
      <c r="F15" s="73" t="s">
        <v>524</v>
      </c>
      <c r="G15" s="73" t="s">
        <v>525</v>
      </c>
      <c r="H15" s="133" t="s">
        <v>526</v>
      </c>
      <c r="I15" s="133"/>
      <c r="J15" s="133"/>
      <c r="K15" s="133"/>
      <c r="L15" s="133"/>
    </row>
    <row r="16" spans="1:12" ht="18" customHeight="1" x14ac:dyDescent="0.2">
      <c r="A16" s="69">
        <v>43000</v>
      </c>
      <c r="B16" s="56" t="s">
        <v>523</v>
      </c>
      <c r="C16" s="70">
        <v>11461.041424714298</v>
      </c>
      <c r="D16" s="56" t="s">
        <v>125</v>
      </c>
      <c r="E16" s="56" t="s">
        <v>223</v>
      </c>
      <c r="F16" s="73" t="s">
        <v>524</v>
      </c>
      <c r="G16" s="73" t="s">
        <v>525</v>
      </c>
      <c r="H16" s="133" t="s">
        <v>526</v>
      </c>
      <c r="I16" s="133"/>
      <c r="J16" s="133"/>
      <c r="K16" s="133"/>
      <c r="L16" s="133"/>
    </row>
    <row r="17" spans="1:12" ht="18" customHeight="1" x14ac:dyDescent="0.2">
      <c r="A17" s="69">
        <v>44000</v>
      </c>
      <c r="B17" s="56" t="s">
        <v>523</v>
      </c>
      <c r="C17" s="70">
        <v>10924.826001265901</v>
      </c>
      <c r="D17" s="56" t="s">
        <v>125</v>
      </c>
      <c r="E17" s="56" t="s">
        <v>223</v>
      </c>
      <c r="F17" s="73" t="s">
        <v>524</v>
      </c>
      <c r="G17" s="73" t="s">
        <v>525</v>
      </c>
      <c r="H17" s="133" t="s">
        <v>526</v>
      </c>
      <c r="I17" s="133"/>
      <c r="J17" s="133"/>
      <c r="K17" s="133"/>
      <c r="L17" s="133"/>
    </row>
    <row r="18" spans="1:12" ht="18" customHeight="1" x14ac:dyDescent="0.2">
      <c r="A18" s="69">
        <v>45000</v>
      </c>
      <c r="B18" s="56" t="s">
        <v>523</v>
      </c>
      <c r="C18" s="70">
        <v>10415.646649588009</v>
      </c>
      <c r="D18" s="56" t="s">
        <v>125</v>
      </c>
      <c r="E18" s="56" t="s">
        <v>223</v>
      </c>
      <c r="F18" s="73" t="s">
        <v>524</v>
      </c>
      <c r="G18" s="73" t="s">
        <v>525</v>
      </c>
      <c r="H18" s="133" t="s">
        <v>526</v>
      </c>
      <c r="I18" s="133"/>
      <c r="J18" s="133"/>
      <c r="K18" s="133"/>
      <c r="L18" s="133"/>
    </row>
    <row r="19" spans="1:12" ht="18" customHeight="1" x14ac:dyDescent="0.2">
      <c r="A19" s="69">
        <v>46000</v>
      </c>
      <c r="B19" s="56" t="s">
        <v>523</v>
      </c>
      <c r="C19" s="70">
        <v>9928.9973577188757</v>
      </c>
      <c r="D19" s="56" t="s">
        <v>125</v>
      </c>
      <c r="E19" s="56" t="s">
        <v>223</v>
      </c>
      <c r="F19" s="73" t="s">
        <v>524</v>
      </c>
      <c r="G19" s="73" t="s">
        <v>525</v>
      </c>
      <c r="H19" s="133" t="s">
        <v>526</v>
      </c>
      <c r="I19" s="133"/>
      <c r="J19" s="133"/>
      <c r="K19" s="133"/>
      <c r="L19" s="133"/>
    </row>
    <row r="20" spans="1:12" ht="22" customHeight="1" x14ac:dyDescent="0.2">
      <c r="A20" s="69">
        <v>47000</v>
      </c>
      <c r="B20" s="56" t="s">
        <v>523</v>
      </c>
      <c r="C20" s="70">
        <v>9464.8781256584971</v>
      </c>
      <c r="D20" s="56" t="s">
        <v>125</v>
      </c>
      <c r="E20" s="56" t="s">
        <v>223</v>
      </c>
      <c r="F20" s="73" t="s">
        <v>524</v>
      </c>
      <c r="G20" s="73" t="s">
        <v>525</v>
      </c>
      <c r="H20" s="133" t="s">
        <v>526</v>
      </c>
      <c r="I20" s="133"/>
      <c r="J20" s="133"/>
      <c r="K20" s="133"/>
      <c r="L20" s="133"/>
    </row>
    <row r="21" spans="1:12" ht="18" customHeight="1" x14ac:dyDescent="0.2">
      <c r="A21" s="69">
        <v>48000</v>
      </c>
      <c r="B21" s="56" t="s">
        <v>523</v>
      </c>
      <c r="C21" s="70">
        <v>9023.2889534068727</v>
      </c>
      <c r="D21" s="56" t="s">
        <v>125</v>
      </c>
      <c r="E21" s="56" t="s">
        <v>223</v>
      </c>
      <c r="F21" s="73" t="s">
        <v>524</v>
      </c>
      <c r="G21" s="73" t="s">
        <v>525</v>
      </c>
      <c r="H21" s="133" t="s">
        <v>526</v>
      </c>
      <c r="I21" s="133"/>
      <c r="J21" s="133"/>
      <c r="K21" s="133"/>
      <c r="L21" s="133"/>
    </row>
    <row r="22" spans="1:12" ht="18" customHeight="1" x14ac:dyDescent="0.2">
      <c r="A22" s="69">
        <v>49000</v>
      </c>
      <c r="B22" s="56" t="s">
        <v>523</v>
      </c>
      <c r="C22" s="70">
        <v>8599.723829002256</v>
      </c>
      <c r="D22" s="56" t="s">
        <v>125</v>
      </c>
      <c r="E22" s="56" t="s">
        <v>223</v>
      </c>
      <c r="F22" s="73" t="s">
        <v>524</v>
      </c>
      <c r="G22" s="73" t="s">
        <v>525</v>
      </c>
      <c r="H22" s="133" t="s">
        <v>526</v>
      </c>
      <c r="I22" s="133"/>
      <c r="J22" s="133"/>
      <c r="K22" s="133"/>
      <c r="L22" s="133"/>
    </row>
    <row r="23" spans="1:12" ht="22" customHeight="1" x14ac:dyDescent="0.2">
      <c r="A23" s="113" t="s">
        <v>527</v>
      </c>
      <c r="B23" s="114"/>
      <c r="C23" s="114"/>
      <c r="D23" s="114"/>
      <c r="E23" s="114"/>
      <c r="F23" s="116"/>
      <c r="G23" s="116"/>
      <c r="H23" s="116"/>
      <c r="I23" s="116"/>
      <c r="J23" s="116"/>
      <c r="K23" s="116"/>
      <c r="L23" s="120"/>
    </row>
    <row r="24" spans="1:12" ht="18" customHeight="1" x14ac:dyDescent="0.2">
      <c r="A24" s="23" t="s">
        <v>5</v>
      </c>
      <c r="B24" s="23" t="s">
        <v>96</v>
      </c>
      <c r="C24" s="58" t="s">
        <v>7</v>
      </c>
      <c r="D24" s="58" t="s">
        <v>125</v>
      </c>
      <c r="E24" s="58" t="s">
        <v>8</v>
      </c>
      <c r="F24" s="71" t="s">
        <v>9</v>
      </c>
      <c r="G24" s="72" t="s">
        <v>10</v>
      </c>
      <c r="H24" s="130" t="s">
        <v>11</v>
      </c>
      <c r="I24" s="131"/>
      <c r="J24" s="131"/>
      <c r="K24" s="131"/>
      <c r="L24" s="132"/>
    </row>
    <row r="25" spans="1:12" ht="18" customHeight="1" x14ac:dyDescent="0.2">
      <c r="A25" s="56" t="s">
        <v>522</v>
      </c>
      <c r="B25" s="56" t="s">
        <v>523</v>
      </c>
      <c r="C25" s="70">
        <v>12565.450703040022</v>
      </c>
      <c r="D25" s="56" t="s">
        <v>125</v>
      </c>
      <c r="E25" s="56" t="s">
        <v>223</v>
      </c>
      <c r="F25" s="73" t="s">
        <v>524</v>
      </c>
      <c r="G25" s="73" t="s">
        <v>525</v>
      </c>
      <c r="H25" s="133" t="s">
        <v>526</v>
      </c>
      <c r="I25" s="133"/>
      <c r="J25" s="133"/>
      <c r="K25" s="133"/>
      <c r="L25" s="133"/>
    </row>
    <row r="26" spans="1:12" ht="18" customHeight="1" x14ac:dyDescent="0.2">
      <c r="A26" s="69">
        <v>42000</v>
      </c>
      <c r="B26" s="56" t="s">
        <v>523</v>
      </c>
      <c r="C26" s="70">
        <v>11977.357083140685</v>
      </c>
      <c r="D26" s="56" t="s">
        <v>125</v>
      </c>
      <c r="E26" s="56" t="s">
        <v>223</v>
      </c>
      <c r="F26" s="73" t="s">
        <v>524</v>
      </c>
      <c r="G26" s="73" t="s">
        <v>525</v>
      </c>
      <c r="H26" s="133" t="s">
        <v>526</v>
      </c>
      <c r="I26" s="133"/>
      <c r="J26" s="133"/>
      <c r="K26" s="133"/>
      <c r="L26" s="133"/>
    </row>
    <row r="27" spans="1:12" ht="18" customHeight="1" x14ac:dyDescent="0.2">
      <c r="A27" s="69">
        <v>43000</v>
      </c>
      <c r="B27" s="56" t="s">
        <v>523</v>
      </c>
      <c r="C27" s="70">
        <v>11418.443681022614</v>
      </c>
      <c r="D27" s="56" t="s">
        <v>125</v>
      </c>
      <c r="E27" s="56" t="s">
        <v>223</v>
      </c>
      <c r="F27" s="73" t="s">
        <v>524</v>
      </c>
      <c r="G27" s="73" t="s">
        <v>525</v>
      </c>
      <c r="H27" s="133" t="s">
        <v>526</v>
      </c>
      <c r="I27" s="133"/>
      <c r="J27" s="133"/>
      <c r="K27" s="133"/>
      <c r="L27" s="133"/>
    </row>
    <row r="28" spans="1:12" ht="18" customHeight="1" x14ac:dyDescent="0.2">
      <c r="A28" s="69">
        <v>44000</v>
      </c>
      <c r="B28" s="56" t="s">
        <v>523</v>
      </c>
      <c r="C28" s="70">
        <v>10884.221232411766</v>
      </c>
      <c r="D28" s="56" t="s">
        <v>125</v>
      </c>
      <c r="E28" s="56" t="s">
        <v>223</v>
      </c>
      <c r="F28" s="73" t="s">
        <v>524</v>
      </c>
      <c r="G28" s="73" t="s">
        <v>525</v>
      </c>
      <c r="H28" s="133" t="s">
        <v>526</v>
      </c>
      <c r="I28" s="133"/>
      <c r="J28" s="133"/>
      <c r="K28" s="133"/>
      <c r="L28" s="133"/>
    </row>
    <row r="29" spans="1:12" ht="18" customHeight="1" x14ac:dyDescent="0.2">
      <c r="A29" s="69">
        <v>45000</v>
      </c>
      <c r="B29" s="56" t="s">
        <v>523</v>
      </c>
      <c r="C29" s="70">
        <v>10376.934369445165</v>
      </c>
      <c r="D29" s="56" t="s">
        <v>125</v>
      </c>
      <c r="E29" s="56" t="s">
        <v>223</v>
      </c>
      <c r="F29" s="73" t="s">
        <v>524</v>
      </c>
      <c r="G29" s="73" t="s">
        <v>525</v>
      </c>
      <c r="H29" s="133" t="s">
        <v>526</v>
      </c>
      <c r="I29" s="133"/>
      <c r="J29" s="133"/>
      <c r="K29" s="133"/>
      <c r="L29" s="133"/>
    </row>
    <row r="30" spans="1:12" ht="18" customHeight="1" x14ac:dyDescent="0.2">
      <c r="A30" s="69">
        <v>46000</v>
      </c>
      <c r="B30" s="56" t="s">
        <v>523</v>
      </c>
      <c r="C30" s="70">
        <v>9892.0938278487647</v>
      </c>
      <c r="D30" s="56" t="s">
        <v>125</v>
      </c>
      <c r="E30" s="56" t="s">
        <v>223</v>
      </c>
      <c r="F30" s="73" t="s">
        <v>524</v>
      </c>
      <c r="G30" s="73" t="s">
        <v>525</v>
      </c>
      <c r="H30" s="133" t="s">
        <v>526</v>
      </c>
      <c r="I30" s="133"/>
      <c r="J30" s="133"/>
      <c r="K30" s="133"/>
      <c r="L30" s="133"/>
    </row>
    <row r="31" spans="1:12" ht="22" customHeight="1" x14ac:dyDescent="0.2">
      <c r="A31" s="69">
        <v>47000</v>
      </c>
      <c r="B31" s="56" t="s">
        <v>523</v>
      </c>
      <c r="C31" s="70">
        <v>9429.6996076225696</v>
      </c>
      <c r="D31" s="56" t="s">
        <v>125</v>
      </c>
      <c r="E31" s="56" t="s">
        <v>223</v>
      </c>
      <c r="F31" s="73" t="s">
        <v>524</v>
      </c>
      <c r="G31" s="73" t="s">
        <v>525</v>
      </c>
      <c r="H31" s="133" t="s">
        <v>526</v>
      </c>
      <c r="I31" s="133"/>
      <c r="J31" s="133"/>
      <c r="K31" s="133"/>
      <c r="L31" s="133"/>
    </row>
    <row r="32" spans="1:12" ht="18" customHeight="1" x14ac:dyDescent="0.2">
      <c r="A32" s="69">
        <v>48000</v>
      </c>
      <c r="B32" s="56" t="s">
        <v>523</v>
      </c>
      <c r="C32" s="70">
        <v>8989.7517087665747</v>
      </c>
      <c r="D32" s="56" t="s">
        <v>125</v>
      </c>
      <c r="E32" s="56" t="s">
        <v>223</v>
      </c>
      <c r="F32" s="73" t="s">
        <v>524</v>
      </c>
      <c r="G32" s="73" t="s">
        <v>525</v>
      </c>
      <c r="H32" s="133" t="s">
        <v>526</v>
      </c>
      <c r="I32" s="133"/>
      <c r="J32" s="133"/>
      <c r="K32" s="133"/>
      <c r="L32" s="133"/>
    </row>
    <row r="33" spans="1:12" ht="18" customHeight="1" x14ac:dyDescent="0.2">
      <c r="A33" s="69">
        <v>49000</v>
      </c>
      <c r="B33" s="56" t="s">
        <v>523</v>
      </c>
      <c r="C33" s="70">
        <v>8567.7608670067475</v>
      </c>
      <c r="D33" s="56" t="s">
        <v>125</v>
      </c>
      <c r="E33" s="56" t="s">
        <v>223</v>
      </c>
      <c r="F33" s="73" t="s">
        <v>524</v>
      </c>
      <c r="G33" s="73" t="s">
        <v>525</v>
      </c>
      <c r="H33" s="133" t="s">
        <v>526</v>
      </c>
      <c r="I33" s="133"/>
      <c r="J33" s="133"/>
      <c r="K33" s="133"/>
      <c r="L33" s="133"/>
    </row>
    <row r="34" spans="1:12" ht="18" customHeight="1" x14ac:dyDescent="0.2">
      <c r="A34"/>
      <c r="B34"/>
      <c r="C34"/>
      <c r="D34"/>
      <c r="E34"/>
      <c r="F34"/>
      <c r="G34"/>
      <c r="H34"/>
      <c r="I34"/>
      <c r="J34"/>
      <c r="K34"/>
      <c r="L34"/>
    </row>
    <row r="35" spans="1:12" ht="18" customHeight="1" x14ac:dyDescent="0.2">
      <c r="A35"/>
      <c r="B35"/>
      <c r="C35"/>
      <c r="D35"/>
      <c r="E35"/>
      <c r="F35"/>
      <c r="G35"/>
      <c r="H35"/>
      <c r="I35"/>
      <c r="J35"/>
      <c r="K35"/>
      <c r="L35"/>
    </row>
    <row r="36" spans="1:12" ht="18" customHeight="1" x14ac:dyDescent="0.2">
      <c r="A36"/>
      <c r="B36"/>
      <c r="C36"/>
      <c r="D36"/>
      <c r="E36"/>
      <c r="F36"/>
      <c r="G36"/>
      <c r="H36"/>
      <c r="I36"/>
      <c r="J36"/>
      <c r="K36"/>
      <c r="L36"/>
    </row>
    <row r="37" spans="1:12" ht="18" customHeight="1" x14ac:dyDescent="0.2">
      <c r="A37"/>
      <c r="B37"/>
      <c r="C37"/>
      <c r="D37"/>
      <c r="E37"/>
      <c r="F37"/>
      <c r="G37"/>
      <c r="H37"/>
      <c r="I37"/>
      <c r="J37"/>
      <c r="K37"/>
      <c r="L37"/>
    </row>
    <row r="38" spans="1:12" ht="18" customHeight="1" x14ac:dyDescent="0.2">
      <c r="A38"/>
      <c r="B38"/>
      <c r="C38"/>
      <c r="D38"/>
      <c r="E38"/>
      <c r="F38"/>
      <c r="G38"/>
      <c r="H38"/>
      <c r="I38"/>
      <c r="J38"/>
      <c r="K38"/>
      <c r="L38"/>
    </row>
    <row r="39" spans="1:12" ht="18" customHeight="1" x14ac:dyDescent="0.2">
      <c r="A39"/>
      <c r="B39"/>
      <c r="C39"/>
      <c r="D39"/>
      <c r="E39"/>
      <c r="F39"/>
      <c r="G39"/>
      <c r="H39"/>
      <c r="I39"/>
      <c r="J39"/>
      <c r="K39"/>
      <c r="L39"/>
    </row>
    <row r="40" spans="1:12" ht="18" customHeight="1" x14ac:dyDescent="0.2">
      <c r="A40"/>
      <c r="B40"/>
      <c r="C40"/>
      <c r="D40"/>
      <c r="E40"/>
      <c r="F40"/>
      <c r="G40"/>
      <c r="H40"/>
      <c r="I40"/>
      <c r="J40"/>
      <c r="K40"/>
      <c r="L40"/>
    </row>
    <row r="41" spans="1:12" ht="18" customHeight="1" x14ac:dyDescent="0.2">
      <c r="A41"/>
      <c r="B41"/>
      <c r="C41"/>
      <c r="D41"/>
      <c r="E41"/>
      <c r="F41"/>
      <c r="G41"/>
      <c r="H41"/>
      <c r="I41"/>
      <c r="J41"/>
      <c r="K41"/>
      <c r="L41"/>
    </row>
    <row r="42" spans="1:12" ht="18" customHeight="1" x14ac:dyDescent="0.2">
      <c r="A42"/>
      <c r="B42"/>
      <c r="C42"/>
      <c r="D42"/>
      <c r="E42"/>
      <c r="F42"/>
      <c r="G42"/>
      <c r="H42"/>
      <c r="I42"/>
      <c r="J42"/>
      <c r="K42"/>
      <c r="L42"/>
    </row>
    <row r="43" spans="1:12" ht="18" customHeight="1" x14ac:dyDescent="0.2">
      <c r="A43"/>
      <c r="B43"/>
      <c r="C43"/>
      <c r="D43"/>
      <c r="E43"/>
      <c r="F43"/>
      <c r="G43"/>
      <c r="H43"/>
      <c r="I43"/>
      <c r="J43"/>
      <c r="K43"/>
      <c r="L43"/>
    </row>
    <row r="44" spans="1:12" ht="22" customHeight="1" x14ac:dyDescent="0.2">
      <c r="A44"/>
      <c r="B44"/>
      <c r="C44"/>
      <c r="D44"/>
      <c r="E44"/>
      <c r="F44"/>
      <c r="G44"/>
      <c r="H44"/>
      <c r="I44"/>
      <c r="J44"/>
      <c r="K44"/>
      <c r="L44"/>
    </row>
    <row r="45" spans="1:12" ht="18" customHeight="1" x14ac:dyDescent="0.2">
      <c r="A45"/>
      <c r="B45"/>
      <c r="C45"/>
      <c r="D45"/>
      <c r="E45"/>
      <c r="F45"/>
      <c r="G45"/>
      <c r="H45"/>
      <c r="I45"/>
      <c r="J45"/>
      <c r="K45"/>
      <c r="L45"/>
    </row>
    <row r="46" spans="1:12" ht="18" customHeight="1" x14ac:dyDescent="0.2">
      <c r="A46"/>
      <c r="B46"/>
      <c r="C46"/>
      <c r="D46"/>
      <c r="E46"/>
      <c r="F46"/>
      <c r="G46"/>
      <c r="H46"/>
      <c r="I46"/>
      <c r="J46"/>
      <c r="K46"/>
      <c r="L46"/>
    </row>
    <row r="47" spans="1:12" ht="18" customHeight="1" x14ac:dyDescent="0.2">
      <c r="A47"/>
      <c r="B47"/>
      <c r="C47"/>
      <c r="D47"/>
      <c r="E47"/>
      <c r="F47"/>
      <c r="G47"/>
      <c r="H47"/>
      <c r="I47"/>
      <c r="J47"/>
      <c r="K47"/>
      <c r="L47"/>
    </row>
    <row r="48" spans="1:12" ht="18" customHeight="1" x14ac:dyDescent="0.2">
      <c r="A48"/>
      <c r="B48"/>
      <c r="C48"/>
      <c r="D48"/>
      <c r="E48"/>
      <c r="F48"/>
      <c r="G48"/>
      <c r="H48"/>
      <c r="I48"/>
      <c r="J48"/>
      <c r="K48"/>
      <c r="L48"/>
    </row>
    <row r="49" spans="1:12" ht="18" customHeight="1" x14ac:dyDescent="0.2">
      <c r="A49"/>
      <c r="B49"/>
      <c r="C49"/>
      <c r="D49"/>
      <c r="E49"/>
      <c r="F49"/>
      <c r="G49"/>
      <c r="H49"/>
      <c r="I49"/>
      <c r="J49"/>
      <c r="K49"/>
      <c r="L49"/>
    </row>
    <row r="50" spans="1:12" ht="18" customHeight="1" x14ac:dyDescent="0.2">
      <c r="A50"/>
      <c r="B50"/>
      <c r="C50"/>
      <c r="D50"/>
      <c r="E50"/>
      <c r="F50"/>
      <c r="G50"/>
      <c r="H50"/>
      <c r="I50"/>
      <c r="J50"/>
      <c r="K50"/>
      <c r="L50"/>
    </row>
    <row r="51" spans="1:12" ht="18" customHeight="1" x14ac:dyDescent="0.2">
      <c r="A51"/>
      <c r="B51"/>
      <c r="C51"/>
      <c r="D51"/>
      <c r="E51"/>
      <c r="F51"/>
      <c r="G51"/>
      <c r="H51"/>
      <c r="I51"/>
      <c r="J51"/>
      <c r="K51"/>
      <c r="L51"/>
    </row>
    <row r="52" spans="1:12" ht="18" customHeight="1" x14ac:dyDescent="0.2">
      <c r="H52" s="105"/>
      <c r="I52" s="105"/>
      <c r="J52" s="105"/>
      <c r="K52" s="105"/>
      <c r="L52" s="105"/>
    </row>
    <row r="55" spans="1:12" ht="18" customHeight="1" x14ac:dyDescent="0.25">
      <c r="F55" s="42"/>
    </row>
  </sheetData>
  <mergeCells count="34">
    <mergeCell ref="H52:L52"/>
    <mergeCell ref="A12:L12"/>
    <mergeCell ref="H20:L20"/>
    <mergeCell ref="A23:L23"/>
    <mergeCell ref="H32:L32"/>
    <mergeCell ref="H30:L30"/>
    <mergeCell ref="H31:L31"/>
    <mergeCell ref="H33:L33"/>
    <mergeCell ref="H24:L24"/>
    <mergeCell ref="H25:L25"/>
    <mergeCell ref="H26:L26"/>
    <mergeCell ref="H27:L27"/>
    <mergeCell ref="H28:L28"/>
    <mergeCell ref="H29:L29"/>
    <mergeCell ref="H18:L18"/>
    <mergeCell ref="H19:L19"/>
    <mergeCell ref="H21:L21"/>
    <mergeCell ref="H22:L22"/>
    <mergeCell ref="H13:L13"/>
    <mergeCell ref="H14:L14"/>
    <mergeCell ref="H15:L15"/>
    <mergeCell ref="H16:L16"/>
    <mergeCell ref="H17:L17"/>
    <mergeCell ref="H6:L6"/>
    <mergeCell ref="H7:L7"/>
    <mergeCell ref="H9:L9"/>
    <mergeCell ref="H10:L10"/>
    <mergeCell ref="H11:L11"/>
    <mergeCell ref="H8:L8"/>
    <mergeCell ref="A1:L1"/>
    <mergeCell ref="H2:L2"/>
    <mergeCell ref="H3:L3"/>
    <mergeCell ref="H4:L4"/>
    <mergeCell ref="H5:L5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0"/>
  <sheetViews>
    <sheetView zoomScale="110" zoomScaleNormal="110" zoomScalePageLayoutView="110" workbookViewId="0">
      <selection activeCell="C3" sqref="C3"/>
    </sheetView>
  </sheetViews>
  <sheetFormatPr baseColWidth="10" defaultRowHeight="15" x14ac:dyDescent="0.2"/>
  <cols>
    <col min="1" max="1" width="28.1640625" style="62" customWidth="1"/>
    <col min="2" max="3" width="10.83203125" style="62"/>
    <col min="4" max="4" width="4.1640625" style="62" customWidth="1"/>
    <col min="5" max="5" width="10.83203125" style="62"/>
    <col min="6" max="6" width="27.83203125" style="62" customWidth="1"/>
    <col min="7" max="7" width="31.1640625" style="62" customWidth="1"/>
    <col min="8" max="16384" width="10.83203125" style="62"/>
  </cols>
  <sheetData>
    <row r="1" spans="1:12" s="63" customFormat="1" ht="22" customHeight="1" x14ac:dyDescent="0.2">
      <c r="A1" s="113" t="s">
        <v>551</v>
      </c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5"/>
    </row>
    <row r="2" spans="1:12" s="63" customFormat="1" ht="18" customHeight="1" x14ac:dyDescent="0.2">
      <c r="A2" s="23" t="s">
        <v>5</v>
      </c>
      <c r="B2" s="23" t="s">
        <v>96</v>
      </c>
      <c r="C2" s="64" t="s">
        <v>7</v>
      </c>
      <c r="D2" s="64" t="s">
        <v>125</v>
      </c>
      <c r="E2" s="64" t="s">
        <v>8</v>
      </c>
      <c r="F2" s="64" t="s">
        <v>9</v>
      </c>
      <c r="G2" s="31" t="s">
        <v>10</v>
      </c>
      <c r="H2" s="117" t="s">
        <v>11</v>
      </c>
      <c r="I2" s="118"/>
      <c r="J2" s="118"/>
      <c r="K2" s="118"/>
      <c r="L2" s="119"/>
    </row>
    <row r="3" spans="1:12" x14ac:dyDescent="0.2">
      <c r="A3" s="62" t="s">
        <v>516</v>
      </c>
      <c r="B3" s="62" t="s">
        <v>474</v>
      </c>
      <c r="C3" s="62">
        <f>'Initial Estimates'!$C$67</f>
        <v>69845</v>
      </c>
      <c r="D3" s="62" t="s">
        <v>125</v>
      </c>
      <c r="E3" s="62" t="s">
        <v>223</v>
      </c>
      <c r="F3" s="62" t="s">
        <v>517</v>
      </c>
      <c r="G3" s="62" t="s">
        <v>518</v>
      </c>
      <c r="H3" s="135" t="s">
        <v>519</v>
      </c>
      <c r="I3" s="135"/>
      <c r="J3" s="135"/>
      <c r="K3" s="135"/>
      <c r="L3" s="135"/>
    </row>
    <row r="4" spans="1:12" x14ac:dyDescent="0.2">
      <c r="A4" s="62" t="s">
        <v>555</v>
      </c>
      <c r="B4" s="62" t="s">
        <v>520</v>
      </c>
      <c r="C4" s="62">
        <f>$C$3/CFD!D3/'Initial Estimates'!$C$5</f>
        <v>0.10002496405735427</v>
      </c>
      <c r="D4" s="62" t="s">
        <v>125</v>
      </c>
      <c r="E4" s="62" t="s">
        <v>137</v>
      </c>
      <c r="F4" s="62" t="s">
        <v>21</v>
      </c>
      <c r="G4" s="62" t="s">
        <v>535</v>
      </c>
      <c r="H4" s="134" t="s">
        <v>536</v>
      </c>
      <c r="I4" s="134"/>
      <c r="J4" s="134"/>
      <c r="K4" s="134"/>
      <c r="L4" s="134"/>
    </row>
    <row r="5" spans="1:12" x14ac:dyDescent="0.2">
      <c r="A5" s="69">
        <v>42000</v>
      </c>
      <c r="B5" s="62" t="s">
        <v>520</v>
      </c>
      <c r="C5" s="62">
        <f>$C$3/CFD!D4/'Initial Estimates'!$C$5</f>
        <v>0.10493623478130983</v>
      </c>
      <c r="D5" s="62" t="s">
        <v>125</v>
      </c>
      <c r="E5" s="62" t="s">
        <v>137</v>
      </c>
      <c r="F5" s="62" t="s">
        <v>21</v>
      </c>
      <c r="G5" s="62" t="s">
        <v>535</v>
      </c>
      <c r="H5" s="134" t="s">
        <v>536</v>
      </c>
      <c r="I5" s="134"/>
      <c r="J5" s="134"/>
      <c r="K5" s="134"/>
      <c r="L5" s="134"/>
    </row>
    <row r="6" spans="1:12" x14ac:dyDescent="0.2">
      <c r="A6" s="69">
        <v>43000</v>
      </c>
      <c r="B6" s="62" t="s">
        <v>520</v>
      </c>
      <c r="C6" s="62">
        <f>$C$3/CFD!D5/'Initial Estimates'!$C$5</f>
        <v>0.11007268503893636</v>
      </c>
      <c r="D6" s="62" t="s">
        <v>125</v>
      </c>
      <c r="E6" s="62" t="s">
        <v>137</v>
      </c>
      <c r="F6" s="62" t="s">
        <v>21</v>
      </c>
      <c r="G6" s="62" t="s">
        <v>535</v>
      </c>
      <c r="H6" s="134" t="s">
        <v>536</v>
      </c>
      <c r="I6" s="134"/>
      <c r="J6" s="134"/>
      <c r="K6" s="134"/>
      <c r="L6" s="134"/>
    </row>
    <row r="7" spans="1:12" x14ac:dyDescent="0.2">
      <c r="A7" s="69">
        <v>44000</v>
      </c>
      <c r="B7" s="62" t="s">
        <v>520</v>
      </c>
      <c r="C7" s="62">
        <f>$C$3/CFD!D6/'Initial Estimates'!$C$5</f>
        <v>0.11547530393752714</v>
      </c>
      <c r="D7" s="62" t="s">
        <v>125</v>
      </c>
      <c r="E7" s="62" t="s">
        <v>137</v>
      </c>
      <c r="F7" s="62" t="s">
        <v>21</v>
      </c>
      <c r="G7" s="62" t="s">
        <v>535</v>
      </c>
      <c r="H7" s="134" t="s">
        <v>536</v>
      </c>
      <c r="I7" s="134"/>
      <c r="J7" s="134"/>
      <c r="K7" s="134"/>
      <c r="L7" s="134"/>
    </row>
    <row r="8" spans="1:12" x14ac:dyDescent="0.2">
      <c r="A8" s="69">
        <v>45000</v>
      </c>
      <c r="B8" s="62" t="s">
        <v>520</v>
      </c>
      <c r="C8" s="62">
        <f>$C$3/CFD!D7/'Initial Estimates'!$C$5</f>
        <v>0.12112043019534267</v>
      </c>
      <c r="D8" s="62" t="s">
        <v>125</v>
      </c>
      <c r="E8" s="62" t="s">
        <v>137</v>
      </c>
      <c r="F8" s="62" t="s">
        <v>21</v>
      </c>
      <c r="G8" s="62" t="s">
        <v>535</v>
      </c>
      <c r="H8" s="134" t="s">
        <v>536</v>
      </c>
      <c r="I8" s="134"/>
      <c r="J8" s="134"/>
      <c r="K8" s="134"/>
      <c r="L8" s="134"/>
    </row>
    <row r="9" spans="1:12" x14ac:dyDescent="0.2">
      <c r="A9" s="69">
        <v>46000</v>
      </c>
      <c r="B9" s="62" t="s">
        <v>520</v>
      </c>
      <c r="C9" s="62">
        <f>$C$3/CFD!D8/'Initial Estimates'!$C$5</f>
        <v>0.12705689784276589</v>
      </c>
      <c r="D9" s="62" t="s">
        <v>125</v>
      </c>
      <c r="E9" s="62" t="s">
        <v>137</v>
      </c>
      <c r="F9" s="62" t="s">
        <v>21</v>
      </c>
      <c r="G9" s="62" t="s">
        <v>535</v>
      </c>
      <c r="H9" s="134" t="s">
        <v>536</v>
      </c>
      <c r="I9" s="134"/>
      <c r="J9" s="134"/>
      <c r="K9" s="134"/>
      <c r="L9" s="134"/>
    </row>
    <row r="10" spans="1:12" x14ac:dyDescent="0.2">
      <c r="A10" s="69">
        <v>47000</v>
      </c>
      <c r="B10" s="62" t="s">
        <v>520</v>
      </c>
      <c r="C10" s="62">
        <f>$C$3/CFD!D9/'Initial Estimates'!$C$5</f>
        <v>0.13328725274769557</v>
      </c>
      <c r="D10" s="62" t="s">
        <v>125</v>
      </c>
      <c r="E10" s="62" t="s">
        <v>137</v>
      </c>
      <c r="F10" s="62" t="s">
        <v>21</v>
      </c>
      <c r="G10" s="62" t="s">
        <v>535</v>
      </c>
      <c r="H10" s="134" t="s">
        <v>536</v>
      </c>
      <c r="I10" s="134"/>
      <c r="J10" s="134"/>
      <c r="K10" s="134"/>
      <c r="L10" s="134"/>
    </row>
    <row r="11" spans="1:12" x14ac:dyDescent="0.2">
      <c r="A11" s="69">
        <v>48000</v>
      </c>
      <c r="B11" s="62" t="s">
        <v>520</v>
      </c>
      <c r="C11" s="62">
        <f>$C$3/CFD!D10/'Initial Estimates'!$C$5</f>
        <v>0.13981017448016708</v>
      </c>
      <c r="D11" s="62" t="s">
        <v>125</v>
      </c>
      <c r="E11" s="62" t="s">
        <v>137</v>
      </c>
      <c r="F11" s="62" t="s">
        <v>21</v>
      </c>
      <c r="G11" s="62" t="s">
        <v>535</v>
      </c>
      <c r="H11" s="134" t="s">
        <v>536</v>
      </c>
      <c r="I11" s="134"/>
      <c r="J11" s="134"/>
      <c r="K11" s="134"/>
      <c r="L11" s="134"/>
    </row>
    <row r="12" spans="1:12" x14ac:dyDescent="0.2">
      <c r="A12" s="69">
        <v>49000</v>
      </c>
      <c r="B12" s="62" t="s">
        <v>520</v>
      </c>
      <c r="C12" s="62">
        <f>$C$3/CFD!D11/'Initial Estimates'!$C$5</f>
        <v>0.14669629258398459</v>
      </c>
      <c r="D12" s="62" t="s">
        <v>125</v>
      </c>
      <c r="E12" s="62" t="s">
        <v>137</v>
      </c>
      <c r="F12" s="62" t="s">
        <v>21</v>
      </c>
      <c r="G12" s="62" t="s">
        <v>535</v>
      </c>
      <c r="H12" s="134" t="s">
        <v>536</v>
      </c>
      <c r="I12" s="134"/>
      <c r="J12" s="134"/>
      <c r="K12" s="134"/>
      <c r="L12" s="134"/>
    </row>
    <row r="13" spans="1:12" x14ac:dyDescent="0.2">
      <c r="A13" s="62" t="s">
        <v>556</v>
      </c>
      <c r="B13" s="62" t="s">
        <v>549</v>
      </c>
      <c r="C13" s="74">
        <f xml:space="preserve"> ABS((C4-CFD!$B$19)/(CFD!$B$20-CFD!$B$19)*(CFD!$E$20-CFD!$E$19) + CFD!$E$19)</f>
        <v>1.3618373558469173E-2</v>
      </c>
      <c r="D13" s="62" t="s">
        <v>125</v>
      </c>
      <c r="E13" s="62" t="s">
        <v>137</v>
      </c>
      <c r="F13" s="62" t="s">
        <v>21</v>
      </c>
      <c r="G13" s="62" t="s">
        <v>550</v>
      </c>
      <c r="H13" s="134" t="s">
        <v>526</v>
      </c>
      <c r="I13" s="134"/>
      <c r="J13" s="134"/>
      <c r="K13" s="134"/>
      <c r="L13" s="134"/>
    </row>
    <row r="14" spans="1:12" x14ac:dyDescent="0.2">
      <c r="A14" s="69">
        <v>42000</v>
      </c>
      <c r="B14" s="62" t="s">
        <v>549</v>
      </c>
      <c r="C14" s="74">
        <f xml:space="preserve"> ABS((C5-CFD!$B$19)/(CFD!$B$20-CFD!$B$19)*(CFD!$E$20-CFD!$E$19) + CFD!$E$19)</f>
        <v>1.4019493278951599E-2</v>
      </c>
      <c r="D14" s="62" t="s">
        <v>125</v>
      </c>
      <c r="E14" s="62" t="s">
        <v>137</v>
      </c>
      <c r="F14" s="62" t="s">
        <v>21</v>
      </c>
      <c r="G14" s="62" t="s">
        <v>550</v>
      </c>
      <c r="H14" s="134" t="s">
        <v>526</v>
      </c>
      <c r="I14" s="134"/>
      <c r="J14" s="134"/>
      <c r="K14" s="134"/>
      <c r="L14" s="134"/>
    </row>
    <row r="15" spans="1:12" x14ac:dyDescent="0.2">
      <c r="A15" s="69">
        <v>43000</v>
      </c>
      <c r="B15" s="62" t="s">
        <v>549</v>
      </c>
      <c r="C15" s="74">
        <f xml:space="preserve"> ABS((C6-CFD!$B$19)/(CFD!$B$20-CFD!$B$19)*(CFD!$E$20-CFD!$E$19) + CFD!$E$19)</f>
        <v>1.4439004156566515E-2</v>
      </c>
      <c r="D15" s="62" t="s">
        <v>125</v>
      </c>
      <c r="E15" s="62" t="s">
        <v>137</v>
      </c>
      <c r="F15" s="62" t="s">
        <v>21</v>
      </c>
      <c r="G15" s="62" t="s">
        <v>550</v>
      </c>
      <c r="H15" s="134" t="s">
        <v>526</v>
      </c>
      <c r="I15" s="134"/>
      <c r="J15" s="134"/>
      <c r="K15" s="134"/>
      <c r="L15" s="134"/>
    </row>
    <row r="16" spans="1:12" x14ac:dyDescent="0.2">
      <c r="A16" s="69">
        <v>44000</v>
      </c>
      <c r="B16" s="62" t="s">
        <v>549</v>
      </c>
      <c r="C16" s="74">
        <f xml:space="preserve"> ABS((C7-CFD!$B$19)/(CFD!$B$20-CFD!$B$19)*(CFD!$E$20-CFD!$E$19) + CFD!$E$19)</f>
        <v>1.4880253907248233E-2</v>
      </c>
      <c r="D16" s="62" t="s">
        <v>125</v>
      </c>
      <c r="E16" s="62" t="s">
        <v>137</v>
      </c>
      <c r="F16" s="62" t="s">
        <v>21</v>
      </c>
      <c r="G16" s="62" t="s">
        <v>550</v>
      </c>
      <c r="H16" s="134" t="s">
        <v>526</v>
      </c>
      <c r="I16" s="134"/>
      <c r="J16" s="134"/>
      <c r="K16" s="134"/>
      <c r="L16" s="134"/>
    </row>
    <row r="17" spans="1:12" x14ac:dyDescent="0.2">
      <c r="A17" s="69">
        <v>45000</v>
      </c>
      <c r="B17" s="62" t="s">
        <v>549</v>
      </c>
      <c r="C17" s="74">
        <f xml:space="preserve"> ABS((C8-CFD!$B$19)/(CFD!$B$20-CFD!$B$19)*(CFD!$E$20-CFD!$E$19) + CFD!$E$19)</f>
        <v>1.5341310035874601E-2</v>
      </c>
      <c r="D17" s="62" t="s">
        <v>125</v>
      </c>
      <c r="E17" s="62" t="s">
        <v>137</v>
      </c>
      <c r="F17" s="62" t="s">
        <v>21</v>
      </c>
      <c r="G17" s="62" t="s">
        <v>550</v>
      </c>
      <c r="H17" s="134" t="s">
        <v>526</v>
      </c>
      <c r="I17" s="134"/>
      <c r="J17" s="134"/>
      <c r="K17" s="134"/>
      <c r="L17" s="134"/>
    </row>
    <row r="18" spans="1:12" x14ac:dyDescent="0.2">
      <c r="A18" s="69">
        <v>46000</v>
      </c>
      <c r="B18" s="62" t="s">
        <v>549</v>
      </c>
      <c r="C18" s="74">
        <f xml:space="preserve"> ABS((C9-CFD!$B$19)/(CFD!$B$20-CFD!$B$19)*(CFD!$E$20-CFD!$E$19) + CFD!$E$19)</f>
        <v>1.5826160979190044E-2</v>
      </c>
      <c r="D18" s="62" t="s">
        <v>125</v>
      </c>
      <c r="E18" s="62" t="s">
        <v>137</v>
      </c>
      <c r="F18" s="62" t="s">
        <v>21</v>
      </c>
      <c r="G18" s="62" t="s">
        <v>550</v>
      </c>
      <c r="H18" s="134" t="s">
        <v>526</v>
      </c>
      <c r="I18" s="134"/>
      <c r="J18" s="134"/>
      <c r="K18" s="134"/>
      <c r="L18" s="134"/>
    </row>
    <row r="19" spans="1:12" x14ac:dyDescent="0.2">
      <c r="A19" s="69">
        <v>47000</v>
      </c>
      <c r="B19" s="62" t="s">
        <v>549</v>
      </c>
      <c r="C19" s="74">
        <f xml:space="preserve"> ABS((C10-CFD!$B$19)/(CFD!$B$20-CFD!$B$19)*(CFD!$E$20-CFD!$E$19) + CFD!$E$19)</f>
        <v>1.633501466664446E-2</v>
      </c>
      <c r="D19" s="62" t="s">
        <v>125</v>
      </c>
      <c r="E19" s="62" t="s">
        <v>137</v>
      </c>
      <c r="F19" s="62" t="s">
        <v>21</v>
      </c>
      <c r="G19" s="62" t="s">
        <v>550</v>
      </c>
      <c r="H19" s="134" t="s">
        <v>526</v>
      </c>
      <c r="I19" s="134"/>
      <c r="J19" s="134"/>
      <c r="K19" s="134"/>
      <c r="L19" s="134"/>
    </row>
    <row r="20" spans="1:12" x14ac:dyDescent="0.2">
      <c r="A20" s="69">
        <v>48000</v>
      </c>
      <c r="B20" s="62" t="s">
        <v>549</v>
      </c>
      <c r="C20" s="74">
        <f xml:space="preserve"> ABS((C11-CFD!$B$19)/(CFD!$B$20-CFD!$B$19)*(CFD!$E$20-CFD!$E$19) + CFD!$E$19)</f>
        <v>1.6867763254356277E-2</v>
      </c>
      <c r="D20" s="62" t="s">
        <v>125</v>
      </c>
      <c r="E20" s="62" t="s">
        <v>137</v>
      </c>
      <c r="F20" s="62" t="s">
        <v>21</v>
      </c>
      <c r="G20" s="62" t="s">
        <v>550</v>
      </c>
      <c r="H20" s="134" t="s">
        <v>526</v>
      </c>
      <c r="I20" s="134"/>
      <c r="J20" s="134"/>
      <c r="K20" s="134"/>
      <c r="L20" s="134"/>
    </row>
    <row r="21" spans="1:12" x14ac:dyDescent="0.2">
      <c r="A21" s="69">
        <v>49000</v>
      </c>
      <c r="B21" s="62" t="s">
        <v>549</v>
      </c>
      <c r="C21" s="74">
        <f xml:space="preserve"> ABS((C12-CFD!$B$19)/(CFD!$B$20-CFD!$B$19)*(CFD!$E$20-CFD!$E$19) + CFD!$E$19)</f>
        <v>1.743017529072384E-2</v>
      </c>
      <c r="D21" s="62" t="s">
        <v>125</v>
      </c>
      <c r="E21" s="62" t="s">
        <v>137</v>
      </c>
      <c r="F21" s="62" t="s">
        <v>21</v>
      </c>
      <c r="G21" s="62" t="s">
        <v>550</v>
      </c>
      <c r="H21" s="134" t="s">
        <v>526</v>
      </c>
      <c r="I21" s="134"/>
      <c r="J21" s="134"/>
      <c r="K21" s="134"/>
      <c r="L21" s="134"/>
    </row>
    <row r="22" spans="1:12" x14ac:dyDescent="0.2">
      <c r="A22" s="62" t="s">
        <v>553</v>
      </c>
      <c r="B22" s="62" t="s">
        <v>552</v>
      </c>
      <c r="C22" s="74">
        <f>CFD!D3*'Initial Estimates'!$C$5*'Final Aircraft Checkouts'!C13</f>
        <v>9509.3790850639634</v>
      </c>
      <c r="D22" s="62" t="s">
        <v>125</v>
      </c>
      <c r="E22" s="62" t="s">
        <v>137</v>
      </c>
      <c r="F22" s="62" t="s">
        <v>21</v>
      </c>
      <c r="G22" s="62" t="s">
        <v>554</v>
      </c>
      <c r="H22" s="134" t="s">
        <v>536</v>
      </c>
      <c r="I22" s="134"/>
      <c r="J22" s="134"/>
      <c r="K22" s="134"/>
      <c r="L22" s="134"/>
    </row>
    <row r="23" spans="1:12" x14ac:dyDescent="0.2">
      <c r="A23" s="69">
        <v>42000</v>
      </c>
      <c r="B23" s="62" t="s">
        <v>552</v>
      </c>
      <c r="C23" s="74">
        <f>CFD!D4*'Initial Estimates'!$C$5*'Final Aircraft Checkouts'!C14</f>
        <v>9331.3001949139707</v>
      </c>
      <c r="D23" s="62" t="s">
        <v>125</v>
      </c>
      <c r="E23" s="62" t="s">
        <v>137</v>
      </c>
      <c r="F23" s="62" t="s">
        <v>21</v>
      </c>
      <c r="G23" s="62" t="s">
        <v>554</v>
      </c>
      <c r="H23" s="134" t="s">
        <v>536</v>
      </c>
      <c r="I23" s="134"/>
      <c r="J23" s="134"/>
      <c r="K23" s="134"/>
      <c r="L23" s="134"/>
    </row>
    <row r="24" spans="1:12" x14ac:dyDescent="0.2">
      <c r="A24" s="69">
        <v>43000</v>
      </c>
      <c r="B24" s="62" t="s">
        <v>552</v>
      </c>
      <c r="C24" s="74">
        <f>CFD!D5*'Initial Estimates'!$C$5*'Final Aircraft Checkouts'!C15</f>
        <v>9162.0572802294337</v>
      </c>
      <c r="D24" s="62" t="s">
        <v>125</v>
      </c>
      <c r="E24" s="62" t="s">
        <v>137</v>
      </c>
      <c r="F24" s="62" t="s">
        <v>21</v>
      </c>
      <c r="G24" s="62" t="s">
        <v>554</v>
      </c>
      <c r="H24" s="134" t="s">
        <v>536</v>
      </c>
      <c r="I24" s="134"/>
      <c r="J24" s="134"/>
      <c r="K24" s="134"/>
      <c r="L24" s="134"/>
    </row>
    <row r="25" spans="1:12" x14ac:dyDescent="0.2">
      <c r="A25" s="69">
        <v>44000</v>
      </c>
      <c r="B25" s="62" t="s">
        <v>552</v>
      </c>
      <c r="C25" s="74">
        <f>CFD!D6*'Initial Estimates'!$C$5*'Final Aircraft Checkouts'!C16</f>
        <v>9000.2909601695155</v>
      </c>
      <c r="D25" s="62" t="s">
        <v>125</v>
      </c>
      <c r="E25" s="62" t="s">
        <v>137</v>
      </c>
      <c r="F25" s="62" t="s">
        <v>21</v>
      </c>
      <c r="G25" s="62" t="s">
        <v>554</v>
      </c>
      <c r="H25" s="134" t="s">
        <v>536</v>
      </c>
      <c r="I25" s="134"/>
      <c r="J25" s="134"/>
      <c r="K25" s="134"/>
      <c r="L25" s="134"/>
    </row>
    <row r="26" spans="1:12" x14ac:dyDescent="0.2">
      <c r="A26" s="69">
        <v>45000</v>
      </c>
      <c r="B26" s="62" t="s">
        <v>552</v>
      </c>
      <c r="C26" s="74">
        <f>CFD!D7*'Initial Estimates'!$C$5*'Final Aircraft Checkouts'!C17</f>
        <v>8846.6809251546347</v>
      </c>
      <c r="D26" s="62" t="s">
        <v>125</v>
      </c>
      <c r="E26" s="62" t="s">
        <v>137</v>
      </c>
      <c r="F26" s="62" t="s">
        <v>21</v>
      </c>
      <c r="G26" s="62" t="s">
        <v>554</v>
      </c>
      <c r="H26" s="134" t="s">
        <v>536</v>
      </c>
      <c r="I26" s="134"/>
      <c r="J26" s="134"/>
      <c r="K26" s="134"/>
      <c r="L26" s="134"/>
    </row>
    <row r="27" spans="1:12" x14ac:dyDescent="0.2">
      <c r="A27" s="69">
        <v>46000</v>
      </c>
      <c r="B27" s="62" t="s">
        <v>552</v>
      </c>
      <c r="C27" s="74">
        <f>CFD!D8*'Initial Estimates'!$C$5*'Final Aircraft Checkouts'!C18</f>
        <v>8699.8677943439525</v>
      </c>
      <c r="D27" s="62" t="s">
        <v>125</v>
      </c>
      <c r="E27" s="62" t="s">
        <v>137</v>
      </c>
      <c r="F27" s="62" t="s">
        <v>21</v>
      </c>
      <c r="G27" s="62" t="s">
        <v>554</v>
      </c>
      <c r="H27" s="134" t="s">
        <v>536</v>
      </c>
      <c r="I27" s="134"/>
      <c r="J27" s="134"/>
      <c r="K27" s="134"/>
      <c r="L27" s="134"/>
    </row>
    <row r="28" spans="1:12" x14ac:dyDescent="0.2">
      <c r="A28" s="69">
        <v>47000</v>
      </c>
      <c r="B28" s="62" t="s">
        <v>552</v>
      </c>
      <c r="C28" s="74">
        <f>CFD!D9*'Initial Estimates'!$C$5*'Final Aircraft Checkouts'!C19</f>
        <v>8559.8515677374689</v>
      </c>
      <c r="D28" s="62" t="s">
        <v>125</v>
      </c>
      <c r="E28" s="62" t="s">
        <v>137</v>
      </c>
      <c r="F28" s="62" t="s">
        <v>21</v>
      </c>
      <c r="G28" s="62" t="s">
        <v>554</v>
      </c>
      <c r="H28" s="134" t="s">
        <v>536</v>
      </c>
      <c r="I28" s="134"/>
      <c r="J28" s="134"/>
      <c r="K28" s="134"/>
      <c r="L28" s="134"/>
    </row>
    <row r="29" spans="1:12" x14ac:dyDescent="0.2">
      <c r="A29" s="69">
        <v>48000</v>
      </c>
      <c r="B29" s="62" t="s">
        <v>552</v>
      </c>
      <c r="C29" s="74">
        <f>CFD!D10*'Initial Estimates'!$C$5*'Final Aircraft Checkouts'!C20</f>
        <v>8426.6322453351841</v>
      </c>
      <c r="D29" s="62" t="s">
        <v>125</v>
      </c>
      <c r="E29" s="62" t="s">
        <v>137</v>
      </c>
      <c r="F29" s="62" t="s">
        <v>21</v>
      </c>
      <c r="G29" s="62" t="s">
        <v>554</v>
      </c>
      <c r="H29" s="134" t="s">
        <v>536</v>
      </c>
      <c r="I29" s="134"/>
      <c r="J29" s="134"/>
      <c r="K29" s="134"/>
      <c r="L29" s="134"/>
    </row>
    <row r="30" spans="1:12" x14ac:dyDescent="0.2">
      <c r="A30" s="69">
        <v>49000</v>
      </c>
      <c r="B30" s="62" t="s">
        <v>552</v>
      </c>
      <c r="C30" s="74">
        <f>CFD!D11*'Initial Estimates'!$C$5*'Final Aircraft Checkouts'!C21</f>
        <v>8298.8504462962574</v>
      </c>
      <c r="D30" s="62" t="s">
        <v>125</v>
      </c>
      <c r="E30" s="62" t="s">
        <v>137</v>
      </c>
      <c r="F30" s="62" t="s">
        <v>21</v>
      </c>
      <c r="G30" s="62" t="s">
        <v>554</v>
      </c>
      <c r="H30" s="134" t="s">
        <v>536</v>
      </c>
      <c r="I30" s="134"/>
      <c r="J30" s="134"/>
      <c r="K30" s="134"/>
      <c r="L30" s="134"/>
    </row>
    <row r="31" spans="1:12" ht="21" x14ac:dyDescent="0.2">
      <c r="A31" s="113" t="s">
        <v>561</v>
      </c>
      <c r="B31" s="114"/>
      <c r="C31" s="114"/>
      <c r="D31" s="114"/>
      <c r="E31" s="114"/>
      <c r="F31" s="114"/>
      <c r="G31" s="114"/>
      <c r="H31" s="114"/>
      <c r="I31" s="114"/>
      <c r="J31" s="114"/>
      <c r="K31" s="114"/>
      <c r="L31" s="115"/>
    </row>
    <row r="32" spans="1:12" ht="16" x14ac:dyDescent="0.2">
      <c r="A32" s="23" t="s">
        <v>5</v>
      </c>
      <c r="B32" s="23" t="s">
        <v>96</v>
      </c>
      <c r="C32" s="64" t="s">
        <v>7</v>
      </c>
      <c r="D32" s="64" t="s">
        <v>125</v>
      </c>
      <c r="E32" s="64" t="s">
        <v>8</v>
      </c>
      <c r="F32" s="64" t="s">
        <v>9</v>
      </c>
      <c r="G32" s="31" t="s">
        <v>10</v>
      </c>
      <c r="H32" s="117" t="s">
        <v>11</v>
      </c>
      <c r="I32" s="118"/>
      <c r="J32" s="118"/>
      <c r="K32" s="118"/>
      <c r="L32" s="119"/>
    </row>
    <row r="33" spans="1:12" x14ac:dyDescent="0.2">
      <c r="A33" s="62" t="s">
        <v>516</v>
      </c>
      <c r="B33" s="62" t="s">
        <v>474</v>
      </c>
      <c r="C33" s="62">
        <f>C3</f>
        <v>69845</v>
      </c>
      <c r="D33" s="62" t="s">
        <v>125</v>
      </c>
      <c r="E33" s="62" t="s">
        <v>223</v>
      </c>
      <c r="F33" s="62" t="s">
        <v>517</v>
      </c>
      <c r="G33" s="62" t="s">
        <v>518</v>
      </c>
      <c r="H33" s="135" t="s">
        <v>519</v>
      </c>
      <c r="I33" s="135"/>
      <c r="J33" s="135"/>
      <c r="K33" s="135"/>
      <c r="L33" s="135"/>
    </row>
    <row r="34" spans="1:12" x14ac:dyDescent="0.2">
      <c r="A34" s="62" t="s">
        <v>555</v>
      </c>
      <c r="B34" s="62" t="s">
        <v>520</v>
      </c>
      <c r="C34" s="62">
        <f>$C$33/CFD!E3/'Initial Estimates'!$C$5</f>
        <v>8.8603428369144283E-2</v>
      </c>
      <c r="D34" s="62" t="s">
        <v>125</v>
      </c>
      <c r="E34" s="62" t="s">
        <v>137</v>
      </c>
      <c r="F34" s="62" t="s">
        <v>21</v>
      </c>
      <c r="G34" s="62" t="s">
        <v>535</v>
      </c>
      <c r="H34" s="134" t="s">
        <v>536</v>
      </c>
      <c r="I34" s="134"/>
      <c r="J34" s="134"/>
      <c r="K34" s="134"/>
      <c r="L34" s="134"/>
    </row>
    <row r="35" spans="1:12" x14ac:dyDescent="0.2">
      <c r="A35" s="69">
        <v>42000</v>
      </c>
      <c r="B35" s="62" t="s">
        <v>520</v>
      </c>
      <c r="C35" s="62">
        <f>$C$33/CFD!E4/'Initial Estimates'!$C$5</f>
        <v>9.295389655368623E-2</v>
      </c>
      <c r="D35" s="62" t="s">
        <v>125</v>
      </c>
      <c r="E35" s="62" t="s">
        <v>137</v>
      </c>
      <c r="F35" s="62" t="s">
        <v>21</v>
      </c>
      <c r="G35" s="62" t="s">
        <v>535</v>
      </c>
      <c r="H35" s="134" t="s">
        <v>536</v>
      </c>
      <c r="I35" s="134"/>
      <c r="J35" s="134"/>
      <c r="K35" s="134"/>
      <c r="L35" s="134"/>
    </row>
    <row r="36" spans="1:12" x14ac:dyDescent="0.2">
      <c r="A36" s="69">
        <v>43000</v>
      </c>
      <c r="B36" s="62" t="s">
        <v>520</v>
      </c>
      <c r="C36" s="62">
        <f>$C$33/CFD!E5/'Initial Estimates'!$C$5</f>
        <v>9.7503831729992094E-2</v>
      </c>
      <c r="D36" s="62" t="s">
        <v>125</v>
      </c>
      <c r="E36" s="62" t="s">
        <v>137</v>
      </c>
      <c r="F36" s="62" t="s">
        <v>21</v>
      </c>
      <c r="G36" s="62" t="s">
        <v>535</v>
      </c>
      <c r="H36" s="134" t="s">
        <v>536</v>
      </c>
      <c r="I36" s="134"/>
      <c r="J36" s="134"/>
      <c r="K36" s="134"/>
      <c r="L36" s="134"/>
    </row>
    <row r="37" spans="1:12" x14ac:dyDescent="0.2">
      <c r="A37" s="69">
        <v>44000</v>
      </c>
      <c r="B37" s="62" t="s">
        <v>520</v>
      </c>
      <c r="C37" s="62">
        <f>$C$33/CFD!E6/'Initial Estimates'!$C$5</f>
        <v>0.10228954258825937</v>
      </c>
      <c r="D37" s="62" t="s">
        <v>125</v>
      </c>
      <c r="E37" s="62" t="s">
        <v>137</v>
      </c>
      <c r="F37" s="62" t="s">
        <v>21</v>
      </c>
      <c r="G37" s="62" t="s">
        <v>535</v>
      </c>
      <c r="H37" s="134" t="s">
        <v>536</v>
      </c>
      <c r="I37" s="134"/>
      <c r="J37" s="134"/>
      <c r="K37" s="134"/>
      <c r="L37" s="134"/>
    </row>
    <row r="38" spans="1:12" x14ac:dyDescent="0.2">
      <c r="A38" s="69">
        <v>45000</v>
      </c>
      <c r="B38" s="62" t="s">
        <v>520</v>
      </c>
      <c r="C38" s="62">
        <f>$C$33/CFD!E7/'Initial Estimates'!$C$5</f>
        <v>0.10729006965400599</v>
      </c>
      <c r="D38" s="62" t="s">
        <v>125</v>
      </c>
      <c r="E38" s="62" t="s">
        <v>137</v>
      </c>
      <c r="F38" s="62" t="s">
        <v>21</v>
      </c>
      <c r="G38" s="62" t="s">
        <v>535</v>
      </c>
      <c r="H38" s="134" t="s">
        <v>536</v>
      </c>
      <c r="I38" s="134"/>
      <c r="J38" s="134"/>
      <c r="K38" s="134"/>
      <c r="L38" s="134"/>
    </row>
    <row r="39" spans="1:12" x14ac:dyDescent="0.2">
      <c r="A39" s="69">
        <v>46000</v>
      </c>
      <c r="B39" s="62" t="s">
        <v>520</v>
      </c>
      <c r="C39" s="62">
        <f>$C$33/CFD!E8/'Initial Estimates'!$C$5</f>
        <v>0.11254867075345354</v>
      </c>
      <c r="D39" s="62" t="s">
        <v>125</v>
      </c>
      <c r="E39" s="62" t="s">
        <v>137</v>
      </c>
      <c r="F39" s="62" t="s">
        <v>21</v>
      </c>
      <c r="G39" s="62" t="s">
        <v>535</v>
      </c>
      <c r="H39" s="134" t="s">
        <v>536</v>
      </c>
      <c r="I39" s="134"/>
      <c r="J39" s="134"/>
      <c r="K39" s="134"/>
      <c r="L39" s="134"/>
    </row>
    <row r="40" spans="1:12" x14ac:dyDescent="0.2">
      <c r="A40" s="69">
        <v>47000</v>
      </c>
      <c r="B40" s="62" t="s">
        <v>520</v>
      </c>
      <c r="C40" s="62">
        <f>$C$33/CFD!E9/'Initial Estimates'!$C$5</f>
        <v>0.11806760104986186</v>
      </c>
      <c r="D40" s="62" t="s">
        <v>125</v>
      </c>
      <c r="E40" s="62" t="s">
        <v>137</v>
      </c>
      <c r="F40" s="62" t="s">
        <v>21</v>
      </c>
      <c r="G40" s="62" t="s">
        <v>535</v>
      </c>
      <c r="H40" s="134" t="s">
        <v>536</v>
      </c>
      <c r="I40" s="134"/>
      <c r="J40" s="134"/>
      <c r="K40" s="134"/>
      <c r="L40" s="134"/>
    </row>
    <row r="41" spans="1:12" x14ac:dyDescent="0.2">
      <c r="A41" s="69">
        <v>48000</v>
      </c>
      <c r="B41" s="62" t="s">
        <v>520</v>
      </c>
      <c r="C41" s="62">
        <f>$C$33/CFD!E10/'Initial Estimates'!$C$5</f>
        <v>0.12384569088900618</v>
      </c>
      <c r="D41" s="62" t="s">
        <v>125</v>
      </c>
      <c r="E41" s="62" t="s">
        <v>137</v>
      </c>
      <c r="F41" s="62" t="s">
        <v>21</v>
      </c>
      <c r="G41" s="62" t="s">
        <v>535</v>
      </c>
      <c r="H41" s="134" t="s">
        <v>536</v>
      </c>
      <c r="I41" s="134"/>
      <c r="J41" s="134"/>
      <c r="K41" s="134"/>
      <c r="L41" s="134"/>
    </row>
    <row r="42" spans="1:12" x14ac:dyDescent="0.2">
      <c r="A42" s="69">
        <v>49000</v>
      </c>
      <c r="B42" s="62" t="s">
        <v>520</v>
      </c>
      <c r="C42" s="62">
        <f>$C$33/CFD!E11/'Initial Estimates'!$C$5</f>
        <v>0.1299455048494812</v>
      </c>
      <c r="D42" s="62" t="s">
        <v>125</v>
      </c>
      <c r="E42" s="62" t="s">
        <v>137</v>
      </c>
      <c r="F42" s="62" t="s">
        <v>21</v>
      </c>
      <c r="G42" s="62" t="s">
        <v>535</v>
      </c>
      <c r="H42" s="134" t="s">
        <v>536</v>
      </c>
      <c r="I42" s="134"/>
      <c r="J42" s="134"/>
      <c r="K42" s="134"/>
      <c r="L42" s="134"/>
    </row>
    <row r="43" spans="1:12" x14ac:dyDescent="0.2">
      <c r="A43" s="62" t="s">
        <v>556</v>
      </c>
      <c r="B43" s="62" t="s">
        <v>549</v>
      </c>
      <c r="C43" s="74">
        <f xml:space="preserve"> ABS((C34-CFD!$B$25)/(CFD!$B$26-CFD!$B$25)*(CFD!$E$26-CFD!$E$25) + CFD!$E$25)</f>
        <v>1.3268194962425577E-2</v>
      </c>
      <c r="D43" s="62" t="s">
        <v>125</v>
      </c>
      <c r="E43" s="62" t="s">
        <v>137</v>
      </c>
      <c r="F43" s="62" t="s">
        <v>21</v>
      </c>
      <c r="G43" s="62" t="s">
        <v>550</v>
      </c>
      <c r="H43" s="134" t="s">
        <v>526</v>
      </c>
      <c r="I43" s="134"/>
      <c r="J43" s="134"/>
      <c r="K43" s="134"/>
      <c r="L43" s="134"/>
    </row>
    <row r="44" spans="1:12" x14ac:dyDescent="0.2">
      <c r="A44" s="69">
        <v>42000</v>
      </c>
      <c r="B44" s="62" t="s">
        <v>549</v>
      </c>
      <c r="C44" s="74">
        <f xml:space="preserve"> ABS((C35-CFD!$B$25)/(CFD!$B$26-CFD!$B$25)*(CFD!$E$26-CFD!$E$25) + CFD!$E$25)</f>
        <v>1.3482917641061767E-2</v>
      </c>
      <c r="D44" s="62" t="s">
        <v>125</v>
      </c>
      <c r="E44" s="62" t="s">
        <v>137</v>
      </c>
      <c r="F44" s="62" t="s">
        <v>21</v>
      </c>
      <c r="G44" s="62" t="s">
        <v>550</v>
      </c>
      <c r="H44" s="134" t="s">
        <v>526</v>
      </c>
      <c r="I44" s="134"/>
      <c r="J44" s="134"/>
      <c r="K44" s="134"/>
      <c r="L44" s="134"/>
    </row>
    <row r="45" spans="1:12" x14ac:dyDescent="0.2">
      <c r="A45" s="69">
        <v>43000</v>
      </c>
      <c r="B45" s="62" t="s">
        <v>549</v>
      </c>
      <c r="C45" s="74">
        <f xml:space="preserve"> ABS((C36-CFD!$B$25)/(CFD!$B$26-CFD!$B$25)*(CFD!$E$26-CFD!$E$25) + CFD!$E$25)</f>
        <v>1.3707485257059695E-2</v>
      </c>
      <c r="D45" s="62" t="s">
        <v>125</v>
      </c>
      <c r="E45" s="62" t="s">
        <v>137</v>
      </c>
      <c r="F45" s="62" t="s">
        <v>21</v>
      </c>
      <c r="G45" s="62" t="s">
        <v>550</v>
      </c>
      <c r="H45" s="134" t="s">
        <v>526</v>
      </c>
      <c r="I45" s="134"/>
      <c r="J45" s="134"/>
      <c r="K45" s="134"/>
      <c r="L45" s="134"/>
    </row>
    <row r="46" spans="1:12" x14ac:dyDescent="0.2">
      <c r="A46" s="69">
        <v>44000</v>
      </c>
      <c r="B46" s="62" t="s">
        <v>549</v>
      </c>
      <c r="C46" s="74">
        <f xml:space="preserve"> ABS((C37-CFD!$B$25)/(CFD!$B$26-CFD!$B$25)*(CFD!$E$26-CFD!$E$25) + CFD!$E$25)</f>
        <v>1.3943689870235977E-2</v>
      </c>
      <c r="D46" s="62" t="s">
        <v>125</v>
      </c>
      <c r="E46" s="62" t="s">
        <v>137</v>
      </c>
      <c r="F46" s="62" t="s">
        <v>21</v>
      </c>
      <c r="G46" s="62" t="s">
        <v>550</v>
      </c>
      <c r="H46" s="134" t="s">
        <v>526</v>
      </c>
      <c r="I46" s="134"/>
      <c r="J46" s="134"/>
      <c r="K46" s="134"/>
      <c r="L46" s="134"/>
    </row>
    <row r="47" spans="1:12" x14ac:dyDescent="0.2">
      <c r="A47" s="69">
        <v>45000</v>
      </c>
      <c r="B47" s="62" t="s">
        <v>549</v>
      </c>
      <c r="C47" s="74">
        <f xml:space="preserve"> ABS((C38-CFD!$B$25)/(CFD!$B$26-CFD!$B$25)*(CFD!$E$26-CFD!$E$25) + CFD!$E$25)</f>
        <v>1.4190497000090424E-2</v>
      </c>
      <c r="D47" s="62" t="s">
        <v>125</v>
      </c>
      <c r="E47" s="62" t="s">
        <v>137</v>
      </c>
      <c r="F47" s="62" t="s">
        <v>21</v>
      </c>
      <c r="G47" s="62" t="s">
        <v>550</v>
      </c>
      <c r="H47" s="134" t="s">
        <v>526</v>
      </c>
      <c r="I47" s="134"/>
      <c r="J47" s="134"/>
      <c r="K47" s="134"/>
      <c r="L47" s="134"/>
    </row>
    <row r="48" spans="1:12" x14ac:dyDescent="0.2">
      <c r="A48" s="69">
        <v>46000</v>
      </c>
      <c r="B48" s="62" t="s">
        <v>549</v>
      </c>
      <c r="C48" s="74">
        <f xml:space="preserve"> ABS((C39-CFD!$B$25)/(CFD!$B$26-CFD!$B$25)*(CFD!$E$26-CFD!$E$25) + CFD!$E$25)</f>
        <v>1.4450041689548136E-2</v>
      </c>
      <c r="D48" s="62" t="s">
        <v>125</v>
      </c>
      <c r="E48" s="62" t="s">
        <v>137</v>
      </c>
      <c r="F48" s="62" t="s">
        <v>21</v>
      </c>
      <c r="G48" s="62" t="s">
        <v>550</v>
      </c>
      <c r="H48" s="134" t="s">
        <v>526</v>
      </c>
      <c r="I48" s="134"/>
      <c r="J48" s="134"/>
      <c r="K48" s="134"/>
      <c r="L48" s="134"/>
    </row>
    <row r="49" spans="1:12" x14ac:dyDescent="0.2">
      <c r="A49" s="69">
        <v>47000</v>
      </c>
      <c r="B49" s="62" t="s">
        <v>549</v>
      </c>
      <c r="C49" s="74">
        <f xml:space="preserve"> ABS((C40-CFD!$B$25)/(CFD!$B$26-CFD!$B$25)*(CFD!$E$26-CFD!$E$25) + CFD!$E$25)</f>
        <v>1.4722435244950264E-2</v>
      </c>
      <c r="D49" s="62" t="s">
        <v>125</v>
      </c>
      <c r="E49" s="62" t="s">
        <v>137</v>
      </c>
      <c r="F49" s="62" t="s">
        <v>21</v>
      </c>
      <c r="G49" s="62" t="s">
        <v>550</v>
      </c>
      <c r="H49" s="134" t="s">
        <v>526</v>
      </c>
      <c r="I49" s="134"/>
      <c r="J49" s="134"/>
      <c r="K49" s="134"/>
      <c r="L49" s="134"/>
    </row>
    <row r="50" spans="1:12" x14ac:dyDescent="0.2">
      <c r="A50" s="69">
        <v>48000</v>
      </c>
      <c r="B50" s="62" t="s">
        <v>549</v>
      </c>
      <c r="C50" s="74">
        <f xml:space="preserve"> ABS((C41-CFD!$B$25)/(CFD!$B$26-CFD!$B$25)*(CFD!$E$26-CFD!$E$25) + CFD!$E$25)</f>
        <v>1.500761993658185E-2</v>
      </c>
      <c r="D50" s="62" t="s">
        <v>125</v>
      </c>
      <c r="E50" s="62" t="s">
        <v>137</v>
      </c>
      <c r="F50" s="62" t="s">
        <v>21</v>
      </c>
      <c r="G50" s="62" t="s">
        <v>550</v>
      </c>
      <c r="H50" s="134" t="s">
        <v>526</v>
      </c>
      <c r="I50" s="134"/>
      <c r="J50" s="134"/>
      <c r="K50" s="134"/>
      <c r="L50" s="134"/>
    </row>
    <row r="51" spans="1:12" x14ac:dyDescent="0.2">
      <c r="A51" s="69">
        <v>49000</v>
      </c>
      <c r="B51" s="62" t="s">
        <v>549</v>
      </c>
      <c r="C51" s="74">
        <f xml:space="preserve"> ABS((C42-CFD!$B$25)/(CFD!$B$26-CFD!$B$25)*(CFD!$E$26-CFD!$E$25) + CFD!$E$25)</f>
        <v>1.5308683715746927E-2</v>
      </c>
      <c r="D51" s="62" t="s">
        <v>125</v>
      </c>
      <c r="E51" s="62" t="s">
        <v>137</v>
      </c>
      <c r="F51" s="62" t="s">
        <v>21</v>
      </c>
      <c r="G51" s="62" t="s">
        <v>550</v>
      </c>
      <c r="H51" s="134" t="s">
        <v>526</v>
      </c>
      <c r="I51" s="134"/>
      <c r="J51" s="134"/>
      <c r="K51" s="134"/>
      <c r="L51" s="134"/>
    </row>
    <row r="52" spans="1:12" x14ac:dyDescent="0.2">
      <c r="A52" s="62" t="s">
        <v>553</v>
      </c>
      <c r="B52" s="62" t="s">
        <v>552</v>
      </c>
      <c r="C52" s="74">
        <f>CFD!E3*'Initial Estimates'!$C$5*'Final Aircraft Checkouts'!C43</f>
        <v>10459.155974074465</v>
      </c>
      <c r="D52" s="62" t="s">
        <v>125</v>
      </c>
      <c r="E52" s="62" t="s">
        <v>137</v>
      </c>
      <c r="F52" s="62" t="s">
        <v>21</v>
      </c>
      <c r="G52" s="62" t="s">
        <v>554</v>
      </c>
      <c r="H52" s="134" t="s">
        <v>536</v>
      </c>
      <c r="I52" s="134"/>
      <c r="J52" s="134"/>
      <c r="K52" s="134"/>
      <c r="L52" s="134"/>
    </row>
    <row r="53" spans="1:12" x14ac:dyDescent="0.2">
      <c r="A53" s="69">
        <v>42000</v>
      </c>
      <c r="B53" s="62" t="s">
        <v>552</v>
      </c>
      <c r="C53" s="74">
        <f>CFD!E4*'Initial Estimates'!$C$5*'Final Aircraft Checkouts'!C44</f>
        <v>10130.983396656909</v>
      </c>
      <c r="D53" s="62" t="s">
        <v>125</v>
      </c>
      <c r="E53" s="62" t="s">
        <v>137</v>
      </c>
      <c r="F53" s="62" t="s">
        <v>21</v>
      </c>
      <c r="G53" s="62" t="s">
        <v>554</v>
      </c>
      <c r="H53" s="134" t="s">
        <v>536</v>
      </c>
      <c r="I53" s="134"/>
      <c r="J53" s="134"/>
      <c r="K53" s="134"/>
      <c r="L53" s="134"/>
    </row>
    <row r="54" spans="1:12" x14ac:dyDescent="0.2">
      <c r="A54" s="69">
        <v>43000</v>
      </c>
      <c r="B54" s="62" t="s">
        <v>552</v>
      </c>
      <c r="C54" s="74">
        <f>CFD!E5*'Initial Estimates'!$C$5*'Final Aircraft Checkouts'!C45</f>
        <v>9819.0941914012928</v>
      </c>
      <c r="D54" s="62" t="s">
        <v>125</v>
      </c>
      <c r="E54" s="62" t="s">
        <v>137</v>
      </c>
      <c r="F54" s="62" t="s">
        <v>21</v>
      </c>
      <c r="G54" s="62" t="s">
        <v>554</v>
      </c>
      <c r="H54" s="134" t="s">
        <v>536</v>
      </c>
      <c r="I54" s="134"/>
      <c r="J54" s="134"/>
      <c r="K54" s="134"/>
      <c r="L54" s="134"/>
    </row>
    <row r="55" spans="1:12" x14ac:dyDescent="0.2">
      <c r="A55" s="69">
        <v>44000</v>
      </c>
      <c r="B55" s="62" t="s">
        <v>552</v>
      </c>
      <c r="C55" s="74">
        <f>CFD!E6*'Initial Estimates'!$C$5*'Final Aircraft Checkouts'!C46</f>
        <v>9520.9832241288586</v>
      </c>
      <c r="D55" s="62" t="s">
        <v>125</v>
      </c>
      <c r="E55" s="62" t="s">
        <v>137</v>
      </c>
      <c r="F55" s="62" t="s">
        <v>21</v>
      </c>
      <c r="G55" s="62" t="s">
        <v>554</v>
      </c>
      <c r="H55" s="134" t="s">
        <v>536</v>
      </c>
      <c r="I55" s="134"/>
      <c r="J55" s="134"/>
      <c r="K55" s="134"/>
      <c r="L55" s="134"/>
    </row>
    <row r="56" spans="1:12" x14ac:dyDescent="0.2">
      <c r="A56" s="69">
        <v>45000</v>
      </c>
      <c r="B56" s="62" t="s">
        <v>552</v>
      </c>
      <c r="C56" s="74">
        <f>CFD!E7*'Initial Estimates'!$C$5*'Final Aircraft Checkouts'!C47</f>
        <v>9237.9030619289824</v>
      </c>
      <c r="D56" s="62" t="s">
        <v>125</v>
      </c>
      <c r="E56" s="62" t="s">
        <v>137</v>
      </c>
      <c r="F56" s="62" t="s">
        <v>21</v>
      </c>
      <c r="G56" s="62" t="s">
        <v>554</v>
      </c>
      <c r="H56" s="134" t="s">
        <v>536</v>
      </c>
      <c r="I56" s="134"/>
      <c r="J56" s="134"/>
      <c r="K56" s="134"/>
      <c r="L56" s="134"/>
    </row>
    <row r="57" spans="1:12" x14ac:dyDescent="0.2">
      <c r="A57" s="69">
        <v>46000</v>
      </c>
      <c r="B57" s="62" t="s">
        <v>552</v>
      </c>
      <c r="C57" s="74">
        <f>CFD!E8*'Initial Estimates'!$C$5*'Final Aircraft Checkouts'!C48</f>
        <v>8967.3485706229058</v>
      </c>
      <c r="D57" s="62" t="s">
        <v>125</v>
      </c>
      <c r="E57" s="62" t="s">
        <v>137</v>
      </c>
      <c r="F57" s="62" t="s">
        <v>21</v>
      </c>
      <c r="G57" s="62" t="s">
        <v>554</v>
      </c>
      <c r="H57" s="134" t="s">
        <v>536</v>
      </c>
      <c r="I57" s="134"/>
      <c r="J57" s="134"/>
      <c r="K57" s="134"/>
      <c r="L57" s="134"/>
    </row>
    <row r="58" spans="1:12" x14ac:dyDescent="0.2">
      <c r="A58" s="69">
        <v>47000</v>
      </c>
      <c r="B58" s="62" t="s">
        <v>552</v>
      </c>
      <c r="C58" s="74">
        <f>CFD!E9*'Initial Estimates'!$C$5*'Final Aircraft Checkouts'!C49</f>
        <v>8709.3197502106304</v>
      </c>
      <c r="D58" s="62" t="s">
        <v>125</v>
      </c>
      <c r="E58" s="62" t="s">
        <v>137</v>
      </c>
      <c r="F58" s="62" t="s">
        <v>21</v>
      </c>
      <c r="G58" s="62" t="s">
        <v>554</v>
      </c>
      <c r="H58" s="134" t="s">
        <v>536</v>
      </c>
      <c r="I58" s="134"/>
      <c r="J58" s="134"/>
      <c r="K58" s="134"/>
      <c r="L58" s="134"/>
    </row>
    <row r="59" spans="1:12" x14ac:dyDescent="0.2">
      <c r="A59" s="69">
        <v>48000</v>
      </c>
      <c r="B59" s="62" t="s">
        <v>552</v>
      </c>
      <c r="C59" s="74">
        <f>CFD!E10*'Initial Estimates'!$C$5*'Final Aircraft Checkouts'!C50</f>
        <v>8463.816600692151</v>
      </c>
      <c r="D59" s="62" t="s">
        <v>125</v>
      </c>
      <c r="E59" s="62" t="s">
        <v>137</v>
      </c>
      <c r="F59" s="62" t="s">
        <v>21</v>
      </c>
      <c r="G59" s="62" t="s">
        <v>554</v>
      </c>
      <c r="H59" s="134" t="s">
        <v>536</v>
      </c>
      <c r="I59" s="134"/>
      <c r="J59" s="134"/>
      <c r="K59" s="134"/>
      <c r="L59" s="134"/>
    </row>
    <row r="60" spans="1:12" x14ac:dyDescent="0.2">
      <c r="A60" s="69">
        <v>49000</v>
      </c>
      <c r="B60" s="62" t="s">
        <v>552</v>
      </c>
      <c r="C60" s="74">
        <f>CFD!E11*'Initial Estimates'!$C$5*'Final Aircraft Checkouts'!C51</f>
        <v>8228.3339878887164</v>
      </c>
      <c r="D60" s="62" t="s">
        <v>125</v>
      </c>
      <c r="E60" s="62" t="s">
        <v>137</v>
      </c>
      <c r="F60" s="62" t="s">
        <v>21</v>
      </c>
      <c r="G60" s="62" t="s">
        <v>554</v>
      </c>
      <c r="H60" s="134" t="s">
        <v>536</v>
      </c>
      <c r="I60" s="134"/>
      <c r="J60" s="134"/>
      <c r="K60" s="134"/>
      <c r="L60" s="134"/>
    </row>
    <row r="61" spans="1:12" ht="21" x14ac:dyDescent="0.2">
      <c r="A61" s="113" t="s">
        <v>564</v>
      </c>
      <c r="B61" s="114"/>
      <c r="C61" s="114"/>
      <c r="D61" s="114"/>
      <c r="E61" s="114"/>
      <c r="F61" s="114"/>
      <c r="G61" s="114"/>
      <c r="H61" s="114"/>
      <c r="I61" s="114"/>
      <c r="J61" s="114"/>
      <c r="K61" s="114"/>
      <c r="L61" s="115"/>
    </row>
    <row r="62" spans="1:12" ht="16" x14ac:dyDescent="0.2">
      <c r="A62" s="23" t="s">
        <v>5</v>
      </c>
      <c r="B62" s="23" t="s">
        <v>96</v>
      </c>
      <c r="C62" s="64" t="s">
        <v>7</v>
      </c>
      <c r="D62" s="64" t="s">
        <v>125</v>
      </c>
      <c r="E62" s="64" t="s">
        <v>8</v>
      </c>
      <c r="F62" s="64" t="s">
        <v>9</v>
      </c>
      <c r="G62" s="31" t="s">
        <v>10</v>
      </c>
      <c r="H62" s="117" t="s">
        <v>11</v>
      </c>
      <c r="I62" s="118"/>
      <c r="J62" s="118"/>
      <c r="K62" s="118"/>
      <c r="L62" s="119"/>
    </row>
    <row r="63" spans="1:12" x14ac:dyDescent="0.2">
      <c r="A63" s="62" t="s">
        <v>516</v>
      </c>
      <c r="B63" s="62" t="s">
        <v>474</v>
      </c>
      <c r="C63" s="62">
        <f>C3</f>
        <v>69845</v>
      </c>
      <c r="D63" s="62" t="s">
        <v>125</v>
      </c>
      <c r="E63" s="62" t="s">
        <v>223</v>
      </c>
      <c r="F63" s="62" t="s">
        <v>517</v>
      </c>
      <c r="G63" s="62" t="s">
        <v>518</v>
      </c>
      <c r="H63" s="135" t="s">
        <v>519</v>
      </c>
      <c r="I63" s="135"/>
      <c r="J63" s="135"/>
      <c r="K63" s="135"/>
      <c r="L63" s="135"/>
    </row>
    <row r="64" spans="1:12" x14ac:dyDescent="0.2">
      <c r="A64" s="62" t="s">
        <v>555</v>
      </c>
      <c r="B64" s="62" t="s">
        <v>520</v>
      </c>
      <c r="C64" s="74">
        <f>$C$63/CFD!F3/'Initial Estimates'!$C$5</f>
        <v>7.9032070366304621E-2</v>
      </c>
      <c r="D64" s="62" t="s">
        <v>125</v>
      </c>
      <c r="E64" s="62" t="s">
        <v>137</v>
      </c>
      <c r="F64" s="62" t="s">
        <v>21</v>
      </c>
      <c r="G64" s="62" t="s">
        <v>535</v>
      </c>
      <c r="H64" s="134" t="s">
        <v>536</v>
      </c>
      <c r="I64" s="134"/>
      <c r="J64" s="134"/>
      <c r="K64" s="134"/>
      <c r="L64" s="134"/>
    </row>
    <row r="65" spans="1:12" x14ac:dyDescent="0.2">
      <c r="A65" s="69">
        <v>42000</v>
      </c>
      <c r="B65" s="62" t="s">
        <v>520</v>
      </c>
      <c r="C65" s="74">
        <f>$C$63/CFD!F4/'Initial Estimates'!$C$5</f>
        <v>8.2912580567948493E-2</v>
      </c>
      <c r="D65" s="62" t="s">
        <v>125</v>
      </c>
      <c r="E65" s="62" t="s">
        <v>137</v>
      </c>
      <c r="F65" s="62" t="s">
        <v>21</v>
      </c>
      <c r="G65" s="62" t="s">
        <v>535</v>
      </c>
      <c r="H65" s="134" t="s">
        <v>536</v>
      </c>
      <c r="I65" s="134"/>
      <c r="J65" s="134"/>
      <c r="K65" s="134"/>
      <c r="L65" s="134"/>
    </row>
    <row r="66" spans="1:12" x14ac:dyDescent="0.2">
      <c r="A66" s="69">
        <v>43000</v>
      </c>
      <c r="B66" s="62" t="s">
        <v>520</v>
      </c>
      <c r="C66" s="74">
        <f>$C$63/CFD!F5/'Initial Estimates'!$C$5</f>
        <v>8.6971010401134904E-2</v>
      </c>
      <c r="D66" s="62" t="s">
        <v>125</v>
      </c>
      <c r="E66" s="62" t="s">
        <v>137</v>
      </c>
      <c r="F66" s="62" t="s">
        <v>21</v>
      </c>
      <c r="G66" s="62" t="s">
        <v>535</v>
      </c>
      <c r="H66" s="134" t="s">
        <v>536</v>
      </c>
      <c r="I66" s="134"/>
      <c r="J66" s="134"/>
      <c r="K66" s="134"/>
      <c r="L66" s="134"/>
    </row>
    <row r="67" spans="1:12" x14ac:dyDescent="0.2">
      <c r="A67" s="69">
        <v>44000</v>
      </c>
      <c r="B67" s="62" t="s">
        <v>520</v>
      </c>
      <c r="C67" s="74">
        <f>$C$63/CFD!F6/'Initial Estimates'!$C$5</f>
        <v>9.1239746321009105E-2</v>
      </c>
      <c r="D67" s="62" t="s">
        <v>125</v>
      </c>
      <c r="E67" s="62" t="s">
        <v>137</v>
      </c>
      <c r="F67" s="62" t="s">
        <v>21</v>
      </c>
      <c r="G67" s="62" t="s">
        <v>535</v>
      </c>
      <c r="H67" s="134" t="s">
        <v>536</v>
      </c>
      <c r="I67" s="134"/>
      <c r="J67" s="134"/>
      <c r="K67" s="134"/>
      <c r="L67" s="134"/>
    </row>
    <row r="68" spans="1:12" x14ac:dyDescent="0.2">
      <c r="A68" s="69">
        <v>45000</v>
      </c>
      <c r="B68" s="62" t="s">
        <v>520</v>
      </c>
      <c r="C68" s="74">
        <f>$C$63/CFD!F7/'Initial Estimates'!$C$5</f>
        <v>9.5700092993851002E-2</v>
      </c>
      <c r="D68" s="62" t="s">
        <v>125</v>
      </c>
      <c r="E68" s="62" t="s">
        <v>137</v>
      </c>
      <c r="F68" s="62" t="s">
        <v>21</v>
      </c>
      <c r="G68" s="62" t="s">
        <v>535</v>
      </c>
      <c r="H68" s="134" t="s">
        <v>536</v>
      </c>
      <c r="I68" s="134"/>
      <c r="J68" s="134"/>
      <c r="K68" s="134"/>
      <c r="L68" s="134"/>
    </row>
    <row r="69" spans="1:12" x14ac:dyDescent="0.2">
      <c r="A69" s="69">
        <v>46000</v>
      </c>
      <c r="B69" s="62" t="s">
        <v>520</v>
      </c>
      <c r="C69" s="74">
        <f>$C$63/CFD!F8/'Initial Estimates'!$C$5</f>
        <v>0.10039063533255575</v>
      </c>
      <c r="D69" s="62" t="s">
        <v>125</v>
      </c>
      <c r="E69" s="62" t="s">
        <v>137</v>
      </c>
      <c r="F69" s="62" t="s">
        <v>21</v>
      </c>
      <c r="G69" s="62" t="s">
        <v>535</v>
      </c>
      <c r="H69" s="134" t="s">
        <v>536</v>
      </c>
      <c r="I69" s="134"/>
      <c r="J69" s="134"/>
      <c r="K69" s="134"/>
      <c r="L69" s="134"/>
    </row>
    <row r="70" spans="1:12" x14ac:dyDescent="0.2">
      <c r="A70" s="69">
        <v>47000</v>
      </c>
      <c r="B70" s="62" t="s">
        <v>520</v>
      </c>
      <c r="C70" s="74">
        <f>$C$63/CFD!F9/'Initial Estimates'!$C$5</f>
        <v>0.10531338488706812</v>
      </c>
      <c r="D70" s="62" t="s">
        <v>125</v>
      </c>
      <c r="E70" s="62" t="s">
        <v>137</v>
      </c>
      <c r="F70" s="62" t="s">
        <v>21</v>
      </c>
      <c r="G70" s="62" t="s">
        <v>535</v>
      </c>
      <c r="H70" s="134" t="s">
        <v>536</v>
      </c>
      <c r="I70" s="134"/>
      <c r="J70" s="134"/>
      <c r="K70" s="134"/>
      <c r="L70" s="134"/>
    </row>
    <row r="71" spans="1:12" x14ac:dyDescent="0.2">
      <c r="A71" s="69">
        <v>48000</v>
      </c>
      <c r="B71" s="62" t="s">
        <v>520</v>
      </c>
      <c r="C71" s="74">
        <f>$C$63/CFD!F10/'Initial Estimates'!$C$5</f>
        <v>0.11046729835469993</v>
      </c>
      <c r="D71" s="62" t="s">
        <v>125</v>
      </c>
      <c r="E71" s="62" t="s">
        <v>137</v>
      </c>
      <c r="F71" s="62" t="s">
        <v>21</v>
      </c>
      <c r="G71" s="62" t="s">
        <v>535</v>
      </c>
      <c r="H71" s="134" t="s">
        <v>536</v>
      </c>
      <c r="I71" s="134"/>
      <c r="J71" s="134"/>
      <c r="K71" s="134"/>
      <c r="L71" s="134"/>
    </row>
    <row r="72" spans="1:12" x14ac:dyDescent="0.2">
      <c r="A72" s="69">
        <v>49000</v>
      </c>
      <c r="B72" s="62" t="s">
        <v>520</v>
      </c>
      <c r="C72" s="74">
        <f>$C$63/CFD!F11/'Initial Estimates'!$C$5</f>
        <v>0.11590818179475326</v>
      </c>
      <c r="D72" s="62" t="s">
        <v>125</v>
      </c>
      <c r="E72" s="62" t="s">
        <v>137</v>
      </c>
      <c r="F72" s="62" t="s">
        <v>21</v>
      </c>
      <c r="G72" s="62" t="s">
        <v>535</v>
      </c>
      <c r="H72" s="134" t="s">
        <v>536</v>
      </c>
      <c r="I72" s="134"/>
      <c r="J72" s="134"/>
      <c r="K72" s="134"/>
      <c r="L72" s="134"/>
    </row>
    <row r="73" spans="1:12" x14ac:dyDescent="0.2">
      <c r="A73" s="62" t="s">
        <v>556</v>
      </c>
      <c r="B73" s="62" t="s">
        <v>549</v>
      </c>
      <c r="C73" s="74">
        <f xml:space="preserve"> ABS((C64-CFD!$B$33)/(CFD!$B$34-CFD!$B$33)*(CFD!$E$34-CFD!$E$33) + CFD!$E$33)</f>
        <v>1.2612977881277958E-2</v>
      </c>
      <c r="D73" s="62" t="s">
        <v>125</v>
      </c>
      <c r="E73" s="62" t="s">
        <v>137</v>
      </c>
      <c r="F73" s="62" t="s">
        <v>21</v>
      </c>
      <c r="G73" s="62" t="s">
        <v>550</v>
      </c>
      <c r="H73" s="134" t="s">
        <v>526</v>
      </c>
      <c r="I73" s="134"/>
      <c r="J73" s="134"/>
      <c r="K73" s="134"/>
      <c r="L73" s="134"/>
    </row>
    <row r="74" spans="1:12" x14ac:dyDescent="0.2">
      <c r="A74" s="69">
        <v>42000</v>
      </c>
      <c r="B74" s="62" t="s">
        <v>549</v>
      </c>
      <c r="C74" s="74">
        <f xml:space="preserve"> ABS((C65-CFD!$B$33)/(CFD!$B$34-CFD!$B$33)*(CFD!$E$34-CFD!$E$33) + CFD!$E$33)</f>
        <v>1.2939375935621835E-2</v>
      </c>
      <c r="D74" s="62" t="s">
        <v>125</v>
      </c>
      <c r="E74" s="62" t="s">
        <v>137</v>
      </c>
      <c r="F74" s="62" t="s">
        <v>21</v>
      </c>
      <c r="G74" s="62" t="s">
        <v>550</v>
      </c>
      <c r="H74" s="134" t="s">
        <v>526</v>
      </c>
      <c r="I74" s="134"/>
      <c r="J74" s="134"/>
      <c r="K74" s="134"/>
      <c r="L74" s="134"/>
    </row>
    <row r="75" spans="1:12" x14ac:dyDescent="0.2">
      <c r="A75" s="69">
        <v>43000</v>
      </c>
      <c r="B75" s="62" t="s">
        <v>549</v>
      </c>
      <c r="C75" s="74">
        <f xml:space="preserve"> ABS((C66-CFD!$B$33)/(CFD!$B$34-CFD!$B$33)*(CFD!$E$34-CFD!$E$33) + CFD!$E$33)</f>
        <v>1.3280739192618823E-2</v>
      </c>
      <c r="D75" s="62" t="s">
        <v>125</v>
      </c>
      <c r="E75" s="62" t="s">
        <v>137</v>
      </c>
      <c r="F75" s="62" t="s">
        <v>21</v>
      </c>
      <c r="G75" s="62" t="s">
        <v>550</v>
      </c>
      <c r="H75" s="134" t="s">
        <v>526</v>
      </c>
      <c r="I75" s="134"/>
      <c r="J75" s="134"/>
      <c r="K75" s="134"/>
      <c r="L75" s="134"/>
    </row>
    <row r="76" spans="1:12" x14ac:dyDescent="0.2">
      <c r="A76" s="69">
        <v>44000</v>
      </c>
      <c r="B76" s="62" t="s">
        <v>549</v>
      </c>
      <c r="C76" s="74">
        <f xml:space="preserve"> ABS((C67-CFD!$B$33)/(CFD!$B$34-CFD!$B$33)*(CFD!$E$34-CFD!$E$33) + CFD!$E$33)</f>
        <v>1.3639791746626934E-2</v>
      </c>
      <c r="D76" s="62" t="s">
        <v>125</v>
      </c>
      <c r="E76" s="62" t="s">
        <v>137</v>
      </c>
      <c r="F76" s="62" t="s">
        <v>21</v>
      </c>
      <c r="G76" s="62" t="s">
        <v>550</v>
      </c>
      <c r="H76" s="134" t="s">
        <v>526</v>
      </c>
      <c r="I76" s="134"/>
      <c r="J76" s="134"/>
      <c r="K76" s="134"/>
      <c r="L76" s="134"/>
    </row>
    <row r="77" spans="1:12" x14ac:dyDescent="0.2">
      <c r="A77" s="69">
        <v>45000</v>
      </c>
      <c r="B77" s="62" t="s">
        <v>549</v>
      </c>
      <c r="C77" s="74">
        <f xml:space="preserve"> ABS((C68-CFD!$B$33)/(CFD!$B$34-CFD!$B$33)*(CFD!$E$34-CFD!$E$33) + CFD!$E$33)</f>
        <v>1.4014961092940738E-2</v>
      </c>
      <c r="D77" s="62" t="s">
        <v>125</v>
      </c>
      <c r="E77" s="62" t="s">
        <v>137</v>
      </c>
      <c r="F77" s="62" t="s">
        <v>21</v>
      </c>
      <c r="G77" s="62" t="s">
        <v>550</v>
      </c>
      <c r="H77" s="134" t="s">
        <v>526</v>
      </c>
      <c r="I77" s="134"/>
      <c r="J77" s="134"/>
      <c r="K77" s="134"/>
      <c r="L77" s="134"/>
    </row>
    <row r="78" spans="1:12" x14ac:dyDescent="0.2">
      <c r="A78" s="69">
        <v>46000</v>
      </c>
      <c r="B78" s="62" t="s">
        <v>549</v>
      </c>
      <c r="C78" s="74">
        <f xml:space="preserve"> ABS((C69-CFD!$B$33)/(CFD!$B$34-CFD!$B$33)*(CFD!$E$34-CFD!$E$33) + CFD!$E$33)</f>
        <v>1.440949269152338E-2</v>
      </c>
      <c r="D78" s="62" t="s">
        <v>125</v>
      </c>
      <c r="E78" s="62" t="s">
        <v>137</v>
      </c>
      <c r="F78" s="62" t="s">
        <v>21</v>
      </c>
      <c r="G78" s="62" t="s">
        <v>550</v>
      </c>
      <c r="H78" s="134" t="s">
        <v>526</v>
      </c>
      <c r="I78" s="134"/>
      <c r="J78" s="134"/>
      <c r="K78" s="134"/>
      <c r="L78" s="134"/>
    </row>
    <row r="79" spans="1:12" x14ac:dyDescent="0.2">
      <c r="A79" s="69">
        <v>47000</v>
      </c>
      <c r="B79" s="62" t="s">
        <v>549</v>
      </c>
      <c r="C79" s="74">
        <f xml:space="preserve"> ABS((C70-CFD!$B$33)/(CFD!$B$34-CFD!$B$33)*(CFD!$E$34-CFD!$E$33) + CFD!$E$33)</f>
        <v>1.4823555738164608E-2</v>
      </c>
      <c r="D79" s="62" t="s">
        <v>125</v>
      </c>
      <c r="E79" s="62" t="s">
        <v>137</v>
      </c>
      <c r="F79" s="62" t="s">
        <v>21</v>
      </c>
      <c r="G79" s="62" t="s">
        <v>550</v>
      </c>
      <c r="H79" s="134" t="s">
        <v>526</v>
      </c>
      <c r="I79" s="134"/>
      <c r="J79" s="134"/>
      <c r="K79" s="134"/>
      <c r="L79" s="134"/>
    </row>
    <row r="80" spans="1:12" x14ac:dyDescent="0.2">
      <c r="A80" s="69">
        <v>48000</v>
      </c>
      <c r="B80" s="62" t="s">
        <v>549</v>
      </c>
      <c r="C80" s="74">
        <f xml:space="preserve"> ABS((C71-CFD!$B$33)/(CFD!$B$34-CFD!$B$33)*(CFD!$E$34-CFD!$E$33) + CFD!$E$33)</f>
        <v>1.5257062478432703E-2</v>
      </c>
      <c r="D80" s="62" t="s">
        <v>125</v>
      </c>
      <c r="E80" s="62" t="s">
        <v>137</v>
      </c>
      <c r="F80" s="62" t="s">
        <v>21</v>
      </c>
      <c r="G80" s="62" t="s">
        <v>550</v>
      </c>
      <c r="H80" s="134" t="s">
        <v>526</v>
      </c>
      <c r="I80" s="134"/>
      <c r="J80" s="134"/>
      <c r="K80" s="134"/>
      <c r="L80" s="134"/>
    </row>
    <row r="81" spans="1:12" x14ac:dyDescent="0.2">
      <c r="A81" s="69">
        <v>49000</v>
      </c>
      <c r="B81" s="62" t="s">
        <v>549</v>
      </c>
      <c r="C81" s="74">
        <f xml:space="preserve"> ABS((C72-CFD!$B$33)/(CFD!$B$34-CFD!$B$33)*(CFD!$E$34-CFD!$E$33) + CFD!$E$33)</f>
        <v>1.5714706879932518E-2</v>
      </c>
      <c r="D81" s="62" t="s">
        <v>125</v>
      </c>
      <c r="E81" s="62" t="s">
        <v>137</v>
      </c>
      <c r="F81" s="62" t="s">
        <v>21</v>
      </c>
      <c r="G81" s="62" t="s">
        <v>550</v>
      </c>
      <c r="H81" s="134" t="s">
        <v>526</v>
      </c>
      <c r="I81" s="134"/>
      <c r="J81" s="134"/>
      <c r="K81" s="134"/>
      <c r="L81" s="134"/>
    </row>
    <row r="82" spans="1:12" x14ac:dyDescent="0.2">
      <c r="A82" s="62" t="s">
        <v>553</v>
      </c>
      <c r="B82" s="62" t="s">
        <v>552</v>
      </c>
      <c r="C82" s="74">
        <f>CFD!F3*'Initial Estimates'!$C$5*'Final Aircraft Checkouts'!C73</f>
        <v>11146.78428686912</v>
      </c>
      <c r="D82" s="62" t="s">
        <v>125</v>
      </c>
      <c r="E82" s="62" t="s">
        <v>137</v>
      </c>
      <c r="F82" s="62" t="s">
        <v>21</v>
      </c>
      <c r="G82" s="62" t="s">
        <v>554</v>
      </c>
      <c r="H82" s="134" t="s">
        <v>536</v>
      </c>
      <c r="I82" s="134"/>
      <c r="J82" s="134"/>
      <c r="K82" s="134"/>
      <c r="L82" s="134"/>
    </row>
    <row r="83" spans="1:12" x14ac:dyDescent="0.2">
      <c r="A83" s="69">
        <v>42000</v>
      </c>
      <c r="B83" s="62" t="s">
        <v>552</v>
      </c>
      <c r="C83" s="74">
        <f>CFD!F4*'Initial Estimates'!$C$5*'Final Aircraft Checkouts'!C74</f>
        <v>10900.043226647198</v>
      </c>
      <c r="D83" s="62" t="s">
        <v>125</v>
      </c>
      <c r="E83" s="62" t="s">
        <v>137</v>
      </c>
      <c r="F83" s="62" t="s">
        <v>21</v>
      </c>
      <c r="G83" s="62" t="s">
        <v>554</v>
      </c>
      <c r="H83" s="134" t="s">
        <v>536</v>
      </c>
      <c r="I83" s="134"/>
      <c r="J83" s="134"/>
      <c r="K83" s="134"/>
      <c r="L83" s="134"/>
    </row>
    <row r="84" spans="1:12" x14ac:dyDescent="0.2">
      <c r="A84" s="69">
        <v>43000</v>
      </c>
      <c r="B84" s="62" t="s">
        <v>552</v>
      </c>
      <c r="C84" s="74">
        <f>CFD!F5*'Initial Estimates'!$C$5*'Final Aircraft Checkouts'!C75</f>
        <v>10665.545043459188</v>
      </c>
      <c r="D84" s="62" t="s">
        <v>125</v>
      </c>
      <c r="E84" s="62" t="s">
        <v>137</v>
      </c>
      <c r="F84" s="62" t="s">
        <v>21</v>
      </c>
      <c r="G84" s="62" t="s">
        <v>554</v>
      </c>
      <c r="H84" s="134" t="s">
        <v>536</v>
      </c>
      <c r="I84" s="134"/>
      <c r="J84" s="134"/>
      <c r="K84" s="134"/>
      <c r="L84" s="134"/>
    </row>
    <row r="85" spans="1:12" x14ac:dyDescent="0.2">
      <c r="A85" s="69">
        <v>44000</v>
      </c>
      <c r="B85" s="62" t="s">
        <v>552</v>
      </c>
      <c r="C85" s="74">
        <f>CFD!F6*'Initial Estimates'!$C$5*'Final Aircraft Checkouts'!C76</f>
        <v>10441.406217761409</v>
      </c>
      <c r="D85" s="62" t="s">
        <v>125</v>
      </c>
      <c r="E85" s="62" t="s">
        <v>137</v>
      </c>
      <c r="F85" s="62" t="s">
        <v>21</v>
      </c>
      <c r="G85" s="62" t="s">
        <v>554</v>
      </c>
      <c r="H85" s="134" t="s">
        <v>536</v>
      </c>
      <c r="I85" s="134"/>
      <c r="J85" s="134"/>
      <c r="K85" s="134"/>
      <c r="L85" s="134"/>
    </row>
    <row r="86" spans="1:12" x14ac:dyDescent="0.2">
      <c r="A86" s="69">
        <v>45000</v>
      </c>
      <c r="B86" s="62" t="s">
        <v>552</v>
      </c>
      <c r="C86" s="74">
        <f>CFD!F7*'Initial Estimates'!$C$5*'Final Aircraft Checkouts'!C77</f>
        <v>10228.568509325705</v>
      </c>
      <c r="D86" s="62" t="s">
        <v>125</v>
      </c>
      <c r="E86" s="62" t="s">
        <v>137</v>
      </c>
      <c r="F86" s="62" t="s">
        <v>21</v>
      </c>
      <c r="G86" s="62" t="s">
        <v>554</v>
      </c>
      <c r="H86" s="134" t="s">
        <v>536</v>
      </c>
      <c r="I86" s="134"/>
      <c r="J86" s="134"/>
      <c r="K86" s="134"/>
      <c r="L86" s="134"/>
    </row>
    <row r="87" spans="1:12" x14ac:dyDescent="0.2">
      <c r="A87" s="69">
        <v>46000</v>
      </c>
      <c r="B87" s="62" t="s">
        <v>552</v>
      </c>
      <c r="C87" s="74">
        <f>CFD!F8*'Initial Estimates'!$C$5*'Final Aircraft Checkouts'!C78</f>
        <v>10025.148398608393</v>
      </c>
      <c r="D87" s="62" t="s">
        <v>125</v>
      </c>
      <c r="E87" s="62" t="s">
        <v>137</v>
      </c>
      <c r="F87" s="62" t="s">
        <v>21</v>
      </c>
      <c r="G87" s="62" t="s">
        <v>554</v>
      </c>
      <c r="H87" s="134" t="s">
        <v>536</v>
      </c>
      <c r="I87" s="134"/>
      <c r="J87" s="134"/>
      <c r="K87" s="134"/>
      <c r="L87" s="134"/>
    </row>
    <row r="88" spans="1:12" x14ac:dyDescent="0.2">
      <c r="A88" s="69">
        <v>47000</v>
      </c>
      <c r="B88" s="62" t="s">
        <v>552</v>
      </c>
      <c r="C88" s="74">
        <f>CFD!F9*'Initial Estimates'!$C$5*'Final Aircraft Checkouts'!C79</f>
        <v>9831.145885609476</v>
      </c>
      <c r="D88" s="62" t="s">
        <v>125</v>
      </c>
      <c r="E88" s="62" t="s">
        <v>137</v>
      </c>
      <c r="F88" s="62" t="s">
        <v>21</v>
      </c>
      <c r="G88" s="62" t="s">
        <v>554</v>
      </c>
      <c r="H88" s="134" t="s">
        <v>536</v>
      </c>
      <c r="I88" s="134"/>
      <c r="J88" s="134"/>
      <c r="K88" s="134"/>
      <c r="L88" s="134"/>
    </row>
    <row r="89" spans="1:12" x14ac:dyDescent="0.2">
      <c r="A89" s="69">
        <v>48000</v>
      </c>
      <c r="B89" s="62" t="s">
        <v>552</v>
      </c>
      <c r="C89" s="74">
        <f>CFD!F10*'Initial Estimates'!$C$5*'Final Aircraft Checkouts'!C80</f>
        <v>9646.5609703289538</v>
      </c>
      <c r="D89" s="62" t="s">
        <v>125</v>
      </c>
      <c r="E89" s="62" t="s">
        <v>137</v>
      </c>
      <c r="F89" s="62" t="s">
        <v>21</v>
      </c>
      <c r="G89" s="62" t="s">
        <v>554</v>
      </c>
      <c r="H89" s="134" t="s">
        <v>536</v>
      </c>
      <c r="I89" s="134"/>
      <c r="J89" s="134"/>
      <c r="K89" s="134"/>
      <c r="L89" s="134"/>
    </row>
    <row r="90" spans="1:12" x14ac:dyDescent="0.2">
      <c r="A90" s="69">
        <v>49000</v>
      </c>
      <c r="B90" s="62" t="s">
        <v>552</v>
      </c>
      <c r="C90" s="74">
        <f>CFD!F11*'Initial Estimates'!$C$5*'Final Aircraft Checkouts'!C81</f>
        <v>9469.5101332231461</v>
      </c>
      <c r="D90" s="62" t="s">
        <v>125</v>
      </c>
      <c r="E90" s="62" t="s">
        <v>137</v>
      </c>
      <c r="F90" s="62" t="s">
        <v>21</v>
      </c>
      <c r="G90" s="62" t="s">
        <v>554</v>
      </c>
      <c r="H90" s="134" t="s">
        <v>536</v>
      </c>
      <c r="I90" s="134"/>
      <c r="J90" s="134"/>
      <c r="K90" s="134"/>
      <c r="L90" s="134"/>
    </row>
  </sheetData>
  <mergeCells count="90">
    <mergeCell ref="H25:L25"/>
    <mergeCell ref="H24:L24"/>
    <mergeCell ref="H26:L26"/>
    <mergeCell ref="H27:L27"/>
    <mergeCell ref="H28:L28"/>
    <mergeCell ref="H29:L29"/>
    <mergeCell ref="H30:L30"/>
    <mergeCell ref="H23:L23"/>
    <mergeCell ref="H14:L14"/>
    <mergeCell ref="H15:L15"/>
    <mergeCell ref="H16:L16"/>
    <mergeCell ref="H17:L17"/>
    <mergeCell ref="H22:L22"/>
    <mergeCell ref="H18:L18"/>
    <mergeCell ref="H19:L19"/>
    <mergeCell ref="H20:L20"/>
    <mergeCell ref="H21:L21"/>
    <mergeCell ref="A1:L1"/>
    <mergeCell ref="H2:L2"/>
    <mergeCell ref="H3:L3"/>
    <mergeCell ref="H4:L4"/>
    <mergeCell ref="H13:L13"/>
    <mergeCell ref="H5:L5"/>
    <mergeCell ref="H6:L6"/>
    <mergeCell ref="H7:L7"/>
    <mergeCell ref="H8:L8"/>
    <mergeCell ref="H9:L9"/>
    <mergeCell ref="H10:L10"/>
    <mergeCell ref="H11:L11"/>
    <mergeCell ref="H12:L12"/>
    <mergeCell ref="A31:L31"/>
    <mergeCell ref="H32:L32"/>
    <mergeCell ref="H33:L33"/>
    <mergeCell ref="H34:L34"/>
    <mergeCell ref="H35:L35"/>
    <mergeCell ref="H36:L36"/>
    <mergeCell ref="H37:L37"/>
    <mergeCell ref="H38:L38"/>
    <mergeCell ref="H39:L39"/>
    <mergeCell ref="H40:L40"/>
    <mergeCell ref="H41:L41"/>
    <mergeCell ref="H42:L42"/>
    <mergeCell ref="H43:L43"/>
    <mergeCell ref="H44:L44"/>
    <mergeCell ref="H45:L45"/>
    <mergeCell ref="H46:L46"/>
    <mergeCell ref="H47:L47"/>
    <mergeCell ref="H48:L48"/>
    <mergeCell ref="H49:L49"/>
    <mergeCell ref="H50:L50"/>
    <mergeCell ref="H51:L51"/>
    <mergeCell ref="H52:L52"/>
    <mergeCell ref="H53:L53"/>
    <mergeCell ref="H54:L54"/>
    <mergeCell ref="H55:L55"/>
    <mergeCell ref="H56:L56"/>
    <mergeCell ref="H57:L57"/>
    <mergeCell ref="H58:L58"/>
    <mergeCell ref="H59:L59"/>
    <mergeCell ref="H60:L60"/>
    <mergeCell ref="A61:L61"/>
    <mergeCell ref="H62:L62"/>
    <mergeCell ref="H63:L63"/>
    <mergeCell ref="H64:L64"/>
    <mergeCell ref="H65:L65"/>
    <mergeCell ref="H66:L66"/>
    <mergeCell ref="H67:L67"/>
    <mergeCell ref="H68:L68"/>
    <mergeCell ref="H69:L69"/>
    <mergeCell ref="H70:L70"/>
    <mergeCell ref="H71:L71"/>
    <mergeCell ref="H72:L72"/>
    <mergeCell ref="H73:L73"/>
    <mergeCell ref="H74:L74"/>
    <mergeCell ref="H75:L75"/>
    <mergeCell ref="H76:L76"/>
    <mergeCell ref="H77:L77"/>
    <mergeCell ref="H78:L78"/>
    <mergeCell ref="H79:L79"/>
    <mergeCell ref="H80:L80"/>
    <mergeCell ref="H81:L81"/>
    <mergeCell ref="H82:L82"/>
    <mergeCell ref="H83:L83"/>
    <mergeCell ref="H84:L84"/>
    <mergeCell ref="H85:L85"/>
    <mergeCell ref="H86:L86"/>
    <mergeCell ref="H87:L87"/>
    <mergeCell ref="H88:L88"/>
    <mergeCell ref="H89:L89"/>
    <mergeCell ref="H90:L9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Design Constraints</vt:lpstr>
      <vt:lpstr>Initial Estimates</vt:lpstr>
      <vt:lpstr>Cg Calcs</vt:lpstr>
      <vt:lpstr>Stability Constants</vt:lpstr>
      <vt:lpstr>Subsonic Stability</vt:lpstr>
      <vt:lpstr>Supersonic Stability</vt:lpstr>
      <vt:lpstr>CFD</vt:lpstr>
      <vt:lpstr>Parasite Drag</vt:lpstr>
      <vt:lpstr>Final Aircraft Checkouts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created xsi:type="dcterms:W3CDTF">2017-02-12T20:58:49Z</dcterms:created>
  <dcterms:modified xsi:type="dcterms:W3CDTF">2017-03-13T07:28:28Z</dcterms:modified>
</cp:coreProperties>
</file>